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filterPrivacy="1"/>
  <xr:revisionPtr revIDLastSave="0" documentId="13_ncr:1_{A589E695-90E5-464A-90EB-0B6267E57A05}" xr6:coauthVersionLast="41" xr6:coauthVersionMax="47" xr10:uidLastSave="{00000000-0000-0000-0000-000000000000}"/>
  <bookViews>
    <workbookView xWindow="-28920" yWindow="-1095" windowWidth="29040" windowHeight="15840" activeTab="1" xr2:uid="{00000000-000D-0000-FFFF-FFFF00000000}"/>
  </bookViews>
  <sheets>
    <sheet name="발송처리" sheetId="5" r:id="rId1"/>
    <sheet name="송장화1" sheetId="7" r:id="rId2"/>
    <sheet name="송장화2" sheetId="8" r:id="rId3"/>
    <sheet name="상품DB(수정x)" sheetId="4" r:id="rId4"/>
  </sheets>
  <definedNames>
    <definedName name="_xlnm._FilterDatabase" localSheetId="0" hidden="1">발송처리!$A$1:$BE$121</definedName>
    <definedName name="_xlnm._FilterDatabase" localSheetId="3" hidden="1">'상품DB(수정x)'!$A$1:$E$1754</definedName>
    <definedName name="_xlnm._FilterDatabase" localSheetId="1" hidden="1">송장화1!$A$1:$Q$772</definedName>
    <definedName name="_xlnm._FilterDatabase" localSheetId="2" hidden="1">송장화2!$A$1:$Q$164</definedName>
    <definedName name="경동1">송장화2!$B$2:$D$264,송장화2!$H$2:$O$264</definedName>
  </definedNames>
  <calcPr calcId="191029"/>
</workbook>
</file>

<file path=xl/calcChain.xml><?xml version="1.0" encoding="utf-8"?>
<calcChain xmlns="http://schemas.openxmlformats.org/spreadsheetml/2006/main">
  <c r="H5" i="8" l="1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3" i="8"/>
  <c r="H4" i="8"/>
  <c r="H2" i="8"/>
  <c r="Q34" i="7" l="1"/>
  <c r="P34" i="7"/>
  <c r="O34" i="7"/>
  <c r="N34" i="7"/>
  <c r="M34" i="7"/>
  <c r="L34" i="7"/>
  <c r="I34" i="7"/>
  <c r="G34" i="7"/>
  <c r="F34" i="7"/>
  <c r="E34" i="7"/>
  <c r="K34" i="7" s="1"/>
  <c r="B34" i="7"/>
  <c r="A34" i="7"/>
  <c r="A2" i="7"/>
  <c r="B2" i="7"/>
  <c r="E2" i="7"/>
  <c r="K2" i="7" s="1"/>
  <c r="F2" i="7"/>
  <c r="G2" i="7"/>
  <c r="I2" i="7"/>
  <c r="L2" i="7"/>
  <c r="M2" i="7"/>
  <c r="N2" i="7"/>
  <c r="O2" i="7"/>
  <c r="P2" i="7"/>
  <c r="Q2" i="7"/>
  <c r="A3" i="7"/>
  <c r="B3" i="7"/>
  <c r="E3" i="7"/>
  <c r="F3" i="7"/>
  <c r="G3" i="7"/>
  <c r="I3" i="7"/>
  <c r="L3" i="7"/>
  <c r="M3" i="7"/>
  <c r="N3" i="7"/>
  <c r="O3" i="7"/>
  <c r="P3" i="7"/>
  <c r="Q3" i="7"/>
  <c r="A4" i="7"/>
  <c r="B4" i="7"/>
  <c r="E4" i="7"/>
  <c r="F4" i="7"/>
  <c r="G4" i="7"/>
  <c r="I4" i="7"/>
  <c r="L4" i="7"/>
  <c r="M4" i="7"/>
  <c r="N4" i="7"/>
  <c r="O4" i="7"/>
  <c r="P4" i="7"/>
  <c r="Q4" i="7"/>
  <c r="A5" i="7"/>
  <c r="B5" i="7"/>
  <c r="E5" i="7"/>
  <c r="F5" i="7"/>
  <c r="G5" i="7"/>
  <c r="I5" i="7"/>
  <c r="L5" i="7"/>
  <c r="M5" i="7"/>
  <c r="N5" i="7"/>
  <c r="O5" i="7"/>
  <c r="P5" i="7"/>
  <c r="Q5" i="7"/>
  <c r="A6" i="7"/>
  <c r="B6" i="7"/>
  <c r="E6" i="7"/>
  <c r="F6" i="7"/>
  <c r="G6" i="7"/>
  <c r="I6" i="7"/>
  <c r="L6" i="7"/>
  <c r="M6" i="7"/>
  <c r="N6" i="7"/>
  <c r="O6" i="7"/>
  <c r="P6" i="7"/>
  <c r="Q6" i="7"/>
  <c r="A7" i="7"/>
  <c r="B7" i="7"/>
  <c r="E7" i="7"/>
  <c r="F7" i="7"/>
  <c r="G7" i="7"/>
  <c r="I7" i="7"/>
  <c r="L7" i="7"/>
  <c r="M7" i="7"/>
  <c r="N7" i="7"/>
  <c r="O7" i="7"/>
  <c r="P7" i="7"/>
  <c r="Q7" i="7"/>
  <c r="A8" i="7"/>
  <c r="B8" i="7"/>
  <c r="E8" i="7"/>
  <c r="F8" i="7"/>
  <c r="G8" i="7"/>
  <c r="I8" i="7"/>
  <c r="L8" i="7"/>
  <c r="M8" i="7"/>
  <c r="N8" i="7"/>
  <c r="O8" i="7"/>
  <c r="P8" i="7"/>
  <c r="Q8" i="7"/>
  <c r="A9" i="7"/>
  <c r="B9" i="7"/>
  <c r="E9" i="7"/>
  <c r="F9" i="7"/>
  <c r="G9" i="7"/>
  <c r="I9" i="7"/>
  <c r="L9" i="7"/>
  <c r="M9" i="7"/>
  <c r="N9" i="7"/>
  <c r="O9" i="7"/>
  <c r="P9" i="7"/>
  <c r="Q9" i="7"/>
  <c r="A10" i="7"/>
  <c r="B10" i="7"/>
  <c r="E10" i="7"/>
  <c r="F10" i="7"/>
  <c r="G10" i="7"/>
  <c r="I10" i="7"/>
  <c r="L10" i="7"/>
  <c r="M10" i="7"/>
  <c r="N10" i="7"/>
  <c r="O10" i="7"/>
  <c r="P10" i="7"/>
  <c r="Q10" i="7"/>
  <c r="A11" i="7"/>
  <c r="B11" i="7"/>
  <c r="E11" i="7"/>
  <c r="F11" i="7"/>
  <c r="G11" i="7"/>
  <c r="I11" i="7"/>
  <c r="L11" i="7"/>
  <c r="M11" i="7"/>
  <c r="N11" i="7"/>
  <c r="O11" i="7"/>
  <c r="P11" i="7"/>
  <c r="Q11" i="7"/>
  <c r="A12" i="7"/>
  <c r="B12" i="7"/>
  <c r="E12" i="7"/>
  <c r="F12" i="7"/>
  <c r="G12" i="7"/>
  <c r="I12" i="7"/>
  <c r="L12" i="7"/>
  <c r="M12" i="7"/>
  <c r="N12" i="7"/>
  <c r="O12" i="7"/>
  <c r="P12" i="7"/>
  <c r="Q12" i="7"/>
  <c r="A13" i="7"/>
  <c r="B13" i="7"/>
  <c r="E13" i="7"/>
  <c r="F13" i="7"/>
  <c r="G13" i="7"/>
  <c r="I13" i="7"/>
  <c r="L13" i="7"/>
  <c r="M13" i="7"/>
  <c r="N13" i="7"/>
  <c r="O13" i="7"/>
  <c r="P13" i="7"/>
  <c r="Q13" i="7"/>
  <c r="A14" i="7"/>
  <c r="B14" i="7"/>
  <c r="E14" i="7"/>
  <c r="F14" i="7"/>
  <c r="G14" i="7"/>
  <c r="I14" i="7"/>
  <c r="L14" i="7"/>
  <c r="M14" i="7"/>
  <c r="N14" i="7"/>
  <c r="O14" i="7"/>
  <c r="P14" i="7"/>
  <c r="Q14" i="7"/>
  <c r="A15" i="7"/>
  <c r="B15" i="7"/>
  <c r="E15" i="7"/>
  <c r="F15" i="7"/>
  <c r="G15" i="7"/>
  <c r="I15" i="7"/>
  <c r="L15" i="7"/>
  <c r="M15" i="7"/>
  <c r="N15" i="7"/>
  <c r="O15" i="7"/>
  <c r="P15" i="7"/>
  <c r="Q15" i="7"/>
  <c r="A16" i="7"/>
  <c r="B16" i="7"/>
  <c r="E16" i="7"/>
  <c r="F16" i="7"/>
  <c r="G16" i="7"/>
  <c r="I16" i="7"/>
  <c r="L16" i="7"/>
  <c r="M16" i="7"/>
  <c r="N16" i="7"/>
  <c r="O16" i="7"/>
  <c r="P16" i="7"/>
  <c r="Q16" i="7"/>
  <c r="A17" i="7"/>
  <c r="B17" i="7"/>
  <c r="E17" i="7"/>
  <c r="F17" i="7"/>
  <c r="G17" i="7"/>
  <c r="I17" i="7"/>
  <c r="L17" i="7"/>
  <c r="M17" i="7"/>
  <c r="N17" i="7"/>
  <c r="O17" i="7"/>
  <c r="P17" i="7"/>
  <c r="Q17" i="7"/>
  <c r="A18" i="7"/>
  <c r="B18" i="7"/>
  <c r="E18" i="7"/>
  <c r="K18" i="7" s="1"/>
  <c r="F18" i="7"/>
  <c r="G18" i="7"/>
  <c r="I18" i="7"/>
  <c r="L18" i="7"/>
  <c r="M18" i="7"/>
  <c r="N18" i="7"/>
  <c r="O18" i="7"/>
  <c r="P18" i="7"/>
  <c r="Q18" i="7"/>
  <c r="A19" i="7"/>
  <c r="B19" i="7"/>
  <c r="E19" i="7"/>
  <c r="F19" i="7"/>
  <c r="G19" i="7"/>
  <c r="I19" i="7"/>
  <c r="L19" i="7"/>
  <c r="M19" i="7"/>
  <c r="N19" i="7"/>
  <c r="O19" i="7"/>
  <c r="P19" i="7"/>
  <c r="Q19" i="7"/>
  <c r="A20" i="7"/>
  <c r="B20" i="7"/>
  <c r="E20" i="7"/>
  <c r="F20" i="7"/>
  <c r="G20" i="7"/>
  <c r="I20" i="7"/>
  <c r="L20" i="7"/>
  <c r="M20" i="7"/>
  <c r="N20" i="7"/>
  <c r="O20" i="7"/>
  <c r="P20" i="7"/>
  <c r="Q20" i="7"/>
  <c r="A21" i="7"/>
  <c r="B21" i="7"/>
  <c r="E21" i="7"/>
  <c r="F21" i="7"/>
  <c r="G21" i="7"/>
  <c r="I21" i="7"/>
  <c r="L21" i="7"/>
  <c r="M21" i="7"/>
  <c r="N21" i="7"/>
  <c r="O21" i="7"/>
  <c r="P21" i="7"/>
  <c r="Q21" i="7"/>
  <c r="A22" i="7"/>
  <c r="B22" i="7"/>
  <c r="E22" i="7"/>
  <c r="F22" i="7"/>
  <c r="G22" i="7"/>
  <c r="I22" i="7"/>
  <c r="L22" i="7"/>
  <c r="M22" i="7"/>
  <c r="N22" i="7"/>
  <c r="O22" i="7"/>
  <c r="P22" i="7"/>
  <c r="Q22" i="7"/>
  <c r="A23" i="7"/>
  <c r="B23" i="7"/>
  <c r="E23" i="7"/>
  <c r="K23" i="7" s="1"/>
  <c r="F23" i="7"/>
  <c r="G23" i="7"/>
  <c r="I23" i="7"/>
  <c r="L23" i="7"/>
  <c r="M23" i="7"/>
  <c r="N23" i="7"/>
  <c r="O23" i="7"/>
  <c r="P23" i="7"/>
  <c r="Q23" i="7"/>
  <c r="A24" i="7"/>
  <c r="B24" i="7"/>
  <c r="E24" i="7"/>
  <c r="F24" i="7"/>
  <c r="G24" i="7"/>
  <c r="I24" i="7"/>
  <c r="L24" i="7"/>
  <c r="M24" i="7"/>
  <c r="N24" i="7"/>
  <c r="O24" i="7"/>
  <c r="P24" i="7"/>
  <c r="Q24" i="7"/>
  <c r="A25" i="7"/>
  <c r="B25" i="7"/>
  <c r="E25" i="7"/>
  <c r="F25" i="7"/>
  <c r="G25" i="7"/>
  <c r="I25" i="7"/>
  <c r="L25" i="7"/>
  <c r="M25" i="7"/>
  <c r="N25" i="7"/>
  <c r="O25" i="7"/>
  <c r="P25" i="7"/>
  <c r="Q25" i="7"/>
  <c r="A26" i="7"/>
  <c r="B26" i="7"/>
  <c r="E26" i="7"/>
  <c r="F26" i="7"/>
  <c r="G26" i="7"/>
  <c r="I26" i="7"/>
  <c r="L26" i="7"/>
  <c r="M26" i="7"/>
  <c r="N26" i="7"/>
  <c r="O26" i="7"/>
  <c r="P26" i="7"/>
  <c r="Q26" i="7"/>
  <c r="A27" i="7"/>
  <c r="B27" i="7"/>
  <c r="E27" i="7"/>
  <c r="F27" i="7"/>
  <c r="G27" i="7"/>
  <c r="I27" i="7"/>
  <c r="L27" i="7"/>
  <c r="M27" i="7"/>
  <c r="N27" i="7"/>
  <c r="O27" i="7"/>
  <c r="P27" i="7"/>
  <c r="Q27" i="7"/>
  <c r="A28" i="7"/>
  <c r="B28" i="7"/>
  <c r="E28" i="7"/>
  <c r="F28" i="7"/>
  <c r="G28" i="7"/>
  <c r="I28" i="7"/>
  <c r="L28" i="7"/>
  <c r="M28" i="7"/>
  <c r="N28" i="7"/>
  <c r="O28" i="7"/>
  <c r="P28" i="7"/>
  <c r="Q28" i="7"/>
  <c r="A29" i="7"/>
  <c r="B29" i="7"/>
  <c r="E29" i="7"/>
  <c r="F29" i="7"/>
  <c r="G29" i="7"/>
  <c r="I29" i="7"/>
  <c r="L29" i="7"/>
  <c r="M29" i="7"/>
  <c r="N29" i="7"/>
  <c r="O29" i="7"/>
  <c r="P29" i="7"/>
  <c r="Q29" i="7"/>
  <c r="A30" i="7"/>
  <c r="B30" i="7"/>
  <c r="E30" i="7"/>
  <c r="F30" i="7"/>
  <c r="G30" i="7"/>
  <c r="I30" i="7"/>
  <c r="L30" i="7"/>
  <c r="M30" i="7"/>
  <c r="N30" i="7"/>
  <c r="O30" i="7"/>
  <c r="P30" i="7"/>
  <c r="Q30" i="7"/>
  <c r="A31" i="7"/>
  <c r="B31" i="7"/>
  <c r="E31" i="7"/>
  <c r="F31" i="7"/>
  <c r="G31" i="7"/>
  <c r="I31" i="7"/>
  <c r="L31" i="7"/>
  <c r="M31" i="7"/>
  <c r="N31" i="7"/>
  <c r="O31" i="7"/>
  <c r="P31" i="7"/>
  <c r="Q31" i="7"/>
  <c r="A32" i="7"/>
  <c r="B32" i="7"/>
  <c r="E32" i="7"/>
  <c r="F32" i="7"/>
  <c r="G32" i="7"/>
  <c r="I32" i="7"/>
  <c r="L32" i="7"/>
  <c r="M32" i="7"/>
  <c r="N32" i="7"/>
  <c r="O32" i="7"/>
  <c r="P32" i="7"/>
  <c r="Q32" i="7"/>
  <c r="A33" i="7"/>
  <c r="B33" i="7"/>
  <c r="E33" i="7"/>
  <c r="F33" i="7"/>
  <c r="G33" i="7"/>
  <c r="I33" i="7"/>
  <c r="L33" i="7"/>
  <c r="M33" i="7"/>
  <c r="N33" i="7"/>
  <c r="O33" i="7"/>
  <c r="P33" i="7"/>
  <c r="Q33" i="7"/>
  <c r="A35" i="7"/>
  <c r="B35" i="7"/>
  <c r="E35" i="7"/>
  <c r="F35" i="7"/>
  <c r="G35" i="7"/>
  <c r="I35" i="7"/>
  <c r="L35" i="7"/>
  <c r="M35" i="7"/>
  <c r="N35" i="7"/>
  <c r="O35" i="7"/>
  <c r="P35" i="7"/>
  <c r="Q35" i="7"/>
  <c r="A36" i="7"/>
  <c r="B36" i="7"/>
  <c r="E36" i="7"/>
  <c r="F36" i="7"/>
  <c r="G36" i="7"/>
  <c r="I36" i="7"/>
  <c r="L36" i="7"/>
  <c r="M36" i="7"/>
  <c r="N36" i="7"/>
  <c r="O36" i="7"/>
  <c r="P36" i="7"/>
  <c r="Q36" i="7"/>
  <c r="A37" i="7"/>
  <c r="B37" i="7"/>
  <c r="E37" i="7"/>
  <c r="F37" i="7"/>
  <c r="G37" i="7"/>
  <c r="I37" i="7"/>
  <c r="L37" i="7"/>
  <c r="M37" i="7"/>
  <c r="N37" i="7"/>
  <c r="O37" i="7"/>
  <c r="P37" i="7"/>
  <c r="Q37" i="7"/>
  <c r="A38" i="7"/>
  <c r="B38" i="7"/>
  <c r="E38" i="7"/>
  <c r="F38" i="7"/>
  <c r="G38" i="7"/>
  <c r="I38" i="7"/>
  <c r="L38" i="7"/>
  <c r="M38" i="7"/>
  <c r="N38" i="7"/>
  <c r="O38" i="7"/>
  <c r="P38" i="7"/>
  <c r="Q38" i="7"/>
  <c r="A39" i="7"/>
  <c r="B39" i="7"/>
  <c r="E39" i="7"/>
  <c r="F39" i="7"/>
  <c r="G39" i="7"/>
  <c r="I39" i="7"/>
  <c r="L39" i="7"/>
  <c r="M39" i="7"/>
  <c r="N39" i="7"/>
  <c r="O39" i="7"/>
  <c r="P39" i="7"/>
  <c r="Q39" i="7"/>
  <c r="A40" i="7"/>
  <c r="B40" i="7"/>
  <c r="E40" i="7"/>
  <c r="F40" i="7"/>
  <c r="G40" i="7"/>
  <c r="I40" i="7"/>
  <c r="L40" i="7"/>
  <c r="M40" i="7"/>
  <c r="N40" i="7"/>
  <c r="O40" i="7"/>
  <c r="P40" i="7"/>
  <c r="Q40" i="7"/>
  <c r="A41" i="7"/>
  <c r="B41" i="7"/>
  <c r="E41" i="7"/>
  <c r="K41" i="7" s="1"/>
  <c r="F41" i="7"/>
  <c r="G41" i="7"/>
  <c r="I41" i="7"/>
  <c r="L41" i="7"/>
  <c r="M41" i="7"/>
  <c r="N41" i="7"/>
  <c r="O41" i="7"/>
  <c r="P41" i="7"/>
  <c r="Q41" i="7"/>
  <c r="A42" i="7"/>
  <c r="B42" i="7"/>
  <c r="E42" i="7"/>
  <c r="F42" i="7"/>
  <c r="G42" i="7"/>
  <c r="I42" i="7"/>
  <c r="L42" i="7"/>
  <c r="M42" i="7"/>
  <c r="N42" i="7"/>
  <c r="O42" i="7"/>
  <c r="P42" i="7"/>
  <c r="Q42" i="7"/>
  <c r="A43" i="7"/>
  <c r="B43" i="7"/>
  <c r="E43" i="7"/>
  <c r="F43" i="7"/>
  <c r="G43" i="7"/>
  <c r="I43" i="7"/>
  <c r="L43" i="7"/>
  <c r="M43" i="7"/>
  <c r="N43" i="7"/>
  <c r="O43" i="7"/>
  <c r="P43" i="7"/>
  <c r="Q43" i="7"/>
  <c r="A57" i="7"/>
  <c r="B57" i="7"/>
  <c r="E57" i="7"/>
  <c r="F57" i="7"/>
  <c r="G57" i="7"/>
  <c r="I57" i="7"/>
  <c r="L57" i="7"/>
  <c r="M57" i="7"/>
  <c r="N57" i="7"/>
  <c r="O57" i="7"/>
  <c r="P57" i="7"/>
  <c r="Q57" i="7"/>
  <c r="A58" i="7"/>
  <c r="B58" i="7"/>
  <c r="E58" i="7"/>
  <c r="F58" i="7"/>
  <c r="G58" i="7"/>
  <c r="I58" i="7"/>
  <c r="L58" i="7"/>
  <c r="M58" i="7"/>
  <c r="N58" i="7"/>
  <c r="O58" i="7"/>
  <c r="P58" i="7"/>
  <c r="Q58" i="7"/>
  <c r="A59" i="7"/>
  <c r="B59" i="7"/>
  <c r="E59" i="7"/>
  <c r="F59" i="7"/>
  <c r="G59" i="7"/>
  <c r="I59" i="7"/>
  <c r="L59" i="7"/>
  <c r="M59" i="7"/>
  <c r="N59" i="7"/>
  <c r="O59" i="7"/>
  <c r="P59" i="7"/>
  <c r="Q59" i="7"/>
  <c r="A60" i="7"/>
  <c r="B60" i="7"/>
  <c r="E60" i="7"/>
  <c r="F60" i="7"/>
  <c r="G60" i="7"/>
  <c r="I60" i="7"/>
  <c r="L60" i="7"/>
  <c r="M60" i="7"/>
  <c r="N60" i="7"/>
  <c r="O60" i="7"/>
  <c r="P60" i="7"/>
  <c r="Q60" i="7"/>
  <c r="A61" i="7"/>
  <c r="B61" i="7"/>
  <c r="E61" i="7"/>
  <c r="F61" i="7"/>
  <c r="G61" i="7"/>
  <c r="I61" i="7"/>
  <c r="L61" i="7"/>
  <c r="M61" i="7"/>
  <c r="N61" i="7"/>
  <c r="O61" i="7"/>
  <c r="P61" i="7"/>
  <c r="Q61" i="7"/>
  <c r="A62" i="7"/>
  <c r="B62" i="7"/>
  <c r="E62" i="7"/>
  <c r="K62" i="7" s="1"/>
  <c r="F62" i="7"/>
  <c r="G62" i="7"/>
  <c r="I62" i="7"/>
  <c r="L62" i="7"/>
  <c r="M62" i="7"/>
  <c r="N62" i="7"/>
  <c r="O62" i="7"/>
  <c r="P62" i="7"/>
  <c r="Q62" i="7"/>
  <c r="A63" i="7"/>
  <c r="B63" i="7"/>
  <c r="E63" i="7"/>
  <c r="K63" i="7" s="1"/>
  <c r="F63" i="7"/>
  <c r="G63" i="7"/>
  <c r="I63" i="7"/>
  <c r="L63" i="7"/>
  <c r="M63" i="7"/>
  <c r="N63" i="7"/>
  <c r="O63" i="7"/>
  <c r="P63" i="7"/>
  <c r="Q63" i="7"/>
  <c r="A64" i="7"/>
  <c r="B64" i="7"/>
  <c r="E64" i="7"/>
  <c r="F64" i="7"/>
  <c r="G64" i="7"/>
  <c r="I64" i="7"/>
  <c r="L64" i="7"/>
  <c r="M64" i="7"/>
  <c r="N64" i="7"/>
  <c r="O64" i="7"/>
  <c r="P64" i="7"/>
  <c r="Q64" i="7"/>
  <c r="A65" i="7"/>
  <c r="B65" i="7"/>
  <c r="E65" i="7"/>
  <c r="F65" i="7"/>
  <c r="G65" i="7"/>
  <c r="I65" i="7"/>
  <c r="L65" i="7"/>
  <c r="M65" i="7"/>
  <c r="N65" i="7"/>
  <c r="O65" i="7"/>
  <c r="P65" i="7"/>
  <c r="Q65" i="7"/>
  <c r="A66" i="7"/>
  <c r="B66" i="7"/>
  <c r="E66" i="7"/>
  <c r="F66" i="7"/>
  <c r="G66" i="7"/>
  <c r="I66" i="7"/>
  <c r="L66" i="7"/>
  <c r="M66" i="7"/>
  <c r="N66" i="7"/>
  <c r="O66" i="7"/>
  <c r="P66" i="7"/>
  <c r="Q66" i="7"/>
  <c r="A67" i="7"/>
  <c r="B67" i="7"/>
  <c r="E67" i="7"/>
  <c r="F67" i="7"/>
  <c r="G67" i="7"/>
  <c r="I67" i="7"/>
  <c r="L67" i="7"/>
  <c r="M67" i="7"/>
  <c r="N67" i="7"/>
  <c r="O67" i="7"/>
  <c r="P67" i="7"/>
  <c r="Q67" i="7"/>
  <c r="A68" i="7"/>
  <c r="B68" i="7"/>
  <c r="E68" i="7"/>
  <c r="F68" i="7"/>
  <c r="G68" i="7"/>
  <c r="I68" i="7"/>
  <c r="L68" i="7"/>
  <c r="M68" i="7"/>
  <c r="N68" i="7"/>
  <c r="O68" i="7"/>
  <c r="P68" i="7"/>
  <c r="Q68" i="7"/>
  <c r="A69" i="7"/>
  <c r="B69" i="7"/>
  <c r="E69" i="7"/>
  <c r="F69" i="7"/>
  <c r="G69" i="7"/>
  <c r="I69" i="7"/>
  <c r="L69" i="7"/>
  <c r="M69" i="7"/>
  <c r="N69" i="7"/>
  <c r="O69" i="7"/>
  <c r="P69" i="7"/>
  <c r="Q69" i="7"/>
  <c r="A70" i="7"/>
  <c r="B70" i="7"/>
  <c r="E70" i="7"/>
  <c r="F70" i="7"/>
  <c r="G70" i="7"/>
  <c r="I70" i="7"/>
  <c r="L70" i="7"/>
  <c r="M70" i="7"/>
  <c r="N70" i="7"/>
  <c r="O70" i="7"/>
  <c r="P70" i="7"/>
  <c r="Q70" i="7"/>
  <c r="A71" i="7"/>
  <c r="B71" i="7"/>
  <c r="E71" i="7"/>
  <c r="F71" i="7"/>
  <c r="G71" i="7"/>
  <c r="I71" i="7"/>
  <c r="L71" i="7"/>
  <c r="M71" i="7"/>
  <c r="N71" i="7"/>
  <c r="O71" i="7"/>
  <c r="P71" i="7"/>
  <c r="Q71" i="7"/>
  <c r="A72" i="7"/>
  <c r="B72" i="7"/>
  <c r="E72" i="7"/>
  <c r="K72" i="7" s="1"/>
  <c r="F72" i="7"/>
  <c r="G72" i="7"/>
  <c r="I72" i="7"/>
  <c r="L72" i="7"/>
  <c r="M72" i="7"/>
  <c r="N72" i="7"/>
  <c r="O72" i="7"/>
  <c r="P72" i="7"/>
  <c r="Q72" i="7"/>
  <c r="A73" i="7"/>
  <c r="B73" i="7"/>
  <c r="E73" i="7"/>
  <c r="F73" i="7"/>
  <c r="G73" i="7"/>
  <c r="I73" i="7"/>
  <c r="L73" i="7"/>
  <c r="M73" i="7"/>
  <c r="N73" i="7"/>
  <c r="O73" i="7"/>
  <c r="P73" i="7"/>
  <c r="Q73" i="7"/>
  <c r="A74" i="7"/>
  <c r="B74" i="7"/>
  <c r="E74" i="7"/>
  <c r="F74" i="7"/>
  <c r="G74" i="7"/>
  <c r="I74" i="7"/>
  <c r="L74" i="7"/>
  <c r="M74" i="7"/>
  <c r="N74" i="7"/>
  <c r="O74" i="7"/>
  <c r="P74" i="7"/>
  <c r="Q74" i="7"/>
  <c r="A75" i="7"/>
  <c r="B75" i="7"/>
  <c r="E75" i="7"/>
  <c r="F75" i="7"/>
  <c r="G75" i="7"/>
  <c r="I75" i="7"/>
  <c r="L75" i="7"/>
  <c r="M75" i="7"/>
  <c r="N75" i="7"/>
  <c r="O75" i="7"/>
  <c r="P75" i="7"/>
  <c r="Q75" i="7"/>
  <c r="A76" i="7"/>
  <c r="B76" i="7"/>
  <c r="E76" i="7"/>
  <c r="F76" i="7"/>
  <c r="G76" i="7"/>
  <c r="I76" i="7"/>
  <c r="L76" i="7"/>
  <c r="M76" i="7"/>
  <c r="N76" i="7"/>
  <c r="O76" i="7"/>
  <c r="P76" i="7"/>
  <c r="Q76" i="7"/>
  <c r="A77" i="7"/>
  <c r="B77" i="7"/>
  <c r="E77" i="7"/>
  <c r="K77" i="7" s="1"/>
  <c r="F77" i="7"/>
  <c r="G77" i="7"/>
  <c r="I77" i="7"/>
  <c r="L77" i="7"/>
  <c r="M77" i="7"/>
  <c r="N77" i="7"/>
  <c r="O77" i="7"/>
  <c r="P77" i="7"/>
  <c r="Q77" i="7"/>
  <c r="A78" i="7"/>
  <c r="B78" i="7"/>
  <c r="E78" i="7"/>
  <c r="K78" i="7" s="1"/>
  <c r="F78" i="7"/>
  <c r="G78" i="7"/>
  <c r="I78" i="7"/>
  <c r="L78" i="7"/>
  <c r="M78" i="7"/>
  <c r="N78" i="7"/>
  <c r="O78" i="7"/>
  <c r="P78" i="7"/>
  <c r="Q78" i="7"/>
  <c r="A79" i="7"/>
  <c r="B79" i="7"/>
  <c r="E79" i="7"/>
  <c r="K79" i="7" s="1"/>
  <c r="F79" i="7"/>
  <c r="G79" i="7"/>
  <c r="I79" i="7"/>
  <c r="L79" i="7"/>
  <c r="M79" i="7"/>
  <c r="N79" i="7"/>
  <c r="O79" i="7"/>
  <c r="P79" i="7"/>
  <c r="Q79" i="7"/>
  <c r="A80" i="7"/>
  <c r="B80" i="7"/>
  <c r="E80" i="7"/>
  <c r="F80" i="7"/>
  <c r="G80" i="7"/>
  <c r="I80" i="7"/>
  <c r="L80" i="7"/>
  <c r="M80" i="7"/>
  <c r="N80" i="7"/>
  <c r="O80" i="7"/>
  <c r="P80" i="7"/>
  <c r="Q80" i="7"/>
  <c r="A81" i="7"/>
  <c r="B81" i="7"/>
  <c r="E81" i="7"/>
  <c r="K81" i="7" s="1"/>
  <c r="F81" i="7"/>
  <c r="G81" i="7"/>
  <c r="I81" i="7"/>
  <c r="L81" i="7"/>
  <c r="M81" i="7"/>
  <c r="N81" i="7"/>
  <c r="O81" i="7"/>
  <c r="P81" i="7"/>
  <c r="Q81" i="7"/>
  <c r="A82" i="7"/>
  <c r="B82" i="7"/>
  <c r="E82" i="7"/>
  <c r="F82" i="7"/>
  <c r="G82" i="7"/>
  <c r="I82" i="7"/>
  <c r="L82" i="7"/>
  <c r="M82" i="7"/>
  <c r="N82" i="7"/>
  <c r="O82" i="7"/>
  <c r="P82" i="7"/>
  <c r="Q82" i="7"/>
  <c r="A83" i="7"/>
  <c r="B83" i="7"/>
  <c r="E83" i="7"/>
  <c r="F83" i="7"/>
  <c r="G83" i="7"/>
  <c r="I83" i="7"/>
  <c r="L83" i="7"/>
  <c r="M83" i="7"/>
  <c r="N83" i="7"/>
  <c r="O83" i="7"/>
  <c r="P83" i="7"/>
  <c r="Q83" i="7"/>
  <c r="A84" i="7"/>
  <c r="B84" i="7"/>
  <c r="E84" i="7"/>
  <c r="F84" i="7"/>
  <c r="G84" i="7"/>
  <c r="I84" i="7"/>
  <c r="L84" i="7"/>
  <c r="M84" i="7"/>
  <c r="N84" i="7"/>
  <c r="O84" i="7"/>
  <c r="P84" i="7"/>
  <c r="Q84" i="7"/>
  <c r="A85" i="7"/>
  <c r="B85" i="7"/>
  <c r="E85" i="7"/>
  <c r="F85" i="7"/>
  <c r="G85" i="7"/>
  <c r="I85" i="7"/>
  <c r="L85" i="7"/>
  <c r="M85" i="7"/>
  <c r="N85" i="7"/>
  <c r="O85" i="7"/>
  <c r="P85" i="7"/>
  <c r="Q85" i="7"/>
  <c r="A86" i="7"/>
  <c r="B86" i="7"/>
  <c r="E86" i="7"/>
  <c r="F86" i="7"/>
  <c r="G86" i="7"/>
  <c r="I86" i="7"/>
  <c r="L86" i="7"/>
  <c r="M86" i="7"/>
  <c r="N86" i="7"/>
  <c r="O86" i="7"/>
  <c r="P86" i="7"/>
  <c r="Q86" i="7"/>
  <c r="A87" i="7"/>
  <c r="B87" i="7"/>
  <c r="E87" i="7"/>
  <c r="K87" i="7" s="1"/>
  <c r="F87" i="7"/>
  <c r="G87" i="7"/>
  <c r="I87" i="7"/>
  <c r="L87" i="7"/>
  <c r="M87" i="7"/>
  <c r="N87" i="7"/>
  <c r="O87" i="7"/>
  <c r="P87" i="7"/>
  <c r="Q87" i="7"/>
  <c r="A88" i="7"/>
  <c r="B88" i="7"/>
  <c r="E88" i="7"/>
  <c r="F88" i="7"/>
  <c r="G88" i="7"/>
  <c r="I88" i="7"/>
  <c r="L88" i="7"/>
  <c r="M88" i="7"/>
  <c r="N88" i="7"/>
  <c r="O88" i="7"/>
  <c r="P88" i="7"/>
  <c r="Q88" i="7"/>
  <c r="A89" i="7"/>
  <c r="B89" i="7"/>
  <c r="E89" i="7"/>
  <c r="F89" i="7"/>
  <c r="G89" i="7"/>
  <c r="I89" i="7"/>
  <c r="L89" i="7"/>
  <c r="M89" i="7"/>
  <c r="N89" i="7"/>
  <c r="O89" i="7"/>
  <c r="P89" i="7"/>
  <c r="Q89" i="7"/>
  <c r="A90" i="7"/>
  <c r="B90" i="7"/>
  <c r="E90" i="7"/>
  <c r="F90" i="7"/>
  <c r="G90" i="7"/>
  <c r="I90" i="7"/>
  <c r="L90" i="7"/>
  <c r="M90" i="7"/>
  <c r="N90" i="7"/>
  <c r="O90" i="7"/>
  <c r="P90" i="7"/>
  <c r="Q90" i="7"/>
  <c r="A91" i="7"/>
  <c r="B91" i="7"/>
  <c r="E91" i="7"/>
  <c r="F91" i="7"/>
  <c r="G91" i="7"/>
  <c r="I91" i="7"/>
  <c r="L91" i="7"/>
  <c r="M91" i="7"/>
  <c r="N91" i="7"/>
  <c r="O91" i="7"/>
  <c r="P91" i="7"/>
  <c r="Q91" i="7"/>
  <c r="A92" i="7"/>
  <c r="B92" i="7"/>
  <c r="E92" i="7"/>
  <c r="K92" i="7" s="1"/>
  <c r="F92" i="7"/>
  <c r="G92" i="7"/>
  <c r="I92" i="7"/>
  <c r="L92" i="7"/>
  <c r="M92" i="7"/>
  <c r="N92" i="7"/>
  <c r="O92" i="7"/>
  <c r="P92" i="7"/>
  <c r="Q92" i="7"/>
  <c r="A93" i="7"/>
  <c r="B93" i="7"/>
  <c r="E93" i="7"/>
  <c r="K93" i="7" s="1"/>
  <c r="F93" i="7"/>
  <c r="G93" i="7"/>
  <c r="I93" i="7"/>
  <c r="L93" i="7"/>
  <c r="M93" i="7"/>
  <c r="N93" i="7"/>
  <c r="O93" i="7"/>
  <c r="P93" i="7"/>
  <c r="Q93" i="7"/>
  <c r="A94" i="7"/>
  <c r="B94" i="7"/>
  <c r="E94" i="7"/>
  <c r="F94" i="7"/>
  <c r="G94" i="7"/>
  <c r="I94" i="7"/>
  <c r="L94" i="7"/>
  <c r="M94" i="7"/>
  <c r="N94" i="7"/>
  <c r="O94" i="7"/>
  <c r="P94" i="7"/>
  <c r="Q94" i="7"/>
  <c r="A95" i="7"/>
  <c r="B95" i="7"/>
  <c r="E95" i="7"/>
  <c r="K95" i="7" s="1"/>
  <c r="F95" i="7"/>
  <c r="G95" i="7"/>
  <c r="I95" i="7"/>
  <c r="L95" i="7"/>
  <c r="M95" i="7"/>
  <c r="N95" i="7"/>
  <c r="O95" i="7"/>
  <c r="P95" i="7"/>
  <c r="Q95" i="7"/>
  <c r="A96" i="7"/>
  <c r="B96" i="7"/>
  <c r="E96" i="7"/>
  <c r="F96" i="7"/>
  <c r="G96" i="7"/>
  <c r="I96" i="7"/>
  <c r="L96" i="7"/>
  <c r="M96" i="7"/>
  <c r="N96" i="7"/>
  <c r="O96" i="7"/>
  <c r="P96" i="7"/>
  <c r="Q96" i="7"/>
  <c r="A97" i="7"/>
  <c r="B97" i="7"/>
  <c r="E97" i="7"/>
  <c r="F97" i="7"/>
  <c r="G97" i="7"/>
  <c r="I97" i="7"/>
  <c r="L97" i="7"/>
  <c r="M97" i="7"/>
  <c r="N97" i="7"/>
  <c r="O97" i="7"/>
  <c r="P97" i="7"/>
  <c r="Q97" i="7"/>
  <c r="A98" i="7"/>
  <c r="B98" i="7"/>
  <c r="E98" i="7"/>
  <c r="K98" i="7" s="1"/>
  <c r="F98" i="7"/>
  <c r="G98" i="7"/>
  <c r="I98" i="7"/>
  <c r="L98" i="7"/>
  <c r="M98" i="7"/>
  <c r="N98" i="7"/>
  <c r="O98" i="7"/>
  <c r="P98" i="7"/>
  <c r="Q98" i="7"/>
  <c r="A99" i="7"/>
  <c r="B99" i="7"/>
  <c r="E99" i="7"/>
  <c r="F99" i="7"/>
  <c r="G99" i="7"/>
  <c r="I99" i="7"/>
  <c r="L99" i="7"/>
  <c r="M99" i="7"/>
  <c r="N99" i="7"/>
  <c r="O99" i="7"/>
  <c r="P99" i="7"/>
  <c r="Q99" i="7"/>
  <c r="K36" i="7" l="1"/>
  <c r="K24" i="7"/>
  <c r="K8" i="7"/>
  <c r="K7" i="7"/>
  <c r="K40" i="7"/>
  <c r="K13" i="7"/>
  <c r="K12" i="7"/>
  <c r="K11" i="7"/>
  <c r="K39" i="7"/>
  <c r="K35" i="7"/>
  <c r="K10" i="7"/>
  <c r="K26" i="7"/>
  <c r="K20" i="7"/>
  <c r="K19" i="7"/>
  <c r="K80" i="7"/>
  <c r="K15" i="7"/>
  <c r="K99" i="7"/>
  <c r="K74" i="7"/>
  <c r="K73" i="7"/>
  <c r="K71" i="7"/>
  <c r="K67" i="7"/>
  <c r="K43" i="7"/>
  <c r="K42" i="7"/>
  <c r="K3" i="7"/>
  <c r="K76" i="7"/>
  <c r="K70" i="7"/>
  <c r="K22" i="7"/>
  <c r="K21" i="7"/>
  <c r="K4" i="7"/>
  <c r="K82" i="7"/>
  <c r="K91" i="7"/>
  <c r="K90" i="7"/>
  <c r="K88" i="7"/>
  <c r="K86" i="7"/>
  <c r="K84" i="7"/>
  <c r="K83" i="7"/>
  <c r="K66" i="7"/>
  <c r="K59" i="7"/>
  <c r="K58" i="7"/>
  <c r="K17" i="7"/>
  <c r="K16" i="7"/>
  <c r="K33" i="7"/>
  <c r="K27" i="7"/>
  <c r="K96" i="7"/>
  <c r="K75" i="7"/>
  <c r="K6" i="7"/>
  <c r="K5" i="7"/>
  <c r="K94" i="7"/>
  <c r="K89" i="7"/>
  <c r="K69" i="7"/>
  <c r="K68" i="7"/>
  <c r="K57" i="7"/>
  <c r="K31" i="7"/>
  <c r="K30" i="7"/>
  <c r="K65" i="7"/>
  <c r="K64" i="7"/>
  <c r="K38" i="7"/>
  <c r="K37" i="7"/>
  <c r="K97" i="7"/>
  <c r="K85" i="7"/>
  <c r="K61" i="7"/>
  <c r="K60" i="7"/>
  <c r="K29" i="7"/>
  <c r="K28" i="7"/>
  <c r="K32" i="7"/>
  <c r="K25" i="7"/>
  <c r="K14" i="7"/>
  <c r="K9" i="7"/>
  <c r="E100" i="7"/>
  <c r="K100" i="7" s="1"/>
  <c r="E101" i="7"/>
  <c r="K101" i="7" s="1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A100" i="7"/>
  <c r="B100" i="7"/>
  <c r="G100" i="7"/>
  <c r="I100" i="7"/>
  <c r="L100" i="7"/>
  <c r="M100" i="7"/>
  <c r="N100" i="7"/>
  <c r="O100" i="7"/>
  <c r="Q100" i="7"/>
  <c r="P100" i="7"/>
  <c r="A101" i="7"/>
  <c r="B101" i="7"/>
  <c r="G101" i="7"/>
  <c r="I101" i="7"/>
  <c r="L101" i="7"/>
  <c r="M101" i="7"/>
  <c r="N101" i="7"/>
  <c r="O101" i="7"/>
  <c r="Q101" i="7"/>
  <c r="P101" i="7"/>
  <c r="A102" i="7" l="1"/>
  <c r="B102" i="7"/>
  <c r="K102" i="7"/>
  <c r="G102" i="7"/>
  <c r="I102" i="7"/>
  <c r="L102" i="7"/>
  <c r="M102" i="7"/>
  <c r="N102" i="7"/>
  <c r="O102" i="7"/>
  <c r="Q102" i="7"/>
  <c r="P102" i="7"/>
  <c r="A103" i="7"/>
  <c r="B103" i="7"/>
  <c r="G103" i="7"/>
  <c r="I103" i="7"/>
  <c r="L103" i="7"/>
  <c r="M103" i="7"/>
  <c r="N103" i="7"/>
  <c r="O103" i="7"/>
  <c r="Q103" i="7"/>
  <c r="K103" i="7" s="1"/>
  <c r="P103" i="7"/>
  <c r="A104" i="7"/>
  <c r="B104" i="7"/>
  <c r="G104" i="7"/>
  <c r="I104" i="7"/>
  <c r="L104" i="7"/>
  <c r="M104" i="7"/>
  <c r="N104" i="7"/>
  <c r="O104" i="7"/>
  <c r="Q104" i="7"/>
  <c r="K104" i="7" s="1"/>
  <c r="P104" i="7"/>
  <c r="A105" i="7"/>
  <c r="B105" i="7"/>
  <c r="K105" i="7"/>
  <c r="G105" i="7"/>
  <c r="I105" i="7"/>
  <c r="L105" i="7"/>
  <c r="M105" i="7"/>
  <c r="N105" i="7"/>
  <c r="O105" i="7"/>
  <c r="Q105" i="7"/>
  <c r="P105" i="7"/>
  <c r="A106" i="7"/>
  <c r="B106" i="7"/>
  <c r="K106" i="7"/>
  <c r="G106" i="7"/>
  <c r="I106" i="7"/>
  <c r="L106" i="7"/>
  <c r="M106" i="7"/>
  <c r="N106" i="7"/>
  <c r="O106" i="7"/>
  <c r="Q106" i="7"/>
  <c r="P106" i="7"/>
  <c r="A107" i="7"/>
  <c r="B107" i="7"/>
  <c r="K107" i="7"/>
  <c r="G107" i="7"/>
  <c r="I107" i="7"/>
  <c r="L107" i="7"/>
  <c r="M107" i="7"/>
  <c r="N107" i="7"/>
  <c r="O107" i="7"/>
  <c r="Q107" i="7"/>
  <c r="P107" i="7"/>
  <c r="A108" i="7"/>
  <c r="B108" i="7"/>
  <c r="K108" i="7"/>
  <c r="G108" i="7"/>
  <c r="I108" i="7"/>
  <c r="L108" i="7"/>
  <c r="M108" i="7"/>
  <c r="N108" i="7"/>
  <c r="O108" i="7"/>
  <c r="Q108" i="7"/>
  <c r="P108" i="7"/>
  <c r="A109" i="7"/>
  <c r="B109" i="7"/>
  <c r="G109" i="7"/>
  <c r="I109" i="7"/>
  <c r="L109" i="7"/>
  <c r="M109" i="7"/>
  <c r="N109" i="7"/>
  <c r="O109" i="7"/>
  <c r="Q109" i="7"/>
  <c r="K109" i="7" s="1"/>
  <c r="P109" i="7"/>
  <c r="A110" i="7"/>
  <c r="B110" i="7"/>
  <c r="K110" i="7"/>
  <c r="G110" i="7"/>
  <c r="I110" i="7"/>
  <c r="L110" i="7"/>
  <c r="M110" i="7"/>
  <c r="N110" i="7"/>
  <c r="O110" i="7"/>
  <c r="Q110" i="7"/>
  <c r="P110" i="7"/>
  <c r="A111" i="7"/>
  <c r="B111" i="7"/>
  <c r="K111" i="7"/>
  <c r="G111" i="7"/>
  <c r="I111" i="7"/>
  <c r="L111" i="7"/>
  <c r="M111" i="7"/>
  <c r="N111" i="7"/>
  <c r="O111" i="7"/>
  <c r="Q111" i="7"/>
  <c r="P111" i="7"/>
  <c r="A112" i="7"/>
  <c r="B112" i="7"/>
  <c r="K112" i="7"/>
  <c r="G112" i="7"/>
  <c r="I112" i="7"/>
  <c r="L112" i="7"/>
  <c r="M112" i="7"/>
  <c r="N112" i="7"/>
  <c r="O112" i="7"/>
  <c r="Q112" i="7"/>
  <c r="P112" i="7"/>
  <c r="A113" i="7"/>
  <c r="B113" i="7"/>
  <c r="K113" i="7"/>
  <c r="G113" i="7"/>
  <c r="I113" i="7"/>
  <c r="L113" i="7"/>
  <c r="M113" i="7"/>
  <c r="N113" i="7"/>
  <c r="O113" i="7"/>
  <c r="Q113" i="7"/>
  <c r="P113" i="7"/>
  <c r="A114" i="7"/>
  <c r="B114" i="7"/>
  <c r="G114" i="7"/>
  <c r="I114" i="7"/>
  <c r="L114" i="7"/>
  <c r="M114" i="7"/>
  <c r="N114" i="7"/>
  <c r="O114" i="7"/>
  <c r="Q114" i="7"/>
  <c r="K114" i="7" s="1"/>
  <c r="P114" i="7"/>
  <c r="A115" i="7"/>
  <c r="B115" i="7"/>
  <c r="K115" i="7"/>
  <c r="G115" i="7"/>
  <c r="I115" i="7"/>
  <c r="L115" i="7"/>
  <c r="M115" i="7"/>
  <c r="N115" i="7"/>
  <c r="O115" i="7"/>
  <c r="Q115" i="7"/>
  <c r="P115" i="7"/>
  <c r="A116" i="7"/>
  <c r="B116" i="7"/>
  <c r="K116" i="7"/>
  <c r="G116" i="7"/>
  <c r="I116" i="7"/>
  <c r="L116" i="7"/>
  <c r="M116" i="7"/>
  <c r="N116" i="7"/>
  <c r="O116" i="7"/>
  <c r="Q116" i="7"/>
  <c r="P116" i="7"/>
  <c r="A117" i="7"/>
  <c r="B117" i="7"/>
  <c r="G117" i="7"/>
  <c r="I117" i="7"/>
  <c r="L117" i="7"/>
  <c r="M117" i="7"/>
  <c r="N117" i="7"/>
  <c r="O117" i="7"/>
  <c r="Q117" i="7"/>
  <c r="K117" i="7" s="1"/>
  <c r="P117" i="7"/>
  <c r="A118" i="7"/>
  <c r="B118" i="7"/>
  <c r="G118" i="7"/>
  <c r="I118" i="7"/>
  <c r="L118" i="7"/>
  <c r="M118" i="7"/>
  <c r="N118" i="7"/>
  <c r="O118" i="7"/>
  <c r="Q118" i="7"/>
  <c r="K118" i="7" s="1"/>
  <c r="P118" i="7"/>
  <c r="A119" i="7"/>
  <c r="B119" i="7"/>
  <c r="K119" i="7"/>
  <c r="G119" i="7"/>
  <c r="I119" i="7"/>
  <c r="L119" i="7"/>
  <c r="M119" i="7"/>
  <c r="N119" i="7"/>
  <c r="O119" i="7"/>
  <c r="Q119" i="7"/>
  <c r="P119" i="7"/>
  <c r="A120" i="7"/>
  <c r="B120" i="7"/>
  <c r="K120" i="7"/>
  <c r="G120" i="7"/>
  <c r="I120" i="7"/>
  <c r="L120" i="7"/>
  <c r="M120" i="7"/>
  <c r="N120" i="7"/>
  <c r="O120" i="7"/>
  <c r="Q120" i="7"/>
  <c r="P120" i="7"/>
  <c r="A121" i="7"/>
  <c r="B121" i="7"/>
  <c r="G121" i="7"/>
  <c r="I121" i="7"/>
  <c r="L121" i="7"/>
  <c r="M121" i="7"/>
  <c r="N121" i="7"/>
  <c r="O121" i="7"/>
  <c r="Q121" i="7"/>
  <c r="K121" i="7" s="1"/>
  <c r="P121" i="7"/>
  <c r="A122" i="7"/>
  <c r="B122" i="7"/>
  <c r="K122" i="7"/>
  <c r="G122" i="7"/>
  <c r="I122" i="7"/>
  <c r="L122" i="7"/>
  <c r="M122" i="7"/>
  <c r="N122" i="7"/>
  <c r="O122" i="7"/>
  <c r="Q122" i="7"/>
  <c r="P122" i="7"/>
  <c r="A123" i="7"/>
  <c r="B123" i="7"/>
  <c r="K123" i="7"/>
  <c r="G123" i="7"/>
  <c r="I123" i="7"/>
  <c r="L123" i="7"/>
  <c r="M123" i="7"/>
  <c r="N123" i="7"/>
  <c r="O123" i="7"/>
  <c r="Q123" i="7"/>
  <c r="P123" i="7"/>
  <c r="A124" i="7"/>
  <c r="B124" i="7"/>
  <c r="K124" i="7"/>
  <c r="G124" i="7"/>
  <c r="I124" i="7"/>
  <c r="L124" i="7"/>
  <c r="M124" i="7"/>
  <c r="N124" i="7"/>
  <c r="O124" i="7"/>
  <c r="Q124" i="7"/>
  <c r="P124" i="7"/>
  <c r="A125" i="7"/>
  <c r="B125" i="7"/>
  <c r="K125" i="7"/>
  <c r="G125" i="7"/>
  <c r="I125" i="7"/>
  <c r="L125" i="7"/>
  <c r="M125" i="7"/>
  <c r="N125" i="7"/>
  <c r="O125" i="7"/>
  <c r="Q125" i="7"/>
  <c r="P125" i="7"/>
  <c r="A126" i="7"/>
  <c r="B126" i="7"/>
  <c r="K126" i="7"/>
  <c r="G126" i="7"/>
  <c r="I126" i="7"/>
  <c r="L126" i="7"/>
  <c r="M126" i="7"/>
  <c r="N126" i="7"/>
  <c r="O126" i="7"/>
  <c r="Q126" i="7"/>
  <c r="P126" i="7"/>
  <c r="A127" i="7"/>
  <c r="B127" i="7"/>
  <c r="K127" i="7"/>
  <c r="G127" i="7"/>
  <c r="I127" i="7"/>
  <c r="L127" i="7"/>
  <c r="M127" i="7"/>
  <c r="N127" i="7"/>
  <c r="O127" i="7"/>
  <c r="Q127" i="7"/>
  <c r="P127" i="7"/>
  <c r="A128" i="7"/>
  <c r="B128" i="7"/>
  <c r="K128" i="7"/>
  <c r="G128" i="7"/>
  <c r="I128" i="7"/>
  <c r="L128" i="7"/>
  <c r="M128" i="7"/>
  <c r="N128" i="7"/>
  <c r="O128" i="7"/>
  <c r="Q128" i="7"/>
  <c r="P128" i="7"/>
  <c r="A129" i="7"/>
  <c r="B129" i="7"/>
  <c r="K129" i="7"/>
  <c r="G129" i="7"/>
  <c r="I129" i="7"/>
  <c r="L129" i="7"/>
  <c r="M129" i="7"/>
  <c r="N129" i="7"/>
  <c r="O129" i="7"/>
  <c r="Q129" i="7"/>
  <c r="P129" i="7"/>
  <c r="A130" i="7"/>
  <c r="B130" i="7"/>
  <c r="K130" i="7"/>
  <c r="G130" i="7"/>
  <c r="I130" i="7"/>
  <c r="L130" i="7"/>
  <c r="M130" i="7"/>
  <c r="N130" i="7"/>
  <c r="O130" i="7"/>
  <c r="Q130" i="7"/>
  <c r="P130" i="7"/>
  <c r="A131" i="7"/>
  <c r="B131" i="7"/>
  <c r="K131" i="7"/>
  <c r="G131" i="7"/>
  <c r="I131" i="7"/>
  <c r="L131" i="7"/>
  <c r="M131" i="7"/>
  <c r="N131" i="7"/>
  <c r="O131" i="7"/>
  <c r="Q131" i="7"/>
  <c r="P131" i="7"/>
  <c r="A132" i="7"/>
  <c r="B132" i="7"/>
  <c r="K132" i="7"/>
  <c r="G132" i="7"/>
  <c r="I132" i="7"/>
  <c r="L132" i="7"/>
  <c r="M132" i="7"/>
  <c r="N132" i="7"/>
  <c r="O132" i="7"/>
  <c r="Q132" i="7"/>
  <c r="P132" i="7"/>
  <c r="A133" i="7"/>
  <c r="B133" i="7"/>
  <c r="K133" i="7"/>
  <c r="G133" i="7"/>
  <c r="I133" i="7"/>
  <c r="L133" i="7"/>
  <c r="M133" i="7"/>
  <c r="N133" i="7"/>
  <c r="O133" i="7"/>
  <c r="Q133" i="7"/>
  <c r="P133" i="7"/>
  <c r="A134" i="7"/>
  <c r="B134" i="7"/>
  <c r="K134" i="7"/>
  <c r="G134" i="7"/>
  <c r="I134" i="7"/>
  <c r="L134" i="7"/>
  <c r="M134" i="7"/>
  <c r="N134" i="7"/>
  <c r="O134" i="7"/>
  <c r="Q134" i="7"/>
  <c r="P134" i="7"/>
  <c r="A135" i="7"/>
  <c r="B135" i="7"/>
  <c r="K135" i="7"/>
  <c r="G135" i="7"/>
  <c r="I135" i="7"/>
  <c r="L135" i="7"/>
  <c r="M135" i="7"/>
  <c r="N135" i="7"/>
  <c r="O135" i="7"/>
  <c r="Q135" i="7"/>
  <c r="P135" i="7"/>
  <c r="A136" i="7"/>
  <c r="B136" i="7"/>
  <c r="K136" i="7"/>
  <c r="G136" i="7"/>
  <c r="I136" i="7"/>
  <c r="L136" i="7"/>
  <c r="M136" i="7"/>
  <c r="N136" i="7"/>
  <c r="O136" i="7"/>
  <c r="Q136" i="7"/>
  <c r="P136" i="7"/>
  <c r="A137" i="7"/>
  <c r="B137" i="7"/>
  <c r="K137" i="7"/>
  <c r="G137" i="7"/>
  <c r="I137" i="7"/>
  <c r="L137" i="7"/>
  <c r="M137" i="7"/>
  <c r="N137" i="7"/>
  <c r="O137" i="7"/>
  <c r="Q137" i="7"/>
  <c r="P137" i="7"/>
  <c r="A138" i="7"/>
  <c r="B138" i="7"/>
  <c r="K138" i="7"/>
  <c r="G138" i="7"/>
  <c r="I138" i="7"/>
  <c r="L138" i="7"/>
  <c r="M138" i="7"/>
  <c r="N138" i="7"/>
  <c r="O138" i="7"/>
  <c r="Q138" i="7"/>
  <c r="P138" i="7"/>
  <c r="A139" i="7"/>
  <c r="B139" i="7"/>
  <c r="K139" i="7"/>
  <c r="G139" i="7"/>
  <c r="I139" i="7"/>
  <c r="L139" i="7"/>
  <c r="M139" i="7"/>
  <c r="N139" i="7"/>
  <c r="O139" i="7"/>
  <c r="Q139" i="7"/>
  <c r="P139" i="7"/>
  <c r="A140" i="7"/>
  <c r="B140" i="7"/>
  <c r="K140" i="7"/>
  <c r="G140" i="7"/>
  <c r="I140" i="7"/>
  <c r="L140" i="7"/>
  <c r="M140" i="7"/>
  <c r="N140" i="7"/>
  <c r="O140" i="7"/>
  <c r="Q140" i="7"/>
  <c r="P140" i="7"/>
  <c r="A141" i="7"/>
  <c r="B141" i="7"/>
  <c r="K141" i="7"/>
  <c r="G141" i="7"/>
  <c r="I141" i="7"/>
  <c r="L141" i="7"/>
  <c r="M141" i="7"/>
  <c r="N141" i="7"/>
  <c r="O141" i="7"/>
  <c r="Q141" i="7"/>
  <c r="P141" i="7"/>
  <c r="A142" i="7"/>
  <c r="B142" i="7"/>
  <c r="K142" i="7"/>
  <c r="G142" i="7"/>
  <c r="I142" i="7"/>
  <c r="L142" i="7"/>
  <c r="M142" i="7"/>
  <c r="N142" i="7"/>
  <c r="O142" i="7"/>
  <c r="Q142" i="7"/>
  <c r="P142" i="7"/>
  <c r="A143" i="7"/>
  <c r="B143" i="7"/>
  <c r="K143" i="7"/>
  <c r="G143" i="7"/>
  <c r="I143" i="7"/>
  <c r="L143" i="7"/>
  <c r="M143" i="7"/>
  <c r="N143" i="7"/>
  <c r="O143" i="7"/>
  <c r="Q143" i="7"/>
  <c r="P143" i="7"/>
  <c r="A144" i="7"/>
  <c r="B144" i="7"/>
  <c r="K144" i="7"/>
  <c r="G144" i="7"/>
  <c r="I144" i="7"/>
  <c r="L144" i="7"/>
  <c r="M144" i="7"/>
  <c r="N144" i="7"/>
  <c r="O144" i="7"/>
  <c r="Q144" i="7"/>
  <c r="P144" i="7"/>
  <c r="A145" i="7"/>
  <c r="B145" i="7"/>
  <c r="K145" i="7"/>
  <c r="G145" i="7"/>
  <c r="I145" i="7"/>
  <c r="L145" i="7"/>
  <c r="M145" i="7"/>
  <c r="N145" i="7"/>
  <c r="O145" i="7"/>
  <c r="Q145" i="7"/>
  <c r="P145" i="7"/>
  <c r="A146" i="7"/>
  <c r="B146" i="7"/>
  <c r="K146" i="7"/>
  <c r="G146" i="7"/>
  <c r="I146" i="7"/>
  <c r="L146" i="7"/>
  <c r="M146" i="7"/>
  <c r="N146" i="7"/>
  <c r="O146" i="7"/>
  <c r="Q146" i="7"/>
  <c r="P146" i="7"/>
  <c r="A147" i="7"/>
  <c r="B147" i="7"/>
  <c r="K147" i="7"/>
  <c r="G147" i="7"/>
  <c r="I147" i="7"/>
  <c r="L147" i="7"/>
  <c r="M147" i="7"/>
  <c r="N147" i="7"/>
  <c r="O147" i="7"/>
  <c r="Q147" i="7"/>
  <c r="P147" i="7"/>
  <c r="A148" i="7"/>
  <c r="B148" i="7"/>
  <c r="K148" i="7"/>
  <c r="G148" i="7"/>
  <c r="I148" i="7"/>
  <c r="L148" i="7"/>
  <c r="M148" i="7"/>
  <c r="N148" i="7"/>
  <c r="O148" i="7"/>
  <c r="Q148" i="7"/>
  <c r="P148" i="7"/>
  <c r="A149" i="7"/>
  <c r="B149" i="7"/>
  <c r="K149" i="7"/>
  <c r="G149" i="7"/>
  <c r="I149" i="7"/>
  <c r="L149" i="7"/>
  <c r="M149" i="7"/>
  <c r="N149" i="7"/>
  <c r="O149" i="7"/>
  <c r="Q149" i="7"/>
  <c r="P149" i="7"/>
  <c r="A150" i="7"/>
  <c r="B150" i="7"/>
  <c r="K150" i="7"/>
  <c r="G150" i="7"/>
  <c r="I150" i="7"/>
  <c r="L150" i="7"/>
  <c r="M150" i="7"/>
  <c r="N150" i="7"/>
  <c r="O150" i="7"/>
  <c r="Q150" i="7"/>
  <c r="P150" i="7"/>
  <c r="A151" i="7"/>
  <c r="B151" i="7"/>
  <c r="K151" i="7"/>
  <c r="G151" i="7"/>
  <c r="I151" i="7"/>
  <c r="L151" i="7"/>
  <c r="M151" i="7"/>
  <c r="N151" i="7"/>
  <c r="O151" i="7"/>
  <c r="Q151" i="7"/>
  <c r="P151" i="7"/>
  <c r="A152" i="7"/>
  <c r="B152" i="7"/>
  <c r="K152" i="7"/>
  <c r="G152" i="7"/>
  <c r="I152" i="7"/>
  <c r="L152" i="7"/>
  <c r="M152" i="7"/>
  <c r="N152" i="7"/>
  <c r="O152" i="7"/>
  <c r="Q152" i="7"/>
  <c r="P152" i="7"/>
  <c r="A153" i="7"/>
  <c r="B153" i="7"/>
  <c r="K153" i="7"/>
  <c r="G153" i="7"/>
  <c r="I153" i="7"/>
  <c r="L153" i="7"/>
  <c r="M153" i="7"/>
  <c r="N153" i="7"/>
  <c r="O153" i="7"/>
  <c r="Q153" i="7"/>
  <c r="P153" i="7"/>
  <c r="A154" i="7"/>
  <c r="B154" i="7"/>
  <c r="K154" i="7"/>
  <c r="G154" i="7"/>
  <c r="I154" i="7"/>
  <c r="L154" i="7"/>
  <c r="M154" i="7"/>
  <c r="N154" i="7"/>
  <c r="O154" i="7"/>
  <c r="Q154" i="7"/>
  <c r="P154" i="7"/>
  <c r="A155" i="7"/>
  <c r="B155" i="7"/>
  <c r="K155" i="7"/>
  <c r="G155" i="7"/>
  <c r="I155" i="7"/>
  <c r="L155" i="7"/>
  <c r="M155" i="7"/>
  <c r="N155" i="7"/>
  <c r="O155" i="7"/>
  <c r="Q155" i="7"/>
  <c r="P155" i="7"/>
  <c r="A156" i="7"/>
  <c r="B156" i="7"/>
  <c r="K156" i="7"/>
  <c r="G156" i="7"/>
  <c r="I156" i="7"/>
  <c r="L156" i="7"/>
  <c r="M156" i="7"/>
  <c r="N156" i="7"/>
  <c r="O156" i="7"/>
  <c r="Q156" i="7"/>
  <c r="P156" i="7"/>
  <c r="A157" i="7"/>
  <c r="B157" i="7"/>
  <c r="K157" i="7"/>
  <c r="G157" i="7"/>
  <c r="I157" i="7"/>
  <c r="L157" i="7"/>
  <c r="M157" i="7"/>
  <c r="N157" i="7"/>
  <c r="O157" i="7"/>
  <c r="Q157" i="7"/>
  <c r="P157" i="7"/>
  <c r="A158" i="7"/>
  <c r="B158" i="7"/>
  <c r="K158" i="7"/>
  <c r="G158" i="7"/>
  <c r="I158" i="7"/>
  <c r="L158" i="7"/>
  <c r="M158" i="7"/>
  <c r="N158" i="7"/>
  <c r="O158" i="7"/>
  <c r="Q158" i="7"/>
  <c r="P158" i="7"/>
  <c r="A159" i="7"/>
  <c r="B159" i="7"/>
  <c r="K159" i="7"/>
  <c r="G159" i="7"/>
  <c r="I159" i="7"/>
  <c r="L159" i="7"/>
  <c r="M159" i="7"/>
  <c r="N159" i="7"/>
  <c r="O159" i="7"/>
  <c r="Q159" i="7"/>
  <c r="P159" i="7"/>
  <c r="A160" i="7"/>
  <c r="B160" i="7"/>
  <c r="K160" i="7"/>
  <c r="G160" i="7"/>
  <c r="I160" i="7"/>
  <c r="L160" i="7"/>
  <c r="M160" i="7"/>
  <c r="N160" i="7"/>
  <c r="O160" i="7"/>
  <c r="Q160" i="7"/>
  <c r="P160" i="7"/>
  <c r="A161" i="7"/>
  <c r="B161" i="7"/>
  <c r="K161" i="7"/>
  <c r="G161" i="7"/>
  <c r="I161" i="7"/>
  <c r="L161" i="7"/>
  <c r="M161" i="7"/>
  <c r="N161" i="7"/>
  <c r="O161" i="7"/>
  <c r="Q161" i="7"/>
  <c r="P161" i="7"/>
  <c r="A162" i="7"/>
  <c r="B162" i="7"/>
  <c r="K162" i="7"/>
  <c r="G162" i="7"/>
  <c r="I162" i="7"/>
  <c r="L162" i="7"/>
  <c r="M162" i="7"/>
  <c r="N162" i="7"/>
  <c r="O162" i="7"/>
  <c r="Q162" i="7"/>
  <c r="P162" i="7"/>
  <c r="A163" i="7"/>
  <c r="B163" i="7"/>
  <c r="K163" i="7"/>
  <c r="G163" i="7"/>
  <c r="I163" i="7"/>
  <c r="L163" i="7"/>
  <c r="M163" i="7"/>
  <c r="N163" i="7"/>
  <c r="O163" i="7"/>
  <c r="Q163" i="7"/>
  <c r="P163" i="7"/>
  <c r="A164" i="7"/>
  <c r="B164" i="7"/>
  <c r="K164" i="7"/>
  <c r="G164" i="7"/>
  <c r="I164" i="7"/>
  <c r="L164" i="7"/>
  <c r="M164" i="7"/>
  <c r="N164" i="7"/>
  <c r="O164" i="7"/>
  <c r="Q164" i="7"/>
  <c r="P164" i="7"/>
  <c r="A165" i="7"/>
  <c r="B165" i="7"/>
  <c r="K165" i="7"/>
  <c r="G165" i="7"/>
  <c r="I165" i="7"/>
  <c r="L165" i="7"/>
  <c r="M165" i="7"/>
  <c r="N165" i="7"/>
  <c r="O165" i="7"/>
  <c r="Q165" i="7"/>
  <c r="P165" i="7"/>
  <c r="A166" i="7"/>
  <c r="B166" i="7"/>
  <c r="K166" i="7"/>
  <c r="G166" i="7"/>
  <c r="I166" i="7"/>
  <c r="L166" i="7"/>
  <c r="M166" i="7"/>
  <c r="N166" i="7"/>
  <c r="O166" i="7"/>
  <c r="Q166" i="7"/>
  <c r="P166" i="7"/>
  <c r="A167" i="7"/>
  <c r="B167" i="7"/>
  <c r="K167" i="7"/>
  <c r="G167" i="7"/>
  <c r="I167" i="7"/>
  <c r="L167" i="7"/>
  <c r="M167" i="7"/>
  <c r="N167" i="7"/>
  <c r="O167" i="7"/>
  <c r="Q167" i="7"/>
  <c r="P167" i="7"/>
  <c r="A168" i="7"/>
  <c r="B168" i="7"/>
  <c r="K168" i="7"/>
  <c r="G168" i="7"/>
  <c r="I168" i="7"/>
  <c r="L168" i="7"/>
  <c r="M168" i="7"/>
  <c r="N168" i="7"/>
  <c r="O168" i="7"/>
  <c r="Q168" i="7"/>
  <c r="P168" i="7"/>
  <c r="A169" i="7"/>
  <c r="B169" i="7"/>
  <c r="K169" i="7"/>
  <c r="G169" i="7"/>
  <c r="I169" i="7"/>
  <c r="L169" i="7"/>
  <c r="M169" i="7"/>
  <c r="N169" i="7"/>
  <c r="O169" i="7"/>
  <c r="Q169" i="7"/>
  <c r="P169" i="7"/>
  <c r="A170" i="7"/>
  <c r="B170" i="7"/>
  <c r="K170" i="7"/>
  <c r="G170" i="7"/>
  <c r="I170" i="7"/>
  <c r="L170" i="7"/>
  <c r="M170" i="7"/>
  <c r="N170" i="7"/>
  <c r="O170" i="7"/>
  <c r="Q170" i="7"/>
  <c r="P170" i="7"/>
  <c r="A171" i="7"/>
  <c r="B171" i="7"/>
  <c r="K171" i="7"/>
  <c r="G171" i="7"/>
  <c r="I171" i="7"/>
  <c r="L171" i="7"/>
  <c r="M171" i="7"/>
  <c r="N171" i="7"/>
  <c r="O171" i="7"/>
  <c r="Q171" i="7"/>
  <c r="P171" i="7"/>
  <c r="A172" i="7"/>
  <c r="B172" i="7"/>
  <c r="K172" i="7"/>
  <c r="G172" i="7"/>
  <c r="I172" i="7"/>
  <c r="L172" i="7"/>
  <c r="M172" i="7"/>
  <c r="N172" i="7"/>
  <c r="O172" i="7"/>
  <c r="Q172" i="7"/>
  <c r="P172" i="7"/>
  <c r="A173" i="7"/>
  <c r="B173" i="7"/>
  <c r="K173" i="7"/>
  <c r="G173" i="7"/>
  <c r="I173" i="7"/>
  <c r="L173" i="7"/>
  <c r="M173" i="7"/>
  <c r="N173" i="7"/>
  <c r="O173" i="7"/>
  <c r="Q173" i="7"/>
  <c r="P173" i="7"/>
  <c r="A174" i="7"/>
  <c r="B174" i="7"/>
  <c r="K174" i="7"/>
  <c r="G174" i="7"/>
  <c r="I174" i="7"/>
  <c r="L174" i="7"/>
  <c r="M174" i="7"/>
  <c r="N174" i="7"/>
  <c r="O174" i="7"/>
  <c r="Q174" i="7"/>
  <c r="P174" i="7"/>
  <c r="A175" i="7"/>
  <c r="B175" i="7"/>
  <c r="K175" i="7"/>
  <c r="G175" i="7"/>
  <c r="I175" i="7"/>
  <c r="L175" i="7"/>
  <c r="M175" i="7"/>
  <c r="N175" i="7"/>
  <c r="O175" i="7"/>
  <c r="Q175" i="7"/>
  <c r="P175" i="7"/>
  <c r="A176" i="7"/>
  <c r="B176" i="7"/>
  <c r="K176" i="7"/>
  <c r="G176" i="7"/>
  <c r="I176" i="7"/>
  <c r="L176" i="7"/>
  <c r="M176" i="7"/>
  <c r="N176" i="7"/>
  <c r="O176" i="7"/>
  <c r="Q176" i="7"/>
  <c r="P176" i="7"/>
  <c r="A177" i="7"/>
  <c r="B177" i="7"/>
  <c r="K177" i="7"/>
  <c r="G177" i="7"/>
  <c r="I177" i="7"/>
  <c r="L177" i="7"/>
  <c r="M177" i="7"/>
  <c r="N177" i="7"/>
  <c r="O177" i="7"/>
  <c r="Q177" i="7"/>
  <c r="P177" i="7"/>
  <c r="A178" i="7"/>
  <c r="B178" i="7"/>
  <c r="K178" i="7"/>
  <c r="G178" i="7"/>
  <c r="I178" i="7"/>
  <c r="L178" i="7"/>
  <c r="M178" i="7"/>
  <c r="N178" i="7"/>
  <c r="O178" i="7"/>
  <c r="Q178" i="7"/>
  <c r="P178" i="7"/>
  <c r="A179" i="7"/>
  <c r="B179" i="7"/>
  <c r="K179" i="7"/>
  <c r="G179" i="7"/>
  <c r="I179" i="7"/>
  <c r="L179" i="7"/>
  <c r="M179" i="7"/>
  <c r="N179" i="7"/>
  <c r="O179" i="7"/>
  <c r="Q179" i="7"/>
  <c r="P179" i="7"/>
  <c r="A180" i="7"/>
  <c r="B180" i="7"/>
  <c r="K180" i="7"/>
  <c r="G180" i="7"/>
  <c r="I180" i="7"/>
  <c r="L180" i="7"/>
  <c r="M180" i="7"/>
  <c r="N180" i="7"/>
  <c r="O180" i="7"/>
  <c r="Q180" i="7"/>
  <c r="P180" i="7"/>
  <c r="A181" i="7"/>
  <c r="B181" i="7"/>
  <c r="K181" i="7"/>
  <c r="G181" i="7"/>
  <c r="I181" i="7"/>
  <c r="L181" i="7"/>
  <c r="M181" i="7"/>
  <c r="N181" i="7"/>
  <c r="O181" i="7"/>
  <c r="Q181" i="7"/>
  <c r="P181" i="7"/>
  <c r="A182" i="7"/>
  <c r="B182" i="7"/>
  <c r="K182" i="7"/>
  <c r="G182" i="7"/>
  <c r="I182" i="7"/>
  <c r="L182" i="7"/>
  <c r="M182" i="7"/>
  <c r="N182" i="7"/>
  <c r="O182" i="7"/>
  <c r="Q182" i="7"/>
  <c r="P182" i="7"/>
  <c r="A183" i="7"/>
  <c r="B183" i="7"/>
  <c r="K183" i="7"/>
  <c r="G183" i="7"/>
  <c r="I183" i="7"/>
  <c r="L183" i="7"/>
  <c r="M183" i="7"/>
  <c r="N183" i="7"/>
  <c r="O183" i="7"/>
  <c r="Q183" i="7"/>
  <c r="P183" i="7"/>
  <c r="A184" i="7"/>
  <c r="B184" i="7"/>
  <c r="K184" i="7"/>
  <c r="G184" i="7"/>
  <c r="I184" i="7"/>
  <c r="L184" i="7"/>
  <c r="M184" i="7"/>
  <c r="N184" i="7"/>
  <c r="O184" i="7"/>
  <c r="Q184" i="7"/>
  <c r="P184" i="7"/>
  <c r="A185" i="7"/>
  <c r="B185" i="7"/>
  <c r="K185" i="7"/>
  <c r="G185" i="7"/>
  <c r="I185" i="7"/>
  <c r="L185" i="7"/>
  <c r="M185" i="7"/>
  <c r="N185" i="7"/>
  <c r="O185" i="7"/>
  <c r="Q185" i="7"/>
  <c r="P185" i="7"/>
  <c r="A186" i="7"/>
  <c r="B186" i="7"/>
  <c r="K186" i="7"/>
  <c r="G186" i="7"/>
  <c r="I186" i="7"/>
  <c r="L186" i="7"/>
  <c r="M186" i="7"/>
  <c r="N186" i="7"/>
  <c r="O186" i="7"/>
  <c r="Q186" i="7"/>
  <c r="P186" i="7"/>
  <c r="A187" i="7"/>
  <c r="B187" i="7"/>
  <c r="K187" i="7"/>
  <c r="G187" i="7"/>
  <c r="I187" i="7"/>
  <c r="L187" i="7"/>
  <c r="M187" i="7"/>
  <c r="N187" i="7"/>
  <c r="O187" i="7"/>
  <c r="Q187" i="7"/>
  <c r="P187" i="7"/>
  <c r="A188" i="7"/>
  <c r="B188" i="7"/>
  <c r="K188" i="7"/>
  <c r="G188" i="7"/>
  <c r="I188" i="7"/>
  <c r="L188" i="7"/>
  <c r="M188" i="7"/>
  <c r="N188" i="7"/>
  <c r="O188" i="7"/>
  <c r="Q188" i="7"/>
  <c r="P188" i="7"/>
  <c r="A189" i="7"/>
  <c r="B189" i="7"/>
  <c r="K189" i="7"/>
  <c r="G189" i="7"/>
  <c r="I189" i="7"/>
  <c r="L189" i="7"/>
  <c r="M189" i="7"/>
  <c r="N189" i="7"/>
  <c r="O189" i="7"/>
  <c r="Q189" i="7"/>
  <c r="P189" i="7"/>
  <c r="A190" i="7"/>
  <c r="B190" i="7"/>
  <c r="K190" i="7"/>
  <c r="G190" i="7"/>
  <c r="I190" i="7"/>
  <c r="L190" i="7"/>
  <c r="M190" i="7"/>
  <c r="N190" i="7"/>
  <c r="O190" i="7"/>
  <c r="Q190" i="7"/>
  <c r="P190" i="7"/>
  <c r="A191" i="7"/>
  <c r="B191" i="7"/>
  <c r="K191" i="7"/>
  <c r="G191" i="7"/>
  <c r="I191" i="7"/>
  <c r="L191" i="7"/>
  <c r="M191" i="7"/>
  <c r="N191" i="7"/>
  <c r="O191" i="7"/>
  <c r="Q191" i="7"/>
  <c r="P191" i="7"/>
  <c r="A192" i="7"/>
  <c r="B192" i="7"/>
  <c r="K192" i="7"/>
  <c r="G192" i="7"/>
  <c r="I192" i="7"/>
  <c r="L192" i="7"/>
  <c r="M192" i="7"/>
  <c r="N192" i="7"/>
  <c r="O192" i="7"/>
  <c r="Q192" i="7"/>
  <c r="P192" i="7"/>
  <c r="A193" i="7"/>
  <c r="B193" i="7"/>
  <c r="K193" i="7"/>
  <c r="G193" i="7"/>
  <c r="I193" i="7"/>
  <c r="L193" i="7"/>
  <c r="M193" i="7"/>
  <c r="N193" i="7"/>
  <c r="O193" i="7"/>
  <c r="Q193" i="7"/>
  <c r="P193" i="7"/>
  <c r="A194" i="7"/>
  <c r="B194" i="7"/>
  <c r="K194" i="7"/>
  <c r="G194" i="7"/>
  <c r="I194" i="7"/>
  <c r="L194" i="7"/>
  <c r="M194" i="7"/>
  <c r="N194" i="7"/>
  <c r="O194" i="7"/>
  <c r="Q194" i="7"/>
  <c r="P194" i="7"/>
  <c r="A195" i="7"/>
  <c r="B195" i="7"/>
  <c r="K195" i="7"/>
  <c r="G195" i="7"/>
  <c r="I195" i="7"/>
  <c r="L195" i="7"/>
  <c r="M195" i="7"/>
  <c r="N195" i="7"/>
  <c r="O195" i="7"/>
  <c r="Q195" i="7"/>
  <c r="P195" i="7"/>
  <c r="A196" i="7"/>
  <c r="B196" i="7"/>
  <c r="K196" i="7"/>
  <c r="G196" i="7"/>
  <c r="I196" i="7"/>
  <c r="L196" i="7"/>
  <c r="M196" i="7"/>
  <c r="N196" i="7"/>
  <c r="O196" i="7"/>
  <c r="Q196" i="7"/>
  <c r="P196" i="7"/>
  <c r="A197" i="7"/>
  <c r="B197" i="7"/>
  <c r="K197" i="7"/>
  <c r="G197" i="7"/>
  <c r="I197" i="7"/>
  <c r="L197" i="7"/>
  <c r="M197" i="7"/>
  <c r="N197" i="7"/>
  <c r="O197" i="7"/>
  <c r="Q197" i="7"/>
  <c r="P197" i="7"/>
  <c r="A198" i="7"/>
  <c r="B198" i="7"/>
  <c r="K198" i="7"/>
  <c r="G198" i="7"/>
  <c r="I198" i="7"/>
  <c r="L198" i="7"/>
  <c r="M198" i="7"/>
  <c r="N198" i="7"/>
  <c r="O198" i="7"/>
  <c r="Q198" i="7"/>
  <c r="P198" i="7"/>
  <c r="A199" i="7"/>
  <c r="B199" i="7"/>
  <c r="K199" i="7"/>
  <c r="G199" i="7"/>
  <c r="I199" i="7"/>
  <c r="L199" i="7"/>
  <c r="M199" i="7"/>
  <c r="N199" i="7"/>
  <c r="O199" i="7"/>
  <c r="Q199" i="7"/>
  <c r="P199" i="7"/>
  <c r="A200" i="7"/>
  <c r="B200" i="7"/>
  <c r="K200" i="7"/>
  <c r="G200" i="7"/>
  <c r="I200" i="7"/>
  <c r="L200" i="7"/>
  <c r="M200" i="7"/>
  <c r="N200" i="7"/>
  <c r="O200" i="7"/>
  <c r="Q200" i="7"/>
  <c r="P200" i="7"/>
  <c r="A201" i="7"/>
  <c r="B201" i="7"/>
  <c r="K201" i="7"/>
  <c r="G201" i="7"/>
  <c r="I201" i="7"/>
  <c r="L201" i="7"/>
  <c r="M201" i="7"/>
  <c r="N201" i="7"/>
  <c r="O201" i="7"/>
  <c r="Q201" i="7"/>
  <c r="P201" i="7"/>
  <c r="A202" i="7"/>
  <c r="B202" i="7"/>
  <c r="K202" i="7"/>
  <c r="G202" i="7"/>
  <c r="I202" i="7"/>
  <c r="L202" i="7"/>
  <c r="M202" i="7"/>
  <c r="N202" i="7"/>
  <c r="O202" i="7"/>
  <c r="Q202" i="7"/>
  <c r="P202" i="7"/>
  <c r="A203" i="7"/>
  <c r="B203" i="7"/>
  <c r="K203" i="7"/>
  <c r="G203" i="7"/>
  <c r="I203" i="7"/>
  <c r="L203" i="7"/>
  <c r="M203" i="7"/>
  <c r="N203" i="7"/>
  <c r="O203" i="7"/>
  <c r="Q203" i="7"/>
  <c r="P203" i="7"/>
  <c r="A204" i="7"/>
  <c r="B204" i="7"/>
  <c r="K204" i="7"/>
  <c r="G204" i="7"/>
  <c r="I204" i="7"/>
  <c r="L204" i="7"/>
  <c r="M204" i="7"/>
  <c r="N204" i="7"/>
  <c r="O204" i="7"/>
  <c r="Q204" i="7"/>
  <c r="P204" i="7"/>
  <c r="A205" i="7"/>
  <c r="B205" i="7"/>
  <c r="K205" i="7"/>
  <c r="G205" i="7"/>
  <c r="I205" i="7"/>
  <c r="L205" i="7"/>
  <c r="M205" i="7"/>
  <c r="N205" i="7"/>
  <c r="O205" i="7"/>
  <c r="Q205" i="7"/>
  <c r="P205" i="7"/>
  <c r="A206" i="7"/>
  <c r="B206" i="7"/>
  <c r="K206" i="7"/>
  <c r="G206" i="7"/>
  <c r="I206" i="7"/>
  <c r="L206" i="7"/>
  <c r="M206" i="7"/>
  <c r="N206" i="7"/>
  <c r="O206" i="7"/>
  <c r="Q206" i="7"/>
  <c r="P206" i="7"/>
  <c r="A207" i="7"/>
  <c r="B207" i="7"/>
  <c r="K207" i="7"/>
  <c r="G207" i="7"/>
  <c r="I207" i="7"/>
  <c r="L207" i="7"/>
  <c r="M207" i="7"/>
  <c r="N207" i="7"/>
  <c r="O207" i="7"/>
  <c r="Q207" i="7"/>
  <c r="P207" i="7"/>
  <c r="A208" i="7"/>
  <c r="B208" i="7"/>
  <c r="K208" i="7"/>
  <c r="G208" i="7"/>
  <c r="I208" i="7"/>
  <c r="L208" i="7"/>
  <c r="M208" i="7"/>
  <c r="N208" i="7"/>
  <c r="O208" i="7"/>
  <c r="Q208" i="7"/>
  <c r="P208" i="7"/>
  <c r="A209" i="7"/>
  <c r="B209" i="7"/>
  <c r="K209" i="7"/>
  <c r="G209" i="7"/>
  <c r="I209" i="7"/>
  <c r="L209" i="7"/>
  <c r="M209" i="7"/>
  <c r="N209" i="7"/>
  <c r="O209" i="7"/>
  <c r="Q209" i="7"/>
  <c r="P209" i="7"/>
  <c r="A210" i="7"/>
  <c r="B210" i="7"/>
  <c r="K210" i="7"/>
  <c r="G210" i="7"/>
  <c r="I210" i="7"/>
  <c r="L210" i="7"/>
  <c r="M210" i="7"/>
  <c r="N210" i="7"/>
  <c r="O210" i="7"/>
  <c r="Q210" i="7"/>
  <c r="P210" i="7"/>
  <c r="A211" i="7"/>
  <c r="B211" i="7"/>
  <c r="K211" i="7"/>
  <c r="G211" i="7"/>
  <c r="I211" i="7"/>
  <c r="L211" i="7"/>
  <c r="M211" i="7"/>
  <c r="N211" i="7"/>
  <c r="O211" i="7"/>
  <c r="Q211" i="7"/>
  <c r="P211" i="7"/>
  <c r="A212" i="7"/>
  <c r="B212" i="7"/>
  <c r="K212" i="7"/>
  <c r="G212" i="7"/>
  <c r="I212" i="7"/>
  <c r="L212" i="7"/>
  <c r="M212" i="7"/>
  <c r="N212" i="7"/>
  <c r="O212" i="7"/>
  <c r="Q212" i="7"/>
  <c r="P212" i="7"/>
  <c r="A213" i="7"/>
  <c r="B213" i="7"/>
  <c r="K213" i="7"/>
  <c r="G213" i="7"/>
  <c r="I213" i="7"/>
  <c r="L213" i="7"/>
  <c r="M213" i="7"/>
  <c r="N213" i="7"/>
  <c r="O213" i="7"/>
  <c r="Q213" i="7"/>
  <c r="P213" i="7"/>
  <c r="A214" i="7"/>
  <c r="B214" i="7"/>
  <c r="K214" i="7"/>
  <c r="G214" i="7"/>
  <c r="I214" i="7"/>
  <c r="L214" i="7"/>
  <c r="M214" i="7"/>
  <c r="N214" i="7"/>
  <c r="O214" i="7"/>
  <c r="Q214" i="7"/>
  <c r="P214" i="7"/>
  <c r="A215" i="7"/>
  <c r="B215" i="7"/>
  <c r="K215" i="7"/>
  <c r="G215" i="7"/>
  <c r="I215" i="7"/>
  <c r="L215" i="7"/>
  <c r="M215" i="7"/>
  <c r="N215" i="7"/>
  <c r="O215" i="7"/>
  <c r="Q215" i="7"/>
  <c r="P215" i="7"/>
  <c r="A216" i="7"/>
  <c r="B216" i="7"/>
  <c r="K216" i="7"/>
  <c r="G216" i="7"/>
  <c r="I216" i="7"/>
  <c r="L216" i="7"/>
  <c r="M216" i="7"/>
  <c r="N216" i="7"/>
  <c r="O216" i="7"/>
  <c r="Q216" i="7"/>
  <c r="P216" i="7"/>
  <c r="A217" i="7"/>
  <c r="B217" i="7"/>
  <c r="K217" i="7"/>
  <c r="G217" i="7"/>
  <c r="I217" i="7"/>
  <c r="L217" i="7"/>
  <c r="M217" i="7"/>
  <c r="N217" i="7"/>
  <c r="O217" i="7"/>
  <c r="Q217" i="7"/>
  <c r="P217" i="7"/>
  <c r="A218" i="7"/>
  <c r="B218" i="7"/>
  <c r="K218" i="7"/>
  <c r="G218" i="7"/>
  <c r="I218" i="7"/>
  <c r="L218" i="7"/>
  <c r="M218" i="7"/>
  <c r="N218" i="7"/>
  <c r="O218" i="7"/>
  <c r="Q218" i="7"/>
  <c r="P218" i="7"/>
  <c r="A219" i="7"/>
  <c r="B219" i="7"/>
  <c r="K219" i="7"/>
  <c r="G219" i="7"/>
  <c r="I219" i="7"/>
  <c r="L219" i="7"/>
  <c r="M219" i="7"/>
  <c r="N219" i="7"/>
  <c r="O219" i="7"/>
  <c r="Q219" i="7"/>
  <c r="P219" i="7"/>
  <c r="A220" i="7"/>
  <c r="B220" i="7"/>
  <c r="K220" i="7"/>
  <c r="G220" i="7"/>
  <c r="I220" i="7"/>
  <c r="L220" i="7"/>
  <c r="M220" i="7"/>
  <c r="N220" i="7"/>
  <c r="O220" i="7"/>
  <c r="Q220" i="7"/>
  <c r="P220" i="7"/>
  <c r="A221" i="7"/>
  <c r="B221" i="7"/>
  <c r="K221" i="7"/>
  <c r="G221" i="7"/>
  <c r="I221" i="7"/>
  <c r="L221" i="7"/>
  <c r="M221" i="7"/>
  <c r="N221" i="7"/>
  <c r="O221" i="7"/>
  <c r="Q221" i="7"/>
  <c r="P221" i="7"/>
  <c r="A222" i="7"/>
  <c r="B222" i="7"/>
  <c r="K222" i="7"/>
  <c r="G222" i="7"/>
  <c r="I222" i="7"/>
  <c r="L222" i="7"/>
  <c r="M222" i="7"/>
  <c r="N222" i="7"/>
  <c r="O222" i="7"/>
  <c r="Q222" i="7"/>
  <c r="P222" i="7"/>
  <c r="A223" i="7"/>
  <c r="B223" i="7"/>
  <c r="K223" i="7"/>
  <c r="G223" i="7"/>
  <c r="I223" i="7"/>
  <c r="L223" i="7"/>
  <c r="M223" i="7"/>
  <c r="N223" i="7"/>
  <c r="O223" i="7"/>
  <c r="Q223" i="7"/>
  <c r="P223" i="7"/>
  <c r="A224" i="7"/>
  <c r="B224" i="7"/>
  <c r="K224" i="7"/>
  <c r="G224" i="7"/>
  <c r="I224" i="7"/>
  <c r="L224" i="7"/>
  <c r="M224" i="7"/>
  <c r="N224" i="7"/>
  <c r="O224" i="7"/>
  <c r="Q224" i="7"/>
  <c r="P224" i="7"/>
  <c r="A225" i="7"/>
  <c r="B225" i="7"/>
  <c r="K225" i="7"/>
  <c r="G225" i="7"/>
  <c r="I225" i="7"/>
  <c r="L225" i="7"/>
  <c r="M225" i="7"/>
  <c r="N225" i="7"/>
  <c r="O225" i="7"/>
  <c r="Q225" i="7"/>
  <c r="P225" i="7"/>
  <c r="A226" i="7"/>
  <c r="B226" i="7"/>
  <c r="K226" i="7"/>
  <c r="G226" i="7"/>
  <c r="I226" i="7"/>
  <c r="L226" i="7"/>
  <c r="M226" i="7"/>
  <c r="N226" i="7"/>
  <c r="O226" i="7"/>
  <c r="Q226" i="7"/>
  <c r="P226" i="7"/>
  <c r="A227" i="7"/>
  <c r="B227" i="7"/>
  <c r="K227" i="7"/>
  <c r="G227" i="7"/>
  <c r="I227" i="7"/>
  <c r="L227" i="7"/>
  <c r="M227" i="7"/>
  <c r="N227" i="7"/>
  <c r="O227" i="7"/>
  <c r="Q227" i="7"/>
  <c r="P227" i="7"/>
  <c r="A228" i="7"/>
  <c r="B228" i="7"/>
  <c r="K228" i="7"/>
  <c r="G228" i="7"/>
  <c r="I228" i="7"/>
  <c r="L228" i="7"/>
  <c r="M228" i="7"/>
  <c r="N228" i="7"/>
  <c r="O228" i="7"/>
  <c r="Q228" i="7"/>
  <c r="P228" i="7"/>
  <c r="A229" i="7"/>
  <c r="B229" i="7"/>
  <c r="K229" i="7"/>
  <c r="G229" i="7"/>
  <c r="I229" i="7"/>
  <c r="L229" i="7"/>
  <c r="M229" i="7"/>
  <c r="N229" i="7"/>
  <c r="O229" i="7"/>
  <c r="Q229" i="7"/>
  <c r="P229" i="7"/>
  <c r="A230" i="7"/>
  <c r="B230" i="7"/>
  <c r="K230" i="7"/>
  <c r="G230" i="7"/>
  <c r="I230" i="7"/>
  <c r="L230" i="7"/>
  <c r="M230" i="7"/>
  <c r="N230" i="7"/>
  <c r="O230" i="7"/>
  <c r="Q230" i="7"/>
  <c r="P230" i="7"/>
  <c r="A231" i="7"/>
  <c r="B231" i="7"/>
  <c r="K231" i="7"/>
  <c r="G231" i="7"/>
  <c r="I231" i="7"/>
  <c r="L231" i="7"/>
  <c r="M231" i="7"/>
  <c r="N231" i="7"/>
  <c r="O231" i="7"/>
  <c r="Q231" i="7"/>
  <c r="P231" i="7"/>
  <c r="A232" i="7"/>
  <c r="B232" i="7"/>
  <c r="K232" i="7"/>
  <c r="G232" i="7"/>
  <c r="I232" i="7"/>
  <c r="L232" i="7"/>
  <c r="M232" i="7"/>
  <c r="N232" i="7"/>
  <c r="O232" i="7"/>
  <c r="Q232" i="7"/>
  <c r="P232" i="7"/>
  <c r="A233" i="7"/>
  <c r="B233" i="7"/>
  <c r="K233" i="7"/>
  <c r="G233" i="7"/>
  <c r="I233" i="7"/>
  <c r="L233" i="7"/>
  <c r="M233" i="7"/>
  <c r="N233" i="7"/>
  <c r="O233" i="7"/>
  <c r="Q233" i="7"/>
  <c r="P233" i="7"/>
  <c r="A234" i="7"/>
  <c r="B234" i="7"/>
  <c r="K234" i="7"/>
  <c r="G234" i="7"/>
  <c r="I234" i="7"/>
  <c r="L234" i="7"/>
  <c r="M234" i="7"/>
  <c r="N234" i="7"/>
  <c r="O234" i="7"/>
  <c r="Q234" i="7"/>
  <c r="P234" i="7"/>
  <c r="A235" i="7"/>
  <c r="B235" i="7"/>
  <c r="K235" i="7"/>
  <c r="G235" i="7"/>
  <c r="I235" i="7"/>
  <c r="L235" i="7"/>
  <c r="M235" i="7"/>
  <c r="N235" i="7"/>
  <c r="O235" i="7"/>
  <c r="Q235" i="7"/>
  <c r="P235" i="7"/>
  <c r="A236" i="7"/>
  <c r="B236" i="7"/>
  <c r="K236" i="7"/>
  <c r="G236" i="7"/>
  <c r="I236" i="7"/>
  <c r="L236" i="7"/>
  <c r="M236" i="7"/>
  <c r="N236" i="7"/>
  <c r="O236" i="7"/>
  <c r="Q236" i="7"/>
  <c r="P236" i="7"/>
  <c r="A237" i="7"/>
  <c r="B237" i="7"/>
  <c r="K237" i="7"/>
  <c r="G237" i="7"/>
  <c r="I237" i="7"/>
  <c r="L237" i="7"/>
  <c r="M237" i="7"/>
  <c r="N237" i="7"/>
  <c r="O237" i="7"/>
  <c r="Q237" i="7"/>
  <c r="P237" i="7"/>
  <c r="A238" i="7"/>
  <c r="B238" i="7"/>
  <c r="K238" i="7"/>
  <c r="G238" i="7"/>
  <c r="I238" i="7"/>
  <c r="L238" i="7"/>
  <c r="M238" i="7"/>
  <c r="N238" i="7"/>
  <c r="O238" i="7"/>
  <c r="Q238" i="7"/>
  <c r="P238" i="7"/>
  <c r="A239" i="7"/>
  <c r="B239" i="7"/>
  <c r="K239" i="7"/>
  <c r="G239" i="7"/>
  <c r="I239" i="7"/>
  <c r="L239" i="7"/>
  <c r="M239" i="7"/>
  <c r="N239" i="7"/>
  <c r="O239" i="7"/>
  <c r="Q239" i="7"/>
  <c r="P239" i="7"/>
  <c r="A240" i="7"/>
  <c r="B240" i="7"/>
  <c r="K240" i="7"/>
  <c r="G240" i="7"/>
  <c r="I240" i="7"/>
  <c r="L240" i="7"/>
  <c r="M240" i="7"/>
  <c r="N240" i="7"/>
  <c r="O240" i="7"/>
  <c r="Q240" i="7"/>
  <c r="P240" i="7"/>
  <c r="A241" i="7"/>
  <c r="B241" i="7"/>
  <c r="K241" i="7"/>
  <c r="G241" i="7"/>
  <c r="I241" i="7"/>
  <c r="L241" i="7"/>
  <c r="M241" i="7"/>
  <c r="N241" i="7"/>
  <c r="O241" i="7"/>
  <c r="Q241" i="7"/>
  <c r="P241" i="7"/>
  <c r="A242" i="7"/>
  <c r="B242" i="7"/>
  <c r="K242" i="7"/>
  <c r="G242" i="7"/>
  <c r="I242" i="7"/>
  <c r="L242" i="7"/>
  <c r="M242" i="7"/>
  <c r="N242" i="7"/>
  <c r="O242" i="7"/>
  <c r="Q242" i="7"/>
  <c r="P242" i="7"/>
  <c r="A243" i="7"/>
  <c r="B243" i="7"/>
  <c r="K243" i="7"/>
  <c r="G243" i="7"/>
  <c r="I243" i="7"/>
  <c r="L243" i="7"/>
  <c r="M243" i="7"/>
  <c r="N243" i="7"/>
  <c r="O243" i="7"/>
  <c r="Q243" i="7"/>
  <c r="P243" i="7"/>
  <c r="A244" i="7"/>
  <c r="B244" i="7"/>
  <c r="K244" i="7"/>
  <c r="G244" i="7"/>
  <c r="I244" i="7"/>
  <c r="L244" i="7"/>
  <c r="M244" i="7"/>
  <c r="N244" i="7"/>
  <c r="O244" i="7"/>
  <c r="Q244" i="7"/>
  <c r="P244" i="7"/>
  <c r="A245" i="7"/>
  <c r="B245" i="7"/>
  <c r="K245" i="7"/>
  <c r="G245" i="7"/>
  <c r="I245" i="7"/>
  <c r="L245" i="7"/>
  <c r="M245" i="7"/>
  <c r="N245" i="7"/>
  <c r="O245" i="7"/>
  <c r="Q245" i="7"/>
  <c r="P245" i="7"/>
  <c r="A246" i="7"/>
  <c r="B246" i="7"/>
  <c r="K246" i="7"/>
  <c r="G246" i="7"/>
  <c r="I246" i="7"/>
  <c r="L246" i="7"/>
  <c r="M246" i="7"/>
  <c r="N246" i="7"/>
  <c r="O246" i="7"/>
  <c r="Q246" i="7"/>
  <c r="P246" i="7"/>
  <c r="A247" i="7"/>
  <c r="B247" i="7"/>
  <c r="K247" i="7"/>
  <c r="G247" i="7"/>
  <c r="I247" i="7"/>
  <c r="L247" i="7"/>
  <c r="M247" i="7"/>
  <c r="N247" i="7"/>
  <c r="O247" i="7"/>
  <c r="Q247" i="7"/>
  <c r="P247" i="7"/>
  <c r="A248" i="7"/>
  <c r="B248" i="7"/>
  <c r="K248" i="7"/>
  <c r="G248" i="7"/>
  <c r="I248" i="7"/>
  <c r="L248" i="7"/>
  <c r="M248" i="7"/>
  <c r="N248" i="7"/>
  <c r="O248" i="7"/>
  <c r="Q248" i="7"/>
  <c r="P248" i="7"/>
  <c r="A249" i="7"/>
  <c r="B249" i="7"/>
  <c r="K249" i="7"/>
  <c r="G249" i="7"/>
  <c r="I249" i="7"/>
  <c r="L249" i="7"/>
  <c r="M249" i="7"/>
  <c r="N249" i="7"/>
  <c r="O249" i="7"/>
  <c r="Q249" i="7"/>
  <c r="P249" i="7"/>
  <c r="A250" i="7"/>
  <c r="B250" i="7"/>
  <c r="K250" i="7"/>
  <c r="G250" i="7"/>
  <c r="I250" i="7"/>
  <c r="L250" i="7"/>
  <c r="M250" i="7"/>
  <c r="N250" i="7"/>
  <c r="O250" i="7"/>
  <c r="Q250" i="7"/>
  <c r="P250" i="7"/>
  <c r="A251" i="7"/>
  <c r="B251" i="7"/>
  <c r="K251" i="7"/>
  <c r="G251" i="7"/>
  <c r="I251" i="7"/>
  <c r="L251" i="7"/>
  <c r="M251" i="7"/>
  <c r="N251" i="7"/>
  <c r="O251" i="7"/>
  <c r="Q251" i="7"/>
  <c r="P251" i="7"/>
  <c r="A252" i="7"/>
  <c r="B252" i="7"/>
  <c r="K252" i="7"/>
  <c r="G252" i="7"/>
  <c r="I252" i="7"/>
  <c r="L252" i="7"/>
  <c r="M252" i="7"/>
  <c r="N252" i="7"/>
  <c r="O252" i="7"/>
  <c r="Q252" i="7"/>
  <c r="P252" i="7"/>
  <c r="A253" i="7"/>
  <c r="B253" i="7"/>
  <c r="K253" i="7"/>
  <c r="G253" i="7"/>
  <c r="I253" i="7"/>
  <c r="L253" i="7"/>
  <c r="M253" i="7"/>
  <c r="N253" i="7"/>
  <c r="O253" i="7"/>
  <c r="Q253" i="7"/>
  <c r="P253" i="7"/>
  <c r="A254" i="7"/>
  <c r="B254" i="7"/>
  <c r="K254" i="7"/>
  <c r="G254" i="7"/>
  <c r="I254" i="7"/>
  <c r="L254" i="7"/>
  <c r="M254" i="7"/>
  <c r="N254" i="7"/>
  <c r="O254" i="7"/>
  <c r="Q254" i="7"/>
  <c r="P254" i="7"/>
  <c r="A255" i="7"/>
  <c r="B255" i="7"/>
  <c r="K255" i="7"/>
  <c r="G255" i="7"/>
  <c r="I255" i="7"/>
  <c r="L255" i="7"/>
  <c r="M255" i="7"/>
  <c r="N255" i="7"/>
  <c r="O255" i="7"/>
  <c r="Q255" i="7"/>
  <c r="P255" i="7"/>
  <c r="A256" i="7"/>
  <c r="B256" i="7"/>
  <c r="K256" i="7"/>
  <c r="G256" i="7"/>
  <c r="I256" i="7"/>
  <c r="L256" i="7"/>
  <c r="M256" i="7"/>
  <c r="N256" i="7"/>
  <c r="O256" i="7"/>
  <c r="Q256" i="7"/>
  <c r="P256" i="7"/>
  <c r="A257" i="7"/>
  <c r="B257" i="7"/>
  <c r="K257" i="7"/>
  <c r="G257" i="7"/>
  <c r="I257" i="7"/>
  <c r="L257" i="7"/>
  <c r="M257" i="7"/>
  <c r="N257" i="7"/>
  <c r="O257" i="7"/>
  <c r="Q257" i="7"/>
  <c r="P257" i="7"/>
  <c r="A258" i="7"/>
  <c r="B258" i="7"/>
  <c r="K258" i="7"/>
  <c r="G258" i="7"/>
  <c r="I258" i="7"/>
  <c r="L258" i="7"/>
  <c r="M258" i="7"/>
  <c r="N258" i="7"/>
  <c r="O258" i="7"/>
  <c r="Q258" i="7"/>
  <c r="P258" i="7"/>
  <c r="A259" i="7"/>
  <c r="B259" i="7"/>
  <c r="K259" i="7"/>
  <c r="G259" i="7"/>
  <c r="I259" i="7"/>
  <c r="L259" i="7"/>
  <c r="M259" i="7"/>
  <c r="N259" i="7"/>
  <c r="O259" i="7"/>
  <c r="Q259" i="7"/>
  <c r="P259" i="7"/>
  <c r="A260" i="7"/>
  <c r="B260" i="7"/>
  <c r="K260" i="7"/>
  <c r="G260" i="7"/>
  <c r="I260" i="7"/>
  <c r="L260" i="7"/>
  <c r="M260" i="7"/>
  <c r="N260" i="7"/>
  <c r="O260" i="7"/>
  <c r="Q260" i="7"/>
  <c r="P260" i="7"/>
  <c r="A261" i="7"/>
  <c r="B261" i="7"/>
  <c r="K261" i="7"/>
  <c r="G261" i="7"/>
  <c r="I261" i="7"/>
  <c r="L261" i="7"/>
  <c r="M261" i="7"/>
  <c r="N261" i="7"/>
  <c r="O261" i="7"/>
  <c r="Q261" i="7"/>
  <c r="P261" i="7"/>
  <c r="A262" i="7"/>
  <c r="B262" i="7"/>
  <c r="K262" i="7"/>
  <c r="G262" i="7"/>
  <c r="I262" i="7"/>
  <c r="L262" i="7"/>
  <c r="M262" i="7"/>
  <c r="N262" i="7"/>
  <c r="O262" i="7"/>
  <c r="Q262" i="7"/>
  <c r="P262" i="7"/>
  <c r="A263" i="7"/>
  <c r="B263" i="7"/>
  <c r="K263" i="7"/>
  <c r="G263" i="7"/>
  <c r="I263" i="7"/>
  <c r="L263" i="7"/>
  <c r="M263" i="7"/>
  <c r="N263" i="7"/>
  <c r="O263" i="7"/>
  <c r="Q263" i="7"/>
  <c r="P263" i="7"/>
  <c r="A264" i="7"/>
  <c r="B264" i="7"/>
  <c r="K264" i="7"/>
  <c r="G264" i="7"/>
  <c r="I264" i="7"/>
  <c r="L264" i="7"/>
  <c r="M264" i="7"/>
  <c r="N264" i="7"/>
  <c r="O264" i="7"/>
  <c r="Q264" i="7"/>
  <c r="P264" i="7"/>
  <c r="A265" i="7"/>
  <c r="B265" i="7"/>
  <c r="K265" i="7"/>
  <c r="G265" i="7"/>
  <c r="I265" i="7"/>
  <c r="L265" i="7"/>
  <c r="M265" i="7"/>
  <c r="N265" i="7"/>
  <c r="O265" i="7"/>
  <c r="Q265" i="7"/>
  <c r="P265" i="7"/>
  <c r="A266" i="7"/>
  <c r="B266" i="7"/>
  <c r="K266" i="7"/>
  <c r="G266" i="7"/>
  <c r="I266" i="7"/>
  <c r="L266" i="7"/>
  <c r="M266" i="7"/>
  <c r="N266" i="7"/>
  <c r="O266" i="7"/>
  <c r="Q266" i="7"/>
  <c r="P266" i="7"/>
  <c r="A267" i="7"/>
  <c r="B267" i="7"/>
  <c r="K267" i="7"/>
  <c r="G267" i="7"/>
  <c r="I267" i="7"/>
  <c r="L267" i="7"/>
  <c r="M267" i="7"/>
  <c r="N267" i="7"/>
  <c r="O267" i="7"/>
  <c r="Q267" i="7"/>
  <c r="P267" i="7"/>
  <c r="A268" i="7"/>
  <c r="B268" i="7"/>
  <c r="K268" i="7"/>
  <c r="G268" i="7"/>
  <c r="I268" i="7"/>
  <c r="L268" i="7"/>
  <c r="M268" i="7"/>
  <c r="N268" i="7"/>
  <c r="O268" i="7"/>
  <c r="Q268" i="7"/>
  <c r="P268" i="7"/>
  <c r="A269" i="7"/>
  <c r="B269" i="7"/>
  <c r="K269" i="7"/>
  <c r="G269" i="7"/>
  <c r="I269" i="7"/>
  <c r="L269" i="7"/>
  <c r="M269" i="7"/>
  <c r="N269" i="7"/>
  <c r="O269" i="7"/>
  <c r="Q269" i="7"/>
  <c r="P269" i="7"/>
  <c r="A270" i="7"/>
  <c r="B270" i="7"/>
  <c r="K270" i="7"/>
  <c r="G270" i="7"/>
  <c r="I270" i="7"/>
  <c r="L270" i="7"/>
  <c r="M270" i="7"/>
  <c r="N270" i="7"/>
  <c r="O270" i="7"/>
  <c r="Q270" i="7"/>
  <c r="P270" i="7"/>
  <c r="A271" i="7"/>
  <c r="B271" i="7"/>
  <c r="K271" i="7"/>
  <c r="G271" i="7"/>
  <c r="I271" i="7"/>
  <c r="L271" i="7"/>
  <c r="M271" i="7"/>
  <c r="N271" i="7"/>
  <c r="O271" i="7"/>
  <c r="Q271" i="7"/>
  <c r="P271" i="7"/>
  <c r="A272" i="7"/>
  <c r="B272" i="7"/>
  <c r="K272" i="7"/>
  <c r="G272" i="7"/>
  <c r="I272" i="7"/>
  <c r="L272" i="7"/>
  <c r="M272" i="7"/>
  <c r="N272" i="7"/>
  <c r="O272" i="7"/>
  <c r="Q272" i="7"/>
  <c r="P272" i="7"/>
  <c r="A273" i="7"/>
  <c r="B273" i="7"/>
  <c r="K273" i="7"/>
  <c r="G273" i="7"/>
  <c r="I273" i="7"/>
  <c r="L273" i="7"/>
  <c r="M273" i="7"/>
  <c r="N273" i="7"/>
  <c r="O273" i="7"/>
  <c r="Q273" i="7"/>
  <c r="P273" i="7"/>
  <c r="A274" i="7"/>
  <c r="B274" i="7"/>
  <c r="K274" i="7"/>
  <c r="G274" i="7"/>
  <c r="I274" i="7"/>
  <c r="L274" i="7"/>
  <c r="M274" i="7"/>
  <c r="N274" i="7"/>
  <c r="O274" i="7"/>
  <c r="Q274" i="7"/>
  <c r="P274" i="7"/>
  <c r="A275" i="7"/>
  <c r="B275" i="7"/>
  <c r="K275" i="7"/>
  <c r="G275" i="7"/>
  <c r="I275" i="7"/>
  <c r="L275" i="7"/>
  <c r="M275" i="7"/>
  <c r="N275" i="7"/>
  <c r="O275" i="7"/>
  <c r="Q275" i="7"/>
  <c r="P275" i="7"/>
  <c r="A276" i="7"/>
  <c r="B276" i="7"/>
  <c r="K276" i="7"/>
  <c r="G276" i="7"/>
  <c r="I276" i="7"/>
  <c r="L276" i="7"/>
  <c r="M276" i="7"/>
  <c r="N276" i="7"/>
  <c r="O276" i="7"/>
  <c r="Q276" i="7"/>
  <c r="P276" i="7"/>
  <c r="A277" i="7"/>
  <c r="B277" i="7"/>
  <c r="K277" i="7"/>
  <c r="G277" i="7"/>
  <c r="I277" i="7"/>
  <c r="L277" i="7"/>
  <c r="M277" i="7"/>
  <c r="N277" i="7"/>
  <c r="O277" i="7"/>
  <c r="Q277" i="7"/>
  <c r="P277" i="7"/>
  <c r="A278" i="7"/>
  <c r="B278" i="7"/>
  <c r="K278" i="7"/>
  <c r="G278" i="7"/>
  <c r="I278" i="7"/>
  <c r="L278" i="7"/>
  <c r="M278" i="7"/>
  <c r="N278" i="7"/>
  <c r="O278" i="7"/>
  <c r="Q278" i="7"/>
  <c r="P278" i="7"/>
  <c r="A279" i="7"/>
  <c r="B279" i="7"/>
  <c r="K279" i="7"/>
  <c r="G279" i="7"/>
  <c r="I279" i="7"/>
  <c r="L279" i="7"/>
  <c r="M279" i="7"/>
  <c r="N279" i="7"/>
  <c r="O279" i="7"/>
  <c r="Q279" i="7"/>
  <c r="P279" i="7"/>
  <c r="A280" i="7"/>
  <c r="B280" i="7"/>
  <c r="K280" i="7"/>
  <c r="G280" i="7"/>
  <c r="I280" i="7"/>
  <c r="L280" i="7"/>
  <c r="M280" i="7"/>
  <c r="N280" i="7"/>
  <c r="O280" i="7"/>
  <c r="Q280" i="7"/>
  <c r="P280" i="7"/>
  <c r="A281" i="7"/>
  <c r="B281" i="7"/>
  <c r="K281" i="7"/>
  <c r="G281" i="7"/>
  <c r="I281" i="7"/>
  <c r="L281" i="7"/>
  <c r="M281" i="7"/>
  <c r="N281" i="7"/>
  <c r="O281" i="7"/>
  <c r="Q281" i="7"/>
  <c r="P281" i="7"/>
  <c r="A282" i="7"/>
  <c r="B282" i="7"/>
  <c r="K282" i="7"/>
  <c r="G282" i="7"/>
  <c r="I282" i="7"/>
  <c r="L282" i="7"/>
  <c r="M282" i="7"/>
  <c r="N282" i="7"/>
  <c r="O282" i="7"/>
  <c r="Q282" i="7"/>
  <c r="P282" i="7"/>
  <c r="A283" i="7"/>
  <c r="B283" i="7"/>
  <c r="K283" i="7"/>
  <c r="G283" i="7"/>
  <c r="I283" i="7"/>
  <c r="L283" i="7"/>
  <c r="M283" i="7"/>
  <c r="N283" i="7"/>
  <c r="O283" i="7"/>
  <c r="Q283" i="7"/>
  <c r="P283" i="7"/>
  <c r="A284" i="7"/>
  <c r="B284" i="7"/>
  <c r="K284" i="7"/>
  <c r="G284" i="7"/>
  <c r="I284" i="7"/>
  <c r="L284" i="7"/>
  <c r="M284" i="7"/>
  <c r="N284" i="7"/>
  <c r="O284" i="7"/>
  <c r="Q284" i="7"/>
  <c r="P284" i="7"/>
  <c r="A285" i="7"/>
  <c r="B285" i="7"/>
  <c r="K285" i="7"/>
  <c r="G285" i="7"/>
  <c r="I285" i="7"/>
  <c r="L285" i="7"/>
  <c r="M285" i="7"/>
  <c r="N285" i="7"/>
  <c r="O285" i="7"/>
  <c r="Q285" i="7"/>
  <c r="P285" i="7"/>
  <c r="A286" i="7"/>
  <c r="B286" i="7"/>
  <c r="K286" i="7"/>
  <c r="G286" i="7"/>
  <c r="I286" i="7"/>
  <c r="L286" i="7"/>
  <c r="M286" i="7"/>
  <c r="N286" i="7"/>
  <c r="O286" i="7"/>
  <c r="Q286" i="7"/>
  <c r="P286" i="7"/>
  <c r="A287" i="7"/>
  <c r="B287" i="7"/>
  <c r="K287" i="7"/>
  <c r="G287" i="7"/>
  <c r="I287" i="7"/>
  <c r="L287" i="7"/>
  <c r="M287" i="7"/>
  <c r="N287" i="7"/>
  <c r="O287" i="7"/>
  <c r="Q287" i="7"/>
  <c r="P287" i="7"/>
  <c r="A288" i="7"/>
  <c r="B288" i="7"/>
  <c r="K288" i="7"/>
  <c r="G288" i="7"/>
  <c r="I288" i="7"/>
  <c r="L288" i="7"/>
  <c r="M288" i="7"/>
  <c r="N288" i="7"/>
  <c r="O288" i="7"/>
  <c r="Q288" i="7"/>
  <c r="P288" i="7"/>
  <c r="A289" i="7"/>
  <c r="B289" i="7"/>
  <c r="K289" i="7"/>
  <c r="G289" i="7"/>
  <c r="I289" i="7"/>
  <c r="L289" i="7"/>
  <c r="M289" i="7"/>
  <c r="N289" i="7"/>
  <c r="O289" i="7"/>
  <c r="Q289" i="7"/>
  <c r="P289" i="7"/>
  <c r="A290" i="7"/>
  <c r="B290" i="7"/>
  <c r="K290" i="7"/>
  <c r="G290" i="7"/>
  <c r="I290" i="7"/>
  <c r="L290" i="7"/>
  <c r="M290" i="7"/>
  <c r="N290" i="7"/>
  <c r="O290" i="7"/>
  <c r="Q290" i="7"/>
  <c r="P290" i="7"/>
  <c r="A291" i="7"/>
  <c r="B291" i="7"/>
  <c r="K291" i="7"/>
  <c r="G291" i="7"/>
  <c r="I291" i="7"/>
  <c r="L291" i="7"/>
  <c r="M291" i="7"/>
  <c r="N291" i="7"/>
  <c r="O291" i="7"/>
  <c r="Q291" i="7"/>
  <c r="P291" i="7"/>
  <c r="A292" i="7"/>
  <c r="B292" i="7"/>
  <c r="K292" i="7"/>
  <c r="G292" i="7"/>
  <c r="I292" i="7"/>
  <c r="L292" i="7"/>
  <c r="M292" i="7"/>
  <c r="N292" i="7"/>
  <c r="O292" i="7"/>
  <c r="Q292" i="7"/>
  <c r="P292" i="7"/>
  <c r="A293" i="7"/>
  <c r="B293" i="7"/>
  <c r="K293" i="7"/>
  <c r="G293" i="7"/>
  <c r="I293" i="7"/>
  <c r="L293" i="7"/>
  <c r="M293" i="7"/>
  <c r="N293" i="7"/>
  <c r="O293" i="7"/>
  <c r="Q293" i="7"/>
  <c r="P293" i="7"/>
  <c r="A294" i="7"/>
  <c r="B294" i="7"/>
  <c r="K294" i="7"/>
  <c r="G294" i="7"/>
  <c r="I294" i="7"/>
  <c r="L294" i="7"/>
  <c r="M294" i="7"/>
  <c r="N294" i="7"/>
  <c r="O294" i="7"/>
  <c r="Q294" i="7"/>
  <c r="P294" i="7"/>
  <c r="A295" i="7"/>
  <c r="B295" i="7"/>
  <c r="K295" i="7"/>
  <c r="G295" i="7"/>
  <c r="I295" i="7"/>
  <c r="L295" i="7"/>
  <c r="M295" i="7"/>
  <c r="N295" i="7"/>
  <c r="O295" i="7"/>
  <c r="Q295" i="7"/>
  <c r="P295" i="7"/>
  <c r="A296" i="7"/>
  <c r="B296" i="7"/>
  <c r="K296" i="7"/>
  <c r="G296" i="7"/>
  <c r="I296" i="7"/>
  <c r="L296" i="7"/>
  <c r="M296" i="7"/>
  <c r="N296" i="7"/>
  <c r="O296" i="7"/>
  <c r="Q296" i="7"/>
  <c r="P296" i="7"/>
  <c r="A297" i="7"/>
  <c r="B297" i="7"/>
  <c r="K297" i="7"/>
  <c r="G297" i="7"/>
  <c r="I297" i="7"/>
  <c r="L297" i="7"/>
  <c r="M297" i="7"/>
  <c r="N297" i="7"/>
  <c r="O297" i="7"/>
  <c r="Q297" i="7"/>
  <c r="P297" i="7"/>
  <c r="A298" i="7"/>
  <c r="B298" i="7"/>
  <c r="K298" i="7"/>
  <c r="G298" i="7"/>
  <c r="I298" i="7"/>
  <c r="L298" i="7"/>
  <c r="M298" i="7"/>
  <c r="N298" i="7"/>
  <c r="O298" i="7"/>
  <c r="Q298" i="7"/>
  <c r="P298" i="7"/>
  <c r="A299" i="7"/>
  <c r="B299" i="7"/>
  <c r="K299" i="7"/>
  <c r="G299" i="7"/>
  <c r="I299" i="7"/>
  <c r="L299" i="7"/>
  <c r="M299" i="7"/>
  <c r="N299" i="7"/>
  <c r="O299" i="7"/>
  <c r="Q299" i="7"/>
  <c r="P299" i="7"/>
  <c r="A300" i="7"/>
  <c r="B300" i="7"/>
  <c r="K300" i="7"/>
  <c r="G300" i="7"/>
  <c r="I300" i="7"/>
  <c r="L300" i="7"/>
  <c r="M300" i="7"/>
  <c r="N300" i="7"/>
  <c r="O300" i="7"/>
  <c r="Q300" i="7"/>
  <c r="P300" i="7"/>
  <c r="A301" i="7"/>
  <c r="B301" i="7"/>
  <c r="K301" i="7"/>
  <c r="G301" i="7"/>
  <c r="I301" i="7"/>
  <c r="L301" i="7"/>
  <c r="M301" i="7"/>
  <c r="N301" i="7"/>
  <c r="O301" i="7"/>
  <c r="Q301" i="7"/>
  <c r="P301" i="7"/>
  <c r="A302" i="7"/>
  <c r="B302" i="7"/>
  <c r="K302" i="7"/>
  <c r="G302" i="7"/>
  <c r="I302" i="7"/>
  <c r="L302" i="7"/>
  <c r="M302" i="7"/>
  <c r="N302" i="7"/>
  <c r="O302" i="7"/>
  <c r="Q302" i="7"/>
  <c r="P302" i="7"/>
  <c r="A303" i="7"/>
  <c r="B303" i="7"/>
  <c r="K303" i="7"/>
  <c r="G303" i="7"/>
  <c r="I303" i="7"/>
  <c r="L303" i="7"/>
  <c r="M303" i="7"/>
  <c r="N303" i="7"/>
  <c r="O303" i="7"/>
  <c r="Q303" i="7"/>
  <c r="P303" i="7"/>
  <c r="A304" i="7"/>
  <c r="B304" i="7"/>
  <c r="K304" i="7"/>
  <c r="G304" i="7"/>
  <c r="I304" i="7"/>
  <c r="L304" i="7"/>
  <c r="M304" i="7"/>
  <c r="N304" i="7"/>
  <c r="O304" i="7"/>
  <c r="Q304" i="7"/>
  <c r="P304" i="7"/>
  <c r="A305" i="7"/>
  <c r="B305" i="7"/>
  <c r="K305" i="7"/>
  <c r="G305" i="7"/>
  <c r="I305" i="7"/>
  <c r="L305" i="7"/>
  <c r="M305" i="7"/>
  <c r="N305" i="7"/>
  <c r="O305" i="7"/>
  <c r="Q305" i="7"/>
  <c r="P305" i="7"/>
  <c r="A306" i="7"/>
  <c r="B306" i="7"/>
  <c r="K306" i="7"/>
  <c r="G306" i="7"/>
  <c r="I306" i="7"/>
  <c r="L306" i="7"/>
  <c r="M306" i="7"/>
  <c r="N306" i="7"/>
  <c r="O306" i="7"/>
  <c r="Q306" i="7"/>
  <c r="P306" i="7"/>
  <c r="A307" i="7"/>
  <c r="B307" i="7"/>
  <c r="K307" i="7"/>
  <c r="G307" i="7"/>
  <c r="I307" i="7"/>
  <c r="L307" i="7"/>
  <c r="M307" i="7"/>
  <c r="N307" i="7"/>
  <c r="O307" i="7"/>
  <c r="Q307" i="7"/>
  <c r="P307" i="7"/>
  <c r="A308" i="7"/>
  <c r="B308" i="7"/>
  <c r="K308" i="7"/>
  <c r="G308" i="7"/>
  <c r="I308" i="7"/>
  <c r="L308" i="7"/>
  <c r="M308" i="7"/>
  <c r="N308" i="7"/>
  <c r="O308" i="7"/>
  <c r="Q308" i="7"/>
  <c r="P308" i="7"/>
  <c r="A309" i="7"/>
  <c r="B309" i="7"/>
  <c r="K309" i="7"/>
  <c r="G309" i="7"/>
  <c r="I309" i="7"/>
  <c r="L309" i="7"/>
  <c r="M309" i="7"/>
  <c r="N309" i="7"/>
  <c r="O309" i="7"/>
  <c r="Q309" i="7"/>
  <c r="P309" i="7"/>
  <c r="A310" i="7"/>
  <c r="B310" i="7"/>
  <c r="K310" i="7"/>
  <c r="G310" i="7"/>
  <c r="I310" i="7"/>
  <c r="L310" i="7"/>
  <c r="M310" i="7"/>
  <c r="N310" i="7"/>
  <c r="O310" i="7"/>
  <c r="Q310" i="7"/>
  <c r="P310" i="7"/>
  <c r="A311" i="7"/>
  <c r="B311" i="7"/>
  <c r="K311" i="7"/>
  <c r="G311" i="7"/>
  <c r="I311" i="7"/>
  <c r="L311" i="7"/>
  <c r="M311" i="7"/>
  <c r="N311" i="7"/>
  <c r="O311" i="7"/>
  <c r="Q311" i="7"/>
  <c r="P311" i="7"/>
  <c r="A312" i="7"/>
  <c r="B312" i="7"/>
  <c r="K312" i="7"/>
  <c r="G312" i="7"/>
  <c r="I312" i="7"/>
  <c r="L312" i="7"/>
  <c r="M312" i="7"/>
  <c r="N312" i="7"/>
  <c r="O312" i="7"/>
  <c r="Q312" i="7"/>
  <c r="P312" i="7"/>
  <c r="A313" i="7"/>
  <c r="B313" i="7"/>
  <c r="K313" i="7"/>
  <c r="G313" i="7"/>
  <c r="I313" i="7"/>
  <c r="L313" i="7"/>
  <c r="M313" i="7"/>
  <c r="N313" i="7"/>
  <c r="O313" i="7"/>
  <c r="Q313" i="7"/>
  <c r="P313" i="7"/>
  <c r="A314" i="7"/>
  <c r="B314" i="7"/>
  <c r="K314" i="7"/>
  <c r="G314" i="7"/>
  <c r="I314" i="7"/>
  <c r="L314" i="7"/>
  <c r="M314" i="7"/>
  <c r="N314" i="7"/>
  <c r="O314" i="7"/>
  <c r="Q314" i="7"/>
  <c r="P314" i="7"/>
  <c r="A315" i="7"/>
  <c r="B315" i="7"/>
  <c r="K315" i="7"/>
  <c r="G315" i="7"/>
  <c r="I315" i="7"/>
  <c r="L315" i="7"/>
  <c r="M315" i="7"/>
  <c r="N315" i="7"/>
  <c r="O315" i="7"/>
  <c r="Q315" i="7"/>
  <c r="P315" i="7"/>
  <c r="A316" i="7"/>
  <c r="B316" i="7"/>
  <c r="K316" i="7"/>
  <c r="G316" i="7"/>
  <c r="I316" i="7"/>
  <c r="L316" i="7"/>
  <c r="M316" i="7"/>
  <c r="N316" i="7"/>
  <c r="O316" i="7"/>
  <c r="Q316" i="7"/>
  <c r="P316" i="7"/>
  <c r="A317" i="7"/>
  <c r="B317" i="7"/>
  <c r="K317" i="7"/>
  <c r="G317" i="7"/>
  <c r="I317" i="7"/>
  <c r="L317" i="7"/>
  <c r="M317" i="7"/>
  <c r="N317" i="7"/>
  <c r="O317" i="7"/>
  <c r="Q317" i="7"/>
  <c r="P317" i="7"/>
  <c r="A318" i="7"/>
  <c r="B318" i="7"/>
  <c r="K318" i="7"/>
  <c r="G318" i="7"/>
  <c r="I318" i="7"/>
  <c r="L318" i="7"/>
  <c r="M318" i="7"/>
  <c r="N318" i="7"/>
  <c r="O318" i="7"/>
  <c r="Q318" i="7"/>
  <c r="P318" i="7"/>
  <c r="A319" i="7"/>
  <c r="B319" i="7"/>
  <c r="K319" i="7"/>
  <c r="G319" i="7"/>
  <c r="I319" i="7"/>
  <c r="L319" i="7"/>
  <c r="M319" i="7"/>
  <c r="N319" i="7"/>
  <c r="O319" i="7"/>
  <c r="Q319" i="7"/>
  <c r="P319" i="7"/>
  <c r="A320" i="7"/>
  <c r="B320" i="7"/>
  <c r="K320" i="7"/>
  <c r="G320" i="7"/>
  <c r="I320" i="7"/>
  <c r="L320" i="7"/>
  <c r="M320" i="7"/>
  <c r="N320" i="7"/>
  <c r="O320" i="7"/>
  <c r="Q320" i="7"/>
  <c r="P320" i="7"/>
  <c r="A321" i="7"/>
  <c r="B321" i="7"/>
  <c r="K321" i="7"/>
  <c r="G321" i="7"/>
  <c r="I321" i="7"/>
  <c r="L321" i="7"/>
  <c r="M321" i="7"/>
  <c r="N321" i="7"/>
  <c r="O321" i="7"/>
  <c r="Q321" i="7"/>
  <c r="P321" i="7"/>
  <c r="A322" i="7"/>
  <c r="B322" i="7"/>
  <c r="K322" i="7"/>
  <c r="G322" i="7"/>
  <c r="I322" i="7"/>
  <c r="L322" i="7"/>
  <c r="M322" i="7"/>
  <c r="N322" i="7"/>
  <c r="O322" i="7"/>
  <c r="Q322" i="7"/>
  <c r="P322" i="7"/>
  <c r="A323" i="7"/>
  <c r="B323" i="7"/>
  <c r="K323" i="7"/>
  <c r="G323" i="7"/>
  <c r="I323" i="7"/>
  <c r="L323" i="7"/>
  <c r="M323" i="7"/>
  <c r="N323" i="7"/>
  <c r="O323" i="7"/>
  <c r="Q323" i="7"/>
  <c r="P323" i="7"/>
  <c r="A324" i="7"/>
  <c r="B324" i="7"/>
  <c r="K324" i="7"/>
  <c r="G324" i="7"/>
  <c r="I324" i="7"/>
  <c r="L324" i="7"/>
  <c r="M324" i="7"/>
  <c r="N324" i="7"/>
  <c r="O324" i="7"/>
  <c r="Q324" i="7"/>
  <c r="P324" i="7"/>
  <c r="A325" i="7"/>
  <c r="B325" i="7"/>
  <c r="K325" i="7"/>
  <c r="G325" i="7"/>
  <c r="I325" i="7"/>
  <c r="L325" i="7"/>
  <c r="M325" i="7"/>
  <c r="N325" i="7"/>
  <c r="O325" i="7"/>
  <c r="Q325" i="7"/>
  <c r="P325" i="7"/>
  <c r="A326" i="7"/>
  <c r="B326" i="7"/>
  <c r="K326" i="7"/>
  <c r="G326" i="7"/>
  <c r="I326" i="7"/>
  <c r="L326" i="7"/>
  <c r="M326" i="7"/>
  <c r="N326" i="7"/>
  <c r="O326" i="7"/>
  <c r="Q326" i="7"/>
  <c r="P326" i="7"/>
  <c r="A327" i="7"/>
  <c r="B327" i="7"/>
  <c r="K327" i="7"/>
  <c r="G327" i="7"/>
  <c r="I327" i="7"/>
  <c r="L327" i="7"/>
  <c r="M327" i="7"/>
  <c r="N327" i="7"/>
  <c r="O327" i="7"/>
  <c r="Q327" i="7"/>
  <c r="P327" i="7"/>
  <c r="A328" i="7"/>
  <c r="B328" i="7"/>
  <c r="K328" i="7"/>
  <c r="G328" i="7"/>
  <c r="I328" i="7"/>
  <c r="L328" i="7"/>
  <c r="M328" i="7"/>
  <c r="N328" i="7"/>
  <c r="O328" i="7"/>
  <c r="Q328" i="7"/>
  <c r="P328" i="7"/>
  <c r="A329" i="7"/>
  <c r="B329" i="7"/>
  <c r="K329" i="7"/>
  <c r="G329" i="7"/>
  <c r="I329" i="7"/>
  <c r="L329" i="7"/>
  <c r="M329" i="7"/>
  <c r="N329" i="7"/>
  <c r="O329" i="7"/>
  <c r="Q329" i="7"/>
  <c r="P329" i="7"/>
  <c r="A330" i="7"/>
  <c r="B330" i="7"/>
  <c r="K330" i="7"/>
  <c r="G330" i="7"/>
  <c r="I330" i="7"/>
  <c r="L330" i="7"/>
  <c r="M330" i="7"/>
  <c r="N330" i="7"/>
  <c r="O330" i="7"/>
  <c r="Q330" i="7"/>
  <c r="P330" i="7"/>
  <c r="A331" i="7"/>
  <c r="B331" i="7"/>
  <c r="K331" i="7"/>
  <c r="G331" i="7"/>
  <c r="I331" i="7"/>
  <c r="L331" i="7"/>
  <c r="M331" i="7"/>
  <c r="N331" i="7"/>
  <c r="O331" i="7"/>
  <c r="Q331" i="7"/>
  <c r="P331" i="7"/>
  <c r="A332" i="7"/>
  <c r="B332" i="7"/>
  <c r="K332" i="7"/>
  <c r="G332" i="7"/>
  <c r="I332" i="7"/>
  <c r="L332" i="7"/>
  <c r="M332" i="7"/>
  <c r="N332" i="7"/>
  <c r="O332" i="7"/>
  <c r="Q332" i="7"/>
  <c r="P332" i="7"/>
  <c r="A333" i="7"/>
  <c r="B333" i="7"/>
  <c r="K333" i="7"/>
  <c r="G333" i="7"/>
  <c r="I333" i="7"/>
  <c r="L333" i="7"/>
  <c r="M333" i="7"/>
  <c r="N333" i="7"/>
  <c r="O333" i="7"/>
  <c r="Q333" i="7"/>
  <c r="P333" i="7"/>
  <c r="A334" i="7"/>
  <c r="B334" i="7"/>
  <c r="K334" i="7"/>
  <c r="G334" i="7"/>
  <c r="I334" i="7"/>
  <c r="L334" i="7"/>
  <c r="M334" i="7"/>
  <c r="N334" i="7"/>
  <c r="O334" i="7"/>
  <c r="Q334" i="7"/>
  <c r="P334" i="7"/>
  <c r="A335" i="7"/>
  <c r="B335" i="7"/>
  <c r="K335" i="7"/>
  <c r="G335" i="7"/>
  <c r="I335" i="7"/>
  <c r="L335" i="7"/>
  <c r="M335" i="7"/>
  <c r="N335" i="7"/>
  <c r="O335" i="7"/>
  <c r="Q335" i="7"/>
  <c r="P335" i="7"/>
  <c r="A336" i="7"/>
  <c r="B336" i="7"/>
  <c r="K336" i="7"/>
  <c r="G336" i="7"/>
  <c r="I336" i="7"/>
  <c r="L336" i="7"/>
  <c r="M336" i="7"/>
  <c r="N336" i="7"/>
  <c r="O336" i="7"/>
  <c r="Q336" i="7"/>
  <c r="P336" i="7"/>
  <c r="A337" i="7"/>
  <c r="B337" i="7"/>
  <c r="K337" i="7"/>
  <c r="G337" i="7"/>
  <c r="I337" i="7"/>
  <c r="L337" i="7"/>
  <c r="M337" i="7"/>
  <c r="N337" i="7"/>
  <c r="O337" i="7"/>
  <c r="Q337" i="7"/>
  <c r="P337" i="7"/>
  <c r="A338" i="7"/>
  <c r="B338" i="7"/>
  <c r="K338" i="7"/>
  <c r="G338" i="7"/>
  <c r="I338" i="7"/>
  <c r="L338" i="7"/>
  <c r="M338" i="7"/>
  <c r="N338" i="7"/>
  <c r="O338" i="7"/>
  <c r="Q338" i="7"/>
  <c r="P338" i="7"/>
  <c r="A339" i="7"/>
  <c r="B339" i="7"/>
  <c r="K339" i="7"/>
  <c r="G339" i="7"/>
  <c r="I339" i="7"/>
  <c r="L339" i="7"/>
  <c r="M339" i="7"/>
  <c r="N339" i="7"/>
  <c r="O339" i="7"/>
  <c r="Q339" i="7"/>
  <c r="P339" i="7"/>
  <c r="A340" i="7"/>
  <c r="B340" i="7"/>
  <c r="K340" i="7"/>
  <c r="G340" i="7"/>
  <c r="I340" i="7"/>
  <c r="L340" i="7"/>
  <c r="M340" i="7"/>
  <c r="N340" i="7"/>
  <c r="O340" i="7"/>
  <c r="Q340" i="7"/>
  <c r="P340" i="7"/>
  <c r="A341" i="7"/>
  <c r="B341" i="7"/>
  <c r="K341" i="7"/>
  <c r="G341" i="7"/>
  <c r="I341" i="7"/>
  <c r="L341" i="7"/>
  <c r="M341" i="7"/>
  <c r="N341" i="7"/>
  <c r="O341" i="7"/>
  <c r="Q341" i="7"/>
  <c r="P341" i="7"/>
  <c r="A342" i="7"/>
  <c r="B342" i="7"/>
  <c r="K342" i="7"/>
  <c r="G342" i="7"/>
  <c r="I342" i="7"/>
  <c r="L342" i="7"/>
  <c r="M342" i="7"/>
  <c r="N342" i="7"/>
  <c r="O342" i="7"/>
  <c r="Q342" i="7"/>
  <c r="P342" i="7"/>
  <c r="A343" i="7"/>
  <c r="B343" i="7"/>
  <c r="K343" i="7"/>
  <c r="G343" i="7"/>
  <c r="I343" i="7"/>
  <c r="L343" i="7"/>
  <c r="M343" i="7"/>
  <c r="N343" i="7"/>
  <c r="O343" i="7"/>
  <c r="Q343" i="7"/>
  <c r="P343" i="7"/>
  <c r="A344" i="7"/>
  <c r="B344" i="7"/>
  <c r="K344" i="7"/>
  <c r="G344" i="7"/>
  <c r="I344" i="7"/>
  <c r="L344" i="7"/>
  <c r="M344" i="7"/>
  <c r="N344" i="7"/>
  <c r="O344" i="7"/>
  <c r="Q344" i="7"/>
  <c r="P344" i="7"/>
  <c r="A345" i="7"/>
  <c r="B345" i="7"/>
  <c r="K345" i="7"/>
  <c r="G345" i="7"/>
  <c r="I345" i="7"/>
  <c r="L345" i="7"/>
  <c r="M345" i="7"/>
  <c r="N345" i="7"/>
  <c r="O345" i="7"/>
  <c r="Q345" i="7"/>
  <c r="P345" i="7"/>
  <c r="A346" i="7"/>
  <c r="B346" i="7"/>
  <c r="K346" i="7"/>
  <c r="G346" i="7"/>
  <c r="I346" i="7"/>
  <c r="L346" i="7"/>
  <c r="M346" i="7"/>
  <c r="N346" i="7"/>
  <c r="O346" i="7"/>
  <c r="Q346" i="7"/>
  <c r="P346" i="7"/>
  <c r="A347" i="7"/>
  <c r="B347" i="7"/>
  <c r="K347" i="7"/>
  <c r="G347" i="7"/>
  <c r="I347" i="7"/>
  <c r="L347" i="7"/>
  <c r="M347" i="7"/>
  <c r="N347" i="7"/>
  <c r="O347" i="7"/>
  <c r="Q347" i="7"/>
  <c r="P347" i="7"/>
  <c r="A348" i="7"/>
  <c r="B348" i="7"/>
  <c r="K348" i="7"/>
  <c r="G348" i="7"/>
  <c r="I348" i="7"/>
  <c r="L348" i="7"/>
  <c r="M348" i="7"/>
  <c r="N348" i="7"/>
  <c r="O348" i="7"/>
  <c r="Q348" i="7"/>
  <c r="P348" i="7"/>
  <c r="A349" i="7"/>
  <c r="B349" i="7"/>
  <c r="K349" i="7"/>
  <c r="G349" i="7"/>
  <c r="I349" i="7"/>
  <c r="L349" i="7"/>
  <c r="M349" i="7"/>
  <c r="N349" i="7"/>
  <c r="O349" i="7"/>
  <c r="Q349" i="7"/>
  <c r="P349" i="7"/>
  <c r="A350" i="7"/>
  <c r="B350" i="7"/>
  <c r="K350" i="7"/>
  <c r="G350" i="7"/>
  <c r="I350" i="7"/>
  <c r="L350" i="7"/>
  <c r="M350" i="7"/>
  <c r="N350" i="7"/>
  <c r="O350" i="7"/>
  <c r="Q350" i="7"/>
  <c r="P350" i="7"/>
  <c r="A351" i="7"/>
  <c r="B351" i="7"/>
  <c r="K351" i="7"/>
  <c r="G351" i="7"/>
  <c r="I351" i="7"/>
  <c r="L351" i="7"/>
  <c r="M351" i="7"/>
  <c r="N351" i="7"/>
  <c r="O351" i="7"/>
  <c r="Q351" i="7"/>
  <c r="P351" i="7"/>
  <c r="A352" i="7"/>
  <c r="B352" i="7"/>
  <c r="K352" i="7"/>
  <c r="G352" i="7"/>
  <c r="I352" i="7"/>
  <c r="L352" i="7"/>
  <c r="M352" i="7"/>
  <c r="N352" i="7"/>
  <c r="O352" i="7"/>
  <c r="Q352" i="7"/>
  <c r="P352" i="7"/>
  <c r="A353" i="7"/>
  <c r="B353" i="7"/>
  <c r="K353" i="7"/>
  <c r="G353" i="7"/>
  <c r="I353" i="7"/>
  <c r="L353" i="7"/>
  <c r="M353" i="7"/>
  <c r="N353" i="7"/>
  <c r="O353" i="7"/>
  <c r="Q353" i="7"/>
  <c r="P353" i="7"/>
  <c r="A354" i="7"/>
  <c r="B354" i="7"/>
  <c r="K354" i="7"/>
  <c r="G354" i="7"/>
  <c r="I354" i="7"/>
  <c r="L354" i="7"/>
  <c r="M354" i="7"/>
  <c r="N354" i="7"/>
  <c r="O354" i="7"/>
  <c r="Q354" i="7"/>
  <c r="P354" i="7"/>
  <c r="A355" i="7"/>
  <c r="B355" i="7"/>
  <c r="K355" i="7"/>
  <c r="G355" i="7"/>
  <c r="I355" i="7"/>
  <c r="L355" i="7"/>
  <c r="M355" i="7"/>
  <c r="N355" i="7"/>
  <c r="O355" i="7"/>
  <c r="Q355" i="7"/>
  <c r="P355" i="7"/>
  <c r="A356" i="7"/>
  <c r="B356" i="7"/>
  <c r="K356" i="7"/>
  <c r="G356" i="7"/>
  <c r="I356" i="7"/>
  <c r="L356" i="7"/>
  <c r="M356" i="7"/>
  <c r="N356" i="7"/>
  <c r="O356" i="7"/>
  <c r="Q356" i="7"/>
  <c r="P356" i="7"/>
  <c r="A357" i="7"/>
  <c r="B357" i="7"/>
  <c r="K357" i="7"/>
  <c r="G357" i="7"/>
  <c r="I357" i="7"/>
  <c r="L357" i="7"/>
  <c r="M357" i="7"/>
  <c r="N357" i="7"/>
  <c r="O357" i="7"/>
  <c r="Q357" i="7"/>
  <c r="P357" i="7"/>
  <c r="A358" i="7"/>
  <c r="B358" i="7"/>
  <c r="K358" i="7"/>
  <c r="G358" i="7"/>
  <c r="I358" i="7"/>
  <c r="L358" i="7"/>
  <c r="M358" i="7"/>
  <c r="N358" i="7"/>
  <c r="O358" i="7"/>
  <c r="Q358" i="7"/>
  <c r="P358" i="7"/>
  <c r="A359" i="7"/>
  <c r="B359" i="7"/>
  <c r="K359" i="7"/>
  <c r="G359" i="7"/>
  <c r="I359" i="7"/>
  <c r="L359" i="7"/>
  <c r="M359" i="7"/>
  <c r="N359" i="7"/>
  <c r="O359" i="7"/>
  <c r="Q359" i="7"/>
  <c r="P359" i="7"/>
  <c r="A360" i="7"/>
  <c r="B360" i="7"/>
  <c r="K360" i="7"/>
  <c r="G360" i="7"/>
  <c r="I360" i="7"/>
  <c r="L360" i="7"/>
  <c r="M360" i="7"/>
  <c r="N360" i="7"/>
  <c r="O360" i="7"/>
  <c r="Q360" i="7"/>
  <c r="P360" i="7"/>
  <c r="A361" i="7"/>
  <c r="B361" i="7"/>
  <c r="K361" i="7"/>
  <c r="G361" i="7"/>
  <c r="I361" i="7"/>
  <c r="L361" i="7"/>
  <c r="M361" i="7"/>
  <c r="N361" i="7"/>
  <c r="O361" i="7"/>
  <c r="Q361" i="7"/>
  <c r="P361" i="7"/>
  <c r="A362" i="7"/>
  <c r="B362" i="7"/>
  <c r="K362" i="7"/>
  <c r="G362" i="7"/>
  <c r="I362" i="7"/>
  <c r="L362" i="7"/>
  <c r="M362" i="7"/>
  <c r="N362" i="7"/>
  <c r="O362" i="7"/>
  <c r="Q362" i="7"/>
  <c r="P362" i="7"/>
  <c r="A363" i="7"/>
  <c r="B363" i="7"/>
  <c r="K363" i="7"/>
  <c r="G363" i="7"/>
  <c r="I363" i="7"/>
  <c r="L363" i="7"/>
  <c r="M363" i="7"/>
  <c r="N363" i="7"/>
  <c r="O363" i="7"/>
  <c r="Q363" i="7"/>
  <c r="P363" i="7"/>
  <c r="A364" i="7"/>
  <c r="B364" i="7"/>
  <c r="K364" i="7"/>
  <c r="G364" i="7"/>
  <c r="I364" i="7"/>
  <c r="L364" i="7"/>
  <c r="M364" i="7"/>
  <c r="N364" i="7"/>
  <c r="O364" i="7"/>
  <c r="Q364" i="7"/>
  <c r="P364" i="7"/>
  <c r="A365" i="7"/>
  <c r="B365" i="7"/>
  <c r="K365" i="7"/>
  <c r="G365" i="7"/>
  <c r="I365" i="7"/>
  <c r="L365" i="7"/>
  <c r="M365" i="7"/>
  <c r="N365" i="7"/>
  <c r="O365" i="7"/>
  <c r="Q365" i="7"/>
  <c r="P365" i="7"/>
  <c r="A366" i="7"/>
  <c r="B366" i="7"/>
  <c r="K366" i="7"/>
  <c r="G366" i="7"/>
  <c r="I366" i="7"/>
  <c r="L366" i="7"/>
  <c r="M366" i="7"/>
  <c r="N366" i="7"/>
  <c r="O366" i="7"/>
  <c r="Q366" i="7"/>
  <c r="P366" i="7"/>
  <c r="A367" i="7"/>
  <c r="B367" i="7"/>
  <c r="K367" i="7"/>
  <c r="G367" i="7"/>
  <c r="I367" i="7"/>
  <c r="L367" i="7"/>
  <c r="M367" i="7"/>
  <c r="N367" i="7"/>
  <c r="O367" i="7"/>
  <c r="Q367" i="7"/>
  <c r="P367" i="7"/>
  <c r="A368" i="7"/>
  <c r="B368" i="7"/>
  <c r="K368" i="7"/>
  <c r="G368" i="7"/>
  <c r="I368" i="7"/>
  <c r="L368" i="7"/>
  <c r="M368" i="7"/>
  <c r="N368" i="7"/>
  <c r="O368" i="7"/>
  <c r="Q368" i="7"/>
  <c r="P368" i="7"/>
  <c r="A369" i="7"/>
  <c r="B369" i="7"/>
  <c r="K369" i="7"/>
  <c r="G369" i="7"/>
  <c r="I369" i="7"/>
  <c r="L369" i="7"/>
  <c r="M369" i="7"/>
  <c r="N369" i="7"/>
  <c r="O369" i="7"/>
  <c r="Q369" i="7"/>
  <c r="P369" i="7"/>
  <c r="A370" i="7"/>
  <c r="B370" i="7"/>
  <c r="K370" i="7"/>
  <c r="G370" i="7"/>
  <c r="I370" i="7"/>
  <c r="L370" i="7"/>
  <c r="M370" i="7"/>
  <c r="N370" i="7"/>
  <c r="O370" i="7"/>
  <c r="Q370" i="7"/>
  <c r="P370" i="7"/>
  <c r="A371" i="7"/>
  <c r="B371" i="7"/>
  <c r="K371" i="7"/>
  <c r="G371" i="7"/>
  <c r="I371" i="7"/>
  <c r="L371" i="7"/>
  <c r="M371" i="7"/>
  <c r="N371" i="7"/>
  <c r="O371" i="7"/>
  <c r="Q371" i="7"/>
  <c r="P371" i="7"/>
  <c r="A372" i="7"/>
  <c r="B372" i="7"/>
  <c r="K372" i="7"/>
  <c r="G372" i="7"/>
  <c r="I372" i="7"/>
  <c r="L372" i="7"/>
  <c r="M372" i="7"/>
  <c r="N372" i="7"/>
  <c r="O372" i="7"/>
  <c r="Q372" i="7"/>
  <c r="P372" i="7"/>
  <c r="A373" i="7"/>
  <c r="B373" i="7"/>
  <c r="K373" i="7"/>
  <c r="G373" i="7"/>
  <c r="I373" i="7"/>
  <c r="L373" i="7"/>
  <c r="M373" i="7"/>
  <c r="N373" i="7"/>
  <c r="O373" i="7"/>
  <c r="Q373" i="7"/>
  <c r="P373" i="7"/>
  <c r="A374" i="7"/>
  <c r="B374" i="7"/>
  <c r="K374" i="7"/>
  <c r="G374" i="7"/>
  <c r="I374" i="7"/>
  <c r="L374" i="7"/>
  <c r="M374" i="7"/>
  <c r="N374" i="7"/>
  <c r="O374" i="7"/>
  <c r="Q374" i="7"/>
  <c r="P374" i="7"/>
  <c r="A375" i="7"/>
  <c r="B375" i="7"/>
  <c r="K375" i="7"/>
  <c r="G375" i="7"/>
  <c r="I375" i="7"/>
  <c r="L375" i="7"/>
  <c r="M375" i="7"/>
  <c r="N375" i="7"/>
  <c r="O375" i="7"/>
  <c r="Q375" i="7"/>
  <c r="P375" i="7"/>
  <c r="A376" i="7"/>
  <c r="B376" i="7"/>
  <c r="K376" i="7"/>
  <c r="G376" i="7"/>
  <c r="I376" i="7"/>
  <c r="L376" i="7"/>
  <c r="M376" i="7"/>
  <c r="N376" i="7"/>
  <c r="O376" i="7"/>
  <c r="Q376" i="7"/>
  <c r="P376" i="7"/>
  <c r="A377" i="7"/>
  <c r="B377" i="7"/>
  <c r="K377" i="7"/>
  <c r="G377" i="7"/>
  <c r="I377" i="7"/>
  <c r="L377" i="7"/>
  <c r="M377" i="7"/>
  <c r="N377" i="7"/>
  <c r="O377" i="7"/>
  <c r="Q377" i="7"/>
  <c r="P377" i="7"/>
  <c r="A378" i="7"/>
  <c r="B378" i="7"/>
  <c r="K378" i="7"/>
  <c r="G378" i="7"/>
  <c r="I378" i="7"/>
  <c r="L378" i="7"/>
  <c r="M378" i="7"/>
  <c r="N378" i="7"/>
  <c r="O378" i="7"/>
  <c r="Q378" i="7"/>
  <c r="P378" i="7"/>
  <c r="A379" i="7"/>
  <c r="B379" i="7"/>
  <c r="K379" i="7"/>
  <c r="G379" i="7"/>
  <c r="I379" i="7"/>
  <c r="L379" i="7"/>
  <c r="M379" i="7"/>
  <c r="N379" i="7"/>
  <c r="O379" i="7"/>
  <c r="Q379" i="7"/>
  <c r="P379" i="7"/>
  <c r="A380" i="7"/>
  <c r="B380" i="7"/>
  <c r="K380" i="7"/>
  <c r="G380" i="7"/>
  <c r="I380" i="7"/>
  <c r="L380" i="7"/>
  <c r="M380" i="7"/>
  <c r="N380" i="7"/>
  <c r="O380" i="7"/>
  <c r="Q380" i="7"/>
  <c r="P380" i="7"/>
  <c r="A381" i="7"/>
  <c r="B381" i="7"/>
  <c r="K381" i="7"/>
  <c r="G381" i="7"/>
  <c r="I381" i="7"/>
  <c r="L381" i="7"/>
  <c r="M381" i="7"/>
  <c r="N381" i="7"/>
  <c r="O381" i="7"/>
  <c r="Q381" i="7"/>
  <c r="P381" i="7"/>
  <c r="A382" i="7"/>
  <c r="B382" i="7"/>
  <c r="K382" i="7"/>
  <c r="G382" i="7"/>
  <c r="I382" i="7"/>
  <c r="L382" i="7"/>
  <c r="M382" i="7"/>
  <c r="N382" i="7"/>
  <c r="O382" i="7"/>
  <c r="Q382" i="7"/>
  <c r="P382" i="7"/>
  <c r="A383" i="7"/>
  <c r="B383" i="7"/>
  <c r="K383" i="7"/>
  <c r="G383" i="7"/>
  <c r="I383" i="7"/>
  <c r="L383" i="7"/>
  <c r="M383" i="7"/>
  <c r="N383" i="7"/>
  <c r="O383" i="7"/>
  <c r="Q383" i="7"/>
  <c r="P383" i="7"/>
  <c r="A384" i="7"/>
  <c r="B384" i="7"/>
  <c r="K384" i="7"/>
  <c r="G384" i="7"/>
  <c r="I384" i="7"/>
  <c r="L384" i="7"/>
  <c r="M384" i="7"/>
  <c r="N384" i="7"/>
  <c r="O384" i="7"/>
  <c r="Q384" i="7"/>
  <c r="P384" i="7"/>
  <c r="A385" i="7"/>
  <c r="B385" i="7"/>
  <c r="K385" i="7"/>
  <c r="G385" i="7"/>
  <c r="I385" i="7"/>
  <c r="L385" i="7"/>
  <c r="M385" i="7"/>
  <c r="N385" i="7"/>
  <c r="O385" i="7"/>
  <c r="Q385" i="7"/>
  <c r="P385" i="7"/>
  <c r="A386" i="7"/>
  <c r="B386" i="7"/>
  <c r="K386" i="7"/>
  <c r="G386" i="7"/>
  <c r="I386" i="7"/>
  <c r="L386" i="7"/>
  <c r="M386" i="7"/>
  <c r="N386" i="7"/>
  <c r="O386" i="7"/>
  <c r="Q386" i="7"/>
  <c r="P386" i="7"/>
  <c r="A387" i="7"/>
  <c r="B387" i="7"/>
  <c r="K387" i="7"/>
  <c r="G387" i="7"/>
  <c r="I387" i="7"/>
  <c r="L387" i="7"/>
  <c r="M387" i="7"/>
  <c r="N387" i="7"/>
  <c r="O387" i="7"/>
  <c r="Q387" i="7"/>
  <c r="P387" i="7"/>
  <c r="A388" i="7"/>
  <c r="B388" i="7"/>
  <c r="K388" i="7"/>
  <c r="G388" i="7"/>
  <c r="I388" i="7"/>
  <c r="L388" i="7"/>
  <c r="M388" i="7"/>
  <c r="N388" i="7"/>
  <c r="O388" i="7"/>
  <c r="Q388" i="7"/>
  <c r="P388" i="7"/>
  <c r="A389" i="7"/>
  <c r="B389" i="7"/>
  <c r="K389" i="7"/>
  <c r="G389" i="7"/>
  <c r="I389" i="7"/>
  <c r="L389" i="7"/>
  <c r="M389" i="7"/>
  <c r="N389" i="7"/>
  <c r="O389" i="7"/>
  <c r="Q389" i="7"/>
  <c r="P389" i="7"/>
  <c r="A390" i="7"/>
  <c r="B390" i="7"/>
  <c r="K390" i="7"/>
  <c r="G390" i="7"/>
  <c r="I390" i="7"/>
  <c r="L390" i="7"/>
  <c r="M390" i="7"/>
  <c r="N390" i="7"/>
  <c r="O390" i="7"/>
  <c r="Q390" i="7"/>
  <c r="P390" i="7"/>
  <c r="A391" i="7"/>
  <c r="B391" i="7"/>
  <c r="K391" i="7"/>
  <c r="G391" i="7"/>
  <c r="I391" i="7"/>
  <c r="L391" i="7"/>
  <c r="M391" i="7"/>
  <c r="N391" i="7"/>
  <c r="O391" i="7"/>
  <c r="Q391" i="7"/>
  <c r="P391" i="7"/>
  <c r="A392" i="7"/>
  <c r="B392" i="7"/>
  <c r="K392" i="7"/>
  <c r="G392" i="7"/>
  <c r="I392" i="7"/>
  <c r="L392" i="7"/>
  <c r="M392" i="7"/>
  <c r="N392" i="7"/>
  <c r="O392" i="7"/>
  <c r="Q392" i="7"/>
  <c r="P392" i="7"/>
  <c r="A393" i="7"/>
  <c r="B393" i="7"/>
  <c r="K393" i="7"/>
  <c r="G393" i="7"/>
  <c r="I393" i="7"/>
  <c r="L393" i="7"/>
  <c r="M393" i="7"/>
  <c r="N393" i="7"/>
  <c r="O393" i="7"/>
  <c r="Q393" i="7"/>
  <c r="P393" i="7"/>
  <c r="A394" i="7"/>
  <c r="B394" i="7"/>
  <c r="K394" i="7"/>
  <c r="G394" i="7"/>
  <c r="I394" i="7"/>
  <c r="L394" i="7"/>
  <c r="M394" i="7"/>
  <c r="N394" i="7"/>
  <c r="O394" i="7"/>
  <c r="Q394" i="7"/>
  <c r="P394" i="7"/>
  <c r="A395" i="7"/>
  <c r="B395" i="7"/>
  <c r="K395" i="7"/>
  <c r="G395" i="7"/>
  <c r="I395" i="7"/>
  <c r="L395" i="7"/>
  <c r="M395" i="7"/>
  <c r="N395" i="7"/>
  <c r="O395" i="7"/>
  <c r="Q395" i="7"/>
  <c r="P395" i="7"/>
  <c r="A396" i="7"/>
  <c r="B396" i="7"/>
  <c r="K396" i="7"/>
  <c r="G396" i="7"/>
  <c r="I396" i="7"/>
  <c r="L396" i="7"/>
  <c r="M396" i="7"/>
  <c r="N396" i="7"/>
  <c r="O396" i="7"/>
  <c r="Q396" i="7"/>
  <c r="P396" i="7"/>
  <c r="A397" i="7"/>
  <c r="B397" i="7"/>
  <c r="K397" i="7"/>
  <c r="G397" i="7"/>
  <c r="I397" i="7"/>
  <c r="L397" i="7"/>
  <c r="M397" i="7"/>
  <c r="N397" i="7"/>
  <c r="O397" i="7"/>
  <c r="Q397" i="7"/>
  <c r="P397" i="7"/>
  <c r="A398" i="7"/>
  <c r="B398" i="7"/>
  <c r="K398" i="7"/>
  <c r="G398" i="7"/>
  <c r="I398" i="7"/>
  <c r="L398" i="7"/>
  <c r="M398" i="7"/>
  <c r="N398" i="7"/>
  <c r="O398" i="7"/>
  <c r="Q398" i="7"/>
  <c r="P398" i="7"/>
  <c r="A399" i="7"/>
  <c r="B399" i="7"/>
  <c r="K399" i="7"/>
  <c r="G399" i="7"/>
  <c r="I399" i="7"/>
  <c r="L399" i="7"/>
  <c r="M399" i="7"/>
  <c r="N399" i="7"/>
  <c r="O399" i="7"/>
  <c r="Q399" i="7"/>
  <c r="P399" i="7"/>
  <c r="A400" i="7"/>
  <c r="B400" i="7"/>
  <c r="K400" i="7"/>
  <c r="G400" i="7"/>
  <c r="I400" i="7"/>
  <c r="L400" i="7"/>
  <c r="M400" i="7"/>
  <c r="N400" i="7"/>
  <c r="O400" i="7"/>
  <c r="Q400" i="7"/>
  <c r="P400" i="7"/>
  <c r="A401" i="7"/>
  <c r="B401" i="7"/>
  <c r="K401" i="7"/>
  <c r="G401" i="7"/>
  <c r="I401" i="7"/>
  <c r="L401" i="7"/>
  <c r="M401" i="7"/>
  <c r="N401" i="7"/>
  <c r="O401" i="7"/>
  <c r="Q401" i="7"/>
  <c r="P401" i="7"/>
  <c r="A402" i="7"/>
  <c r="B402" i="7"/>
  <c r="K402" i="7"/>
  <c r="G402" i="7"/>
  <c r="I402" i="7"/>
  <c r="L402" i="7"/>
  <c r="M402" i="7"/>
  <c r="N402" i="7"/>
  <c r="O402" i="7"/>
  <c r="Q402" i="7"/>
  <c r="P402" i="7"/>
  <c r="A403" i="7"/>
  <c r="B403" i="7"/>
  <c r="K403" i="7"/>
  <c r="G403" i="7"/>
  <c r="I403" i="7"/>
  <c r="L403" i="7"/>
  <c r="M403" i="7"/>
  <c r="N403" i="7"/>
  <c r="O403" i="7"/>
  <c r="Q403" i="7"/>
  <c r="P403" i="7"/>
  <c r="A404" i="7"/>
  <c r="B404" i="7"/>
  <c r="K404" i="7"/>
  <c r="G404" i="7"/>
  <c r="I404" i="7"/>
  <c r="L404" i="7"/>
  <c r="M404" i="7"/>
  <c r="N404" i="7"/>
  <c r="O404" i="7"/>
  <c r="Q404" i="7"/>
  <c r="P404" i="7"/>
  <c r="A405" i="7"/>
  <c r="B405" i="7"/>
  <c r="K405" i="7"/>
  <c r="G405" i="7"/>
  <c r="I405" i="7"/>
  <c r="L405" i="7"/>
  <c r="M405" i="7"/>
  <c r="N405" i="7"/>
  <c r="O405" i="7"/>
  <c r="Q405" i="7"/>
  <c r="P405" i="7"/>
  <c r="A406" i="7"/>
  <c r="B406" i="7"/>
  <c r="K406" i="7"/>
  <c r="G406" i="7"/>
  <c r="I406" i="7"/>
  <c r="L406" i="7"/>
  <c r="M406" i="7"/>
  <c r="N406" i="7"/>
  <c r="O406" i="7"/>
  <c r="Q406" i="7"/>
  <c r="P406" i="7"/>
  <c r="A407" i="7"/>
  <c r="B407" i="7"/>
  <c r="K407" i="7"/>
  <c r="G407" i="7"/>
  <c r="I407" i="7"/>
  <c r="L407" i="7"/>
  <c r="M407" i="7"/>
  <c r="N407" i="7"/>
  <c r="O407" i="7"/>
  <c r="Q407" i="7"/>
  <c r="P407" i="7"/>
  <c r="A408" i="7"/>
  <c r="B408" i="7"/>
  <c r="K408" i="7"/>
  <c r="G408" i="7"/>
  <c r="I408" i="7"/>
  <c r="L408" i="7"/>
  <c r="M408" i="7"/>
  <c r="N408" i="7"/>
  <c r="O408" i="7"/>
  <c r="Q408" i="7"/>
  <c r="P408" i="7"/>
  <c r="A409" i="7"/>
  <c r="B409" i="7"/>
  <c r="K409" i="7"/>
  <c r="G409" i="7"/>
  <c r="I409" i="7"/>
  <c r="L409" i="7"/>
  <c r="M409" i="7"/>
  <c r="N409" i="7"/>
  <c r="O409" i="7"/>
  <c r="Q409" i="7"/>
  <c r="P409" i="7"/>
  <c r="A410" i="7"/>
  <c r="B410" i="7"/>
  <c r="K410" i="7"/>
  <c r="G410" i="7"/>
  <c r="I410" i="7"/>
  <c r="L410" i="7"/>
  <c r="M410" i="7"/>
  <c r="N410" i="7"/>
  <c r="O410" i="7"/>
  <c r="Q410" i="7"/>
  <c r="P410" i="7"/>
  <c r="A411" i="7"/>
  <c r="B411" i="7"/>
  <c r="K411" i="7"/>
  <c r="G411" i="7"/>
  <c r="I411" i="7"/>
  <c r="L411" i="7"/>
  <c r="M411" i="7"/>
  <c r="N411" i="7"/>
  <c r="O411" i="7"/>
  <c r="Q411" i="7"/>
  <c r="P411" i="7"/>
  <c r="A412" i="7"/>
  <c r="B412" i="7"/>
  <c r="K412" i="7"/>
  <c r="G412" i="7"/>
  <c r="I412" i="7"/>
  <c r="L412" i="7"/>
  <c r="M412" i="7"/>
  <c r="N412" i="7"/>
  <c r="O412" i="7"/>
  <c r="Q412" i="7"/>
  <c r="P412" i="7"/>
  <c r="A413" i="7"/>
  <c r="B413" i="7"/>
  <c r="K413" i="7"/>
  <c r="G413" i="7"/>
  <c r="I413" i="7"/>
  <c r="L413" i="7"/>
  <c r="M413" i="7"/>
  <c r="N413" i="7"/>
  <c r="O413" i="7"/>
  <c r="Q413" i="7"/>
  <c r="P413" i="7"/>
  <c r="A414" i="7"/>
  <c r="B414" i="7"/>
  <c r="K414" i="7"/>
  <c r="G414" i="7"/>
  <c r="I414" i="7"/>
  <c r="L414" i="7"/>
  <c r="M414" i="7"/>
  <c r="N414" i="7"/>
  <c r="O414" i="7"/>
  <c r="Q414" i="7"/>
  <c r="P414" i="7"/>
  <c r="A415" i="7"/>
  <c r="B415" i="7"/>
  <c r="K415" i="7"/>
  <c r="G415" i="7"/>
  <c r="I415" i="7"/>
  <c r="L415" i="7"/>
  <c r="M415" i="7"/>
  <c r="N415" i="7"/>
  <c r="O415" i="7"/>
  <c r="Q415" i="7"/>
  <c r="P415" i="7"/>
  <c r="A416" i="7"/>
  <c r="B416" i="7"/>
  <c r="K416" i="7"/>
  <c r="G416" i="7"/>
  <c r="I416" i="7"/>
  <c r="L416" i="7"/>
  <c r="M416" i="7"/>
  <c r="N416" i="7"/>
  <c r="O416" i="7"/>
  <c r="Q416" i="7"/>
  <c r="P416" i="7"/>
  <c r="A417" i="7"/>
  <c r="B417" i="7"/>
  <c r="K417" i="7"/>
  <c r="G417" i="7"/>
  <c r="I417" i="7"/>
  <c r="L417" i="7"/>
  <c r="M417" i="7"/>
  <c r="N417" i="7"/>
  <c r="O417" i="7"/>
  <c r="Q417" i="7"/>
  <c r="P417" i="7"/>
  <c r="A418" i="7"/>
  <c r="B418" i="7"/>
  <c r="K418" i="7"/>
  <c r="G418" i="7"/>
  <c r="I418" i="7"/>
  <c r="L418" i="7"/>
  <c r="M418" i="7"/>
  <c r="N418" i="7"/>
  <c r="O418" i="7"/>
  <c r="Q418" i="7"/>
  <c r="P418" i="7"/>
  <c r="A419" i="7"/>
  <c r="B419" i="7"/>
  <c r="K419" i="7"/>
  <c r="G419" i="7"/>
  <c r="I419" i="7"/>
  <c r="L419" i="7"/>
  <c r="M419" i="7"/>
  <c r="N419" i="7"/>
  <c r="O419" i="7"/>
  <c r="Q419" i="7"/>
  <c r="P419" i="7"/>
  <c r="A420" i="7"/>
  <c r="B420" i="7"/>
  <c r="K420" i="7"/>
  <c r="G420" i="7"/>
  <c r="I420" i="7"/>
  <c r="L420" i="7"/>
  <c r="M420" i="7"/>
  <c r="N420" i="7"/>
  <c r="O420" i="7"/>
  <c r="Q420" i="7"/>
  <c r="P420" i="7"/>
  <c r="A421" i="7"/>
  <c r="B421" i="7"/>
  <c r="K421" i="7"/>
  <c r="G421" i="7"/>
  <c r="I421" i="7"/>
  <c r="L421" i="7"/>
  <c r="M421" i="7"/>
  <c r="N421" i="7"/>
  <c r="O421" i="7"/>
  <c r="Q421" i="7"/>
  <c r="P421" i="7"/>
  <c r="A422" i="7"/>
  <c r="B422" i="7"/>
  <c r="K422" i="7"/>
  <c r="G422" i="7"/>
  <c r="I422" i="7"/>
  <c r="L422" i="7"/>
  <c r="M422" i="7"/>
  <c r="N422" i="7"/>
  <c r="O422" i="7"/>
  <c r="Q422" i="7"/>
  <c r="P422" i="7"/>
  <c r="A423" i="7"/>
  <c r="B423" i="7"/>
  <c r="K423" i="7"/>
  <c r="G423" i="7"/>
  <c r="I423" i="7"/>
  <c r="L423" i="7"/>
  <c r="M423" i="7"/>
  <c r="N423" i="7"/>
  <c r="O423" i="7"/>
  <c r="Q423" i="7"/>
  <c r="P423" i="7"/>
  <c r="A424" i="7"/>
  <c r="B424" i="7"/>
  <c r="K424" i="7"/>
  <c r="G424" i="7"/>
  <c r="I424" i="7"/>
  <c r="L424" i="7"/>
  <c r="M424" i="7"/>
  <c r="N424" i="7"/>
  <c r="O424" i="7"/>
  <c r="Q424" i="7"/>
  <c r="P424" i="7"/>
  <c r="A425" i="7"/>
  <c r="B425" i="7"/>
  <c r="K425" i="7"/>
  <c r="G425" i="7"/>
  <c r="I425" i="7"/>
  <c r="L425" i="7"/>
  <c r="M425" i="7"/>
  <c r="N425" i="7"/>
  <c r="O425" i="7"/>
  <c r="Q425" i="7"/>
  <c r="P425" i="7"/>
  <c r="A426" i="7"/>
  <c r="B426" i="7"/>
  <c r="K426" i="7"/>
  <c r="G426" i="7"/>
  <c r="I426" i="7"/>
  <c r="L426" i="7"/>
  <c r="M426" i="7"/>
  <c r="N426" i="7"/>
  <c r="O426" i="7"/>
  <c r="Q426" i="7"/>
  <c r="P426" i="7"/>
  <c r="A427" i="7"/>
  <c r="B427" i="7"/>
  <c r="K427" i="7"/>
  <c r="G427" i="7"/>
  <c r="I427" i="7"/>
  <c r="L427" i="7"/>
  <c r="M427" i="7"/>
  <c r="N427" i="7"/>
  <c r="O427" i="7"/>
  <c r="Q427" i="7"/>
  <c r="P427" i="7"/>
  <c r="A428" i="7"/>
  <c r="B428" i="7"/>
  <c r="K428" i="7"/>
  <c r="G428" i="7"/>
  <c r="I428" i="7"/>
  <c r="L428" i="7"/>
  <c r="M428" i="7"/>
  <c r="N428" i="7"/>
  <c r="O428" i="7"/>
  <c r="Q428" i="7"/>
  <c r="P428" i="7"/>
  <c r="A429" i="7"/>
  <c r="B429" i="7"/>
  <c r="K429" i="7"/>
  <c r="G429" i="7"/>
  <c r="I429" i="7"/>
  <c r="L429" i="7"/>
  <c r="M429" i="7"/>
  <c r="N429" i="7"/>
  <c r="O429" i="7"/>
  <c r="Q429" i="7"/>
  <c r="P429" i="7"/>
  <c r="A430" i="7"/>
  <c r="B430" i="7"/>
  <c r="K430" i="7"/>
  <c r="G430" i="7"/>
  <c r="I430" i="7"/>
  <c r="L430" i="7"/>
  <c r="M430" i="7"/>
  <c r="N430" i="7"/>
  <c r="O430" i="7"/>
  <c r="Q430" i="7"/>
  <c r="P430" i="7"/>
  <c r="A431" i="7"/>
  <c r="B431" i="7"/>
  <c r="K431" i="7"/>
  <c r="G431" i="7"/>
  <c r="I431" i="7"/>
  <c r="L431" i="7"/>
  <c r="M431" i="7"/>
  <c r="N431" i="7"/>
  <c r="O431" i="7"/>
  <c r="Q431" i="7"/>
  <c r="P431" i="7"/>
  <c r="A432" i="7"/>
  <c r="B432" i="7"/>
  <c r="K432" i="7"/>
  <c r="G432" i="7"/>
  <c r="I432" i="7"/>
  <c r="L432" i="7"/>
  <c r="M432" i="7"/>
  <c r="N432" i="7"/>
  <c r="O432" i="7"/>
  <c r="Q432" i="7"/>
  <c r="P432" i="7"/>
  <c r="A433" i="7"/>
  <c r="B433" i="7"/>
  <c r="K433" i="7"/>
  <c r="G433" i="7"/>
  <c r="I433" i="7"/>
  <c r="L433" i="7"/>
  <c r="M433" i="7"/>
  <c r="N433" i="7"/>
  <c r="O433" i="7"/>
  <c r="Q433" i="7"/>
  <c r="P433" i="7"/>
  <c r="A434" i="7"/>
  <c r="B434" i="7"/>
  <c r="K434" i="7"/>
  <c r="G434" i="7"/>
  <c r="I434" i="7"/>
  <c r="L434" i="7"/>
  <c r="M434" i="7"/>
  <c r="N434" i="7"/>
  <c r="O434" i="7"/>
  <c r="Q434" i="7"/>
  <c r="P434" i="7"/>
  <c r="A435" i="7"/>
  <c r="B435" i="7"/>
  <c r="K435" i="7"/>
  <c r="G435" i="7"/>
  <c r="I435" i="7"/>
  <c r="L435" i="7"/>
  <c r="M435" i="7"/>
  <c r="N435" i="7"/>
  <c r="O435" i="7"/>
  <c r="Q435" i="7"/>
  <c r="P435" i="7"/>
  <c r="A436" i="7"/>
  <c r="B436" i="7"/>
  <c r="K436" i="7"/>
  <c r="G436" i="7"/>
  <c r="I436" i="7"/>
  <c r="L436" i="7"/>
  <c r="M436" i="7"/>
  <c r="N436" i="7"/>
  <c r="O436" i="7"/>
  <c r="Q436" i="7"/>
  <c r="P436" i="7"/>
  <c r="A437" i="7"/>
  <c r="B437" i="7"/>
  <c r="K437" i="7"/>
  <c r="G437" i="7"/>
  <c r="I437" i="7"/>
  <c r="L437" i="7"/>
  <c r="M437" i="7"/>
  <c r="N437" i="7"/>
  <c r="O437" i="7"/>
  <c r="Q437" i="7"/>
  <c r="P437" i="7"/>
  <c r="A438" i="7"/>
  <c r="B438" i="7"/>
  <c r="K438" i="7"/>
  <c r="G438" i="7"/>
  <c r="I438" i="7"/>
  <c r="L438" i="7"/>
  <c r="M438" i="7"/>
  <c r="N438" i="7"/>
  <c r="O438" i="7"/>
  <c r="Q438" i="7"/>
  <c r="P438" i="7"/>
  <c r="A439" i="7"/>
  <c r="B439" i="7"/>
  <c r="K439" i="7"/>
  <c r="G439" i="7"/>
  <c r="I439" i="7"/>
  <c r="L439" i="7"/>
  <c r="M439" i="7"/>
  <c r="N439" i="7"/>
  <c r="O439" i="7"/>
  <c r="Q439" i="7"/>
  <c r="P439" i="7"/>
  <c r="A440" i="7"/>
  <c r="B440" i="7"/>
  <c r="K440" i="7"/>
  <c r="G440" i="7"/>
  <c r="I440" i="7"/>
  <c r="L440" i="7"/>
  <c r="M440" i="7"/>
  <c r="N440" i="7"/>
  <c r="O440" i="7"/>
  <c r="Q440" i="7"/>
  <c r="P440" i="7"/>
  <c r="A441" i="7"/>
  <c r="B441" i="7"/>
  <c r="K441" i="7"/>
  <c r="G441" i="7"/>
  <c r="I441" i="7"/>
  <c r="L441" i="7"/>
  <c r="M441" i="7"/>
  <c r="N441" i="7"/>
  <c r="O441" i="7"/>
  <c r="Q441" i="7"/>
  <c r="P441" i="7"/>
  <c r="A442" i="7"/>
  <c r="B442" i="7"/>
  <c r="K442" i="7"/>
  <c r="G442" i="7"/>
  <c r="I442" i="7"/>
  <c r="L442" i="7"/>
  <c r="M442" i="7"/>
  <c r="N442" i="7"/>
  <c r="O442" i="7"/>
  <c r="Q442" i="7"/>
  <c r="P442" i="7"/>
  <c r="A443" i="7"/>
  <c r="B443" i="7"/>
  <c r="K443" i="7"/>
  <c r="G443" i="7"/>
  <c r="I443" i="7"/>
  <c r="L443" i="7"/>
  <c r="M443" i="7"/>
  <c r="N443" i="7"/>
  <c r="O443" i="7"/>
  <c r="Q443" i="7"/>
  <c r="P443" i="7"/>
  <c r="A444" i="7"/>
  <c r="B444" i="7"/>
  <c r="K444" i="7"/>
  <c r="G444" i="7"/>
  <c r="I444" i="7"/>
  <c r="L444" i="7"/>
  <c r="M444" i="7"/>
  <c r="N444" i="7"/>
  <c r="O444" i="7"/>
  <c r="Q444" i="7"/>
  <c r="P444" i="7"/>
  <c r="A445" i="7"/>
  <c r="B445" i="7"/>
  <c r="K445" i="7"/>
  <c r="G445" i="7"/>
  <c r="I445" i="7"/>
  <c r="L445" i="7"/>
  <c r="M445" i="7"/>
  <c r="N445" i="7"/>
  <c r="O445" i="7"/>
  <c r="Q445" i="7"/>
  <c r="P445" i="7"/>
  <c r="A446" i="7"/>
  <c r="B446" i="7"/>
  <c r="K446" i="7"/>
  <c r="G446" i="7"/>
  <c r="I446" i="7"/>
  <c r="L446" i="7"/>
  <c r="M446" i="7"/>
  <c r="N446" i="7"/>
  <c r="O446" i="7"/>
  <c r="Q446" i="7"/>
  <c r="P446" i="7"/>
  <c r="A447" i="7"/>
  <c r="B447" i="7"/>
  <c r="K447" i="7"/>
  <c r="G447" i="7"/>
  <c r="I447" i="7"/>
  <c r="L447" i="7"/>
  <c r="M447" i="7"/>
  <c r="N447" i="7"/>
  <c r="O447" i="7"/>
  <c r="Q447" i="7"/>
  <c r="P447" i="7"/>
  <c r="A448" i="7"/>
  <c r="B448" i="7"/>
  <c r="K448" i="7"/>
  <c r="G448" i="7"/>
  <c r="I448" i="7"/>
  <c r="L448" i="7"/>
  <c r="M448" i="7"/>
  <c r="N448" i="7"/>
  <c r="O448" i="7"/>
  <c r="Q448" i="7"/>
  <c r="P448" i="7"/>
  <c r="A449" i="7"/>
  <c r="B449" i="7"/>
  <c r="K449" i="7"/>
  <c r="G449" i="7"/>
  <c r="I449" i="7"/>
  <c r="L449" i="7"/>
  <c r="M449" i="7"/>
  <c r="N449" i="7"/>
  <c r="O449" i="7"/>
  <c r="Q449" i="7"/>
  <c r="P449" i="7"/>
  <c r="A450" i="7"/>
  <c r="B450" i="7"/>
  <c r="K450" i="7"/>
  <c r="G450" i="7"/>
  <c r="I450" i="7"/>
  <c r="L450" i="7"/>
  <c r="M450" i="7"/>
  <c r="N450" i="7"/>
  <c r="O450" i="7"/>
  <c r="Q450" i="7"/>
  <c r="P450" i="7"/>
  <c r="A451" i="7"/>
  <c r="B451" i="7"/>
  <c r="K451" i="7"/>
  <c r="G451" i="7"/>
  <c r="I451" i="7"/>
  <c r="L451" i="7"/>
  <c r="M451" i="7"/>
  <c r="N451" i="7"/>
  <c r="O451" i="7"/>
  <c r="Q451" i="7"/>
  <c r="P451" i="7"/>
  <c r="A452" i="7"/>
  <c r="B452" i="7"/>
  <c r="K452" i="7"/>
  <c r="G452" i="7"/>
  <c r="I452" i="7"/>
  <c r="L452" i="7"/>
  <c r="M452" i="7"/>
  <c r="N452" i="7"/>
  <c r="O452" i="7"/>
  <c r="Q452" i="7"/>
  <c r="P452" i="7"/>
  <c r="A453" i="7"/>
  <c r="B453" i="7"/>
  <c r="K453" i="7"/>
  <c r="G453" i="7"/>
  <c r="I453" i="7"/>
  <c r="L453" i="7"/>
  <c r="M453" i="7"/>
  <c r="N453" i="7"/>
  <c r="O453" i="7"/>
  <c r="Q453" i="7"/>
  <c r="P453" i="7"/>
  <c r="A454" i="7"/>
  <c r="B454" i="7"/>
  <c r="K454" i="7"/>
  <c r="G454" i="7"/>
  <c r="I454" i="7"/>
  <c r="L454" i="7"/>
  <c r="M454" i="7"/>
  <c r="N454" i="7"/>
  <c r="O454" i="7"/>
  <c r="Q454" i="7"/>
  <c r="P454" i="7"/>
  <c r="A455" i="7"/>
  <c r="B455" i="7"/>
  <c r="K455" i="7"/>
  <c r="G455" i="7"/>
  <c r="I455" i="7"/>
  <c r="L455" i="7"/>
  <c r="M455" i="7"/>
  <c r="N455" i="7"/>
  <c r="O455" i="7"/>
  <c r="Q455" i="7"/>
  <c r="P455" i="7"/>
  <c r="A456" i="7"/>
  <c r="B456" i="7"/>
  <c r="K456" i="7"/>
  <c r="G456" i="7"/>
  <c r="I456" i="7"/>
  <c r="L456" i="7"/>
  <c r="M456" i="7"/>
  <c r="N456" i="7"/>
  <c r="O456" i="7"/>
  <c r="Q456" i="7"/>
  <c r="P456" i="7"/>
  <c r="A457" i="7"/>
  <c r="B457" i="7"/>
  <c r="K457" i="7"/>
  <c r="G457" i="7"/>
  <c r="I457" i="7"/>
  <c r="L457" i="7"/>
  <c r="M457" i="7"/>
  <c r="N457" i="7"/>
  <c r="O457" i="7"/>
  <c r="Q457" i="7"/>
  <c r="P457" i="7"/>
  <c r="A458" i="7"/>
  <c r="B458" i="7"/>
  <c r="K458" i="7"/>
  <c r="G458" i="7"/>
  <c r="I458" i="7"/>
  <c r="L458" i="7"/>
  <c r="M458" i="7"/>
  <c r="N458" i="7"/>
  <c r="O458" i="7"/>
  <c r="Q458" i="7"/>
  <c r="P458" i="7"/>
  <c r="A459" i="7"/>
  <c r="B459" i="7"/>
  <c r="K459" i="7"/>
  <c r="G459" i="7"/>
  <c r="I459" i="7"/>
  <c r="L459" i="7"/>
  <c r="M459" i="7"/>
  <c r="N459" i="7"/>
  <c r="O459" i="7"/>
  <c r="Q459" i="7"/>
  <c r="P459" i="7"/>
  <c r="A460" i="7"/>
  <c r="B460" i="7"/>
  <c r="K460" i="7"/>
  <c r="G460" i="7"/>
  <c r="I460" i="7"/>
  <c r="L460" i="7"/>
  <c r="M460" i="7"/>
  <c r="N460" i="7"/>
  <c r="O460" i="7"/>
  <c r="Q460" i="7"/>
  <c r="P460" i="7"/>
  <c r="A461" i="7"/>
  <c r="B461" i="7"/>
  <c r="K461" i="7"/>
  <c r="G461" i="7"/>
  <c r="I461" i="7"/>
  <c r="L461" i="7"/>
  <c r="M461" i="7"/>
  <c r="N461" i="7"/>
  <c r="O461" i="7"/>
  <c r="Q461" i="7"/>
  <c r="P461" i="7"/>
  <c r="A462" i="7"/>
  <c r="B462" i="7"/>
  <c r="K462" i="7"/>
  <c r="G462" i="7"/>
  <c r="I462" i="7"/>
  <c r="L462" i="7"/>
  <c r="M462" i="7"/>
  <c r="N462" i="7"/>
  <c r="O462" i="7"/>
  <c r="Q462" i="7"/>
  <c r="P462" i="7"/>
  <c r="A463" i="7"/>
  <c r="B463" i="7"/>
  <c r="K463" i="7"/>
  <c r="G463" i="7"/>
  <c r="I463" i="7"/>
  <c r="L463" i="7"/>
  <c r="M463" i="7"/>
  <c r="N463" i="7"/>
  <c r="O463" i="7"/>
  <c r="Q463" i="7"/>
  <c r="P463" i="7"/>
  <c r="A464" i="7"/>
  <c r="B464" i="7"/>
  <c r="K464" i="7"/>
  <c r="G464" i="7"/>
  <c r="I464" i="7"/>
  <c r="L464" i="7"/>
  <c r="M464" i="7"/>
  <c r="N464" i="7"/>
  <c r="O464" i="7"/>
  <c r="Q464" i="7"/>
  <c r="P464" i="7"/>
  <c r="A465" i="7"/>
  <c r="B465" i="7"/>
  <c r="K465" i="7"/>
  <c r="G465" i="7"/>
  <c r="I465" i="7"/>
  <c r="L465" i="7"/>
  <c r="M465" i="7"/>
  <c r="N465" i="7"/>
  <c r="O465" i="7"/>
  <c r="Q465" i="7"/>
  <c r="P465" i="7"/>
  <c r="A466" i="7"/>
  <c r="B466" i="7"/>
  <c r="K466" i="7"/>
  <c r="G466" i="7"/>
  <c r="I466" i="7"/>
  <c r="L466" i="7"/>
  <c r="M466" i="7"/>
  <c r="N466" i="7"/>
  <c r="O466" i="7"/>
  <c r="Q466" i="7"/>
  <c r="P466" i="7"/>
  <c r="A467" i="7"/>
  <c r="B467" i="7"/>
  <c r="K467" i="7"/>
  <c r="G467" i="7"/>
  <c r="I467" i="7"/>
  <c r="L467" i="7"/>
  <c r="M467" i="7"/>
  <c r="N467" i="7"/>
  <c r="O467" i="7"/>
  <c r="Q467" i="7"/>
  <c r="P467" i="7"/>
  <c r="A468" i="7"/>
  <c r="B468" i="7"/>
  <c r="K468" i="7"/>
  <c r="G468" i="7"/>
  <c r="I468" i="7"/>
  <c r="L468" i="7"/>
  <c r="M468" i="7"/>
  <c r="N468" i="7"/>
  <c r="O468" i="7"/>
  <c r="Q468" i="7"/>
  <c r="P468" i="7"/>
  <c r="A469" i="7"/>
  <c r="B469" i="7"/>
  <c r="K469" i="7"/>
  <c r="G469" i="7"/>
  <c r="I469" i="7"/>
  <c r="L469" i="7"/>
  <c r="M469" i="7"/>
  <c r="N469" i="7"/>
  <c r="O469" i="7"/>
  <c r="Q469" i="7"/>
  <c r="P469" i="7"/>
  <c r="A470" i="7"/>
  <c r="B470" i="7"/>
  <c r="K470" i="7"/>
  <c r="G470" i="7"/>
  <c r="I470" i="7"/>
  <c r="L470" i="7"/>
  <c r="M470" i="7"/>
  <c r="N470" i="7"/>
  <c r="O470" i="7"/>
  <c r="Q470" i="7"/>
  <c r="P470" i="7"/>
  <c r="A471" i="7"/>
  <c r="B471" i="7"/>
  <c r="K471" i="7"/>
  <c r="G471" i="7"/>
  <c r="I471" i="7"/>
  <c r="L471" i="7"/>
  <c r="M471" i="7"/>
  <c r="N471" i="7"/>
  <c r="O471" i="7"/>
  <c r="Q471" i="7"/>
  <c r="P471" i="7"/>
  <c r="A472" i="7"/>
  <c r="B472" i="7"/>
  <c r="K472" i="7"/>
  <c r="G472" i="7"/>
  <c r="I472" i="7"/>
  <c r="L472" i="7"/>
  <c r="M472" i="7"/>
  <c r="N472" i="7"/>
  <c r="O472" i="7"/>
  <c r="Q472" i="7"/>
  <c r="P472" i="7"/>
  <c r="A473" i="7"/>
  <c r="B473" i="7"/>
  <c r="K473" i="7"/>
  <c r="G473" i="7"/>
  <c r="I473" i="7"/>
  <c r="L473" i="7"/>
  <c r="M473" i="7"/>
  <c r="N473" i="7"/>
  <c r="O473" i="7"/>
  <c r="Q473" i="7"/>
  <c r="P473" i="7"/>
  <c r="A474" i="7"/>
  <c r="B474" i="7"/>
  <c r="K474" i="7"/>
  <c r="G474" i="7"/>
  <c r="I474" i="7"/>
  <c r="L474" i="7"/>
  <c r="M474" i="7"/>
  <c r="N474" i="7"/>
  <c r="O474" i="7"/>
  <c r="Q474" i="7"/>
  <c r="P474" i="7"/>
  <c r="A475" i="7"/>
  <c r="B475" i="7"/>
  <c r="K475" i="7"/>
  <c r="G475" i="7"/>
  <c r="I475" i="7"/>
  <c r="L475" i="7"/>
  <c r="M475" i="7"/>
  <c r="N475" i="7"/>
  <c r="O475" i="7"/>
  <c r="Q475" i="7"/>
  <c r="P475" i="7"/>
  <c r="A476" i="7"/>
  <c r="B476" i="7"/>
  <c r="K476" i="7"/>
  <c r="G476" i="7"/>
  <c r="I476" i="7"/>
  <c r="L476" i="7"/>
  <c r="M476" i="7"/>
  <c r="N476" i="7"/>
  <c r="O476" i="7"/>
  <c r="Q476" i="7"/>
  <c r="P476" i="7"/>
  <c r="A477" i="7"/>
  <c r="B477" i="7"/>
  <c r="K477" i="7"/>
  <c r="G477" i="7"/>
  <c r="I477" i="7"/>
  <c r="L477" i="7"/>
  <c r="M477" i="7"/>
  <c r="N477" i="7"/>
  <c r="O477" i="7"/>
  <c r="Q477" i="7"/>
  <c r="P477" i="7"/>
  <c r="A478" i="7"/>
  <c r="B478" i="7"/>
  <c r="K478" i="7"/>
  <c r="G478" i="7"/>
  <c r="I478" i="7"/>
  <c r="L478" i="7"/>
  <c r="M478" i="7"/>
  <c r="N478" i="7"/>
  <c r="O478" i="7"/>
  <c r="Q478" i="7"/>
  <c r="P478" i="7"/>
  <c r="A479" i="7"/>
  <c r="B479" i="7"/>
  <c r="K479" i="7"/>
  <c r="G479" i="7"/>
  <c r="I479" i="7"/>
  <c r="L479" i="7"/>
  <c r="M479" i="7"/>
  <c r="N479" i="7"/>
  <c r="O479" i="7"/>
  <c r="Q479" i="7"/>
  <c r="P479" i="7"/>
  <c r="A480" i="7"/>
  <c r="B480" i="7"/>
  <c r="K480" i="7"/>
  <c r="G480" i="7"/>
  <c r="I480" i="7"/>
  <c r="L480" i="7"/>
  <c r="M480" i="7"/>
  <c r="N480" i="7"/>
  <c r="O480" i="7"/>
  <c r="Q480" i="7"/>
  <c r="P480" i="7"/>
  <c r="A481" i="7"/>
  <c r="B481" i="7"/>
  <c r="K481" i="7"/>
  <c r="G481" i="7"/>
  <c r="I481" i="7"/>
  <c r="L481" i="7"/>
  <c r="M481" i="7"/>
  <c r="N481" i="7"/>
  <c r="O481" i="7"/>
  <c r="Q481" i="7"/>
  <c r="P481" i="7"/>
  <c r="A482" i="7"/>
  <c r="B482" i="7"/>
  <c r="K482" i="7"/>
  <c r="G482" i="7"/>
  <c r="I482" i="7"/>
  <c r="L482" i="7"/>
  <c r="M482" i="7"/>
  <c r="N482" i="7"/>
  <c r="O482" i="7"/>
  <c r="Q482" i="7"/>
  <c r="P482" i="7"/>
  <c r="A483" i="7"/>
  <c r="B483" i="7"/>
  <c r="K483" i="7"/>
  <c r="G483" i="7"/>
  <c r="I483" i="7"/>
  <c r="L483" i="7"/>
  <c r="M483" i="7"/>
  <c r="N483" i="7"/>
  <c r="O483" i="7"/>
  <c r="Q483" i="7"/>
  <c r="P483" i="7"/>
  <c r="A484" i="7"/>
  <c r="B484" i="7"/>
  <c r="K484" i="7"/>
  <c r="G484" i="7"/>
  <c r="I484" i="7"/>
  <c r="L484" i="7"/>
  <c r="M484" i="7"/>
  <c r="N484" i="7"/>
  <c r="O484" i="7"/>
  <c r="Q484" i="7"/>
  <c r="P484" i="7"/>
  <c r="A485" i="7"/>
  <c r="B485" i="7"/>
  <c r="K485" i="7"/>
  <c r="G485" i="7"/>
  <c r="I485" i="7"/>
  <c r="L485" i="7"/>
  <c r="M485" i="7"/>
  <c r="N485" i="7"/>
  <c r="O485" i="7"/>
  <c r="Q485" i="7"/>
  <c r="P485" i="7"/>
  <c r="A486" i="7"/>
  <c r="B486" i="7"/>
  <c r="K486" i="7"/>
  <c r="G486" i="7"/>
  <c r="I486" i="7"/>
  <c r="L486" i="7"/>
  <c r="M486" i="7"/>
  <c r="N486" i="7"/>
  <c r="O486" i="7"/>
  <c r="Q486" i="7"/>
  <c r="P486" i="7"/>
  <c r="A487" i="7"/>
  <c r="B487" i="7"/>
  <c r="K487" i="7"/>
  <c r="G487" i="7"/>
  <c r="I487" i="7"/>
  <c r="L487" i="7"/>
  <c r="M487" i="7"/>
  <c r="N487" i="7"/>
  <c r="O487" i="7"/>
  <c r="Q487" i="7"/>
  <c r="P487" i="7"/>
  <c r="A488" i="7"/>
  <c r="B488" i="7"/>
  <c r="K488" i="7"/>
  <c r="G488" i="7"/>
  <c r="I488" i="7"/>
  <c r="L488" i="7"/>
  <c r="M488" i="7"/>
  <c r="N488" i="7"/>
  <c r="O488" i="7"/>
  <c r="Q488" i="7"/>
  <c r="P488" i="7"/>
  <c r="A489" i="7"/>
  <c r="B489" i="7"/>
  <c r="K489" i="7"/>
  <c r="G489" i="7"/>
  <c r="I489" i="7"/>
  <c r="L489" i="7"/>
  <c r="M489" i="7"/>
  <c r="N489" i="7"/>
  <c r="O489" i="7"/>
  <c r="Q489" i="7"/>
  <c r="P489" i="7"/>
  <c r="A490" i="7"/>
  <c r="B490" i="7"/>
  <c r="K490" i="7"/>
  <c r="G490" i="7"/>
  <c r="I490" i="7"/>
  <c r="L490" i="7"/>
  <c r="M490" i="7"/>
  <c r="N490" i="7"/>
  <c r="O490" i="7"/>
  <c r="Q490" i="7"/>
  <c r="P490" i="7"/>
  <c r="A491" i="7"/>
  <c r="B491" i="7"/>
  <c r="K491" i="7"/>
  <c r="G491" i="7"/>
  <c r="I491" i="7"/>
  <c r="L491" i="7"/>
  <c r="M491" i="7"/>
  <c r="N491" i="7"/>
  <c r="O491" i="7"/>
  <c r="Q491" i="7"/>
  <c r="P491" i="7"/>
  <c r="A492" i="7"/>
  <c r="B492" i="7"/>
  <c r="K492" i="7"/>
  <c r="G492" i="7"/>
  <c r="I492" i="7"/>
  <c r="L492" i="7"/>
  <c r="M492" i="7"/>
  <c r="N492" i="7"/>
  <c r="O492" i="7"/>
  <c r="Q492" i="7"/>
  <c r="P492" i="7"/>
  <c r="A493" i="7"/>
  <c r="B493" i="7"/>
  <c r="K493" i="7"/>
  <c r="G493" i="7"/>
  <c r="I493" i="7"/>
  <c r="L493" i="7"/>
  <c r="M493" i="7"/>
  <c r="N493" i="7"/>
  <c r="O493" i="7"/>
  <c r="Q493" i="7"/>
  <c r="P493" i="7"/>
  <c r="A494" i="7"/>
  <c r="B494" i="7"/>
  <c r="K494" i="7"/>
  <c r="G494" i="7"/>
  <c r="I494" i="7"/>
  <c r="L494" i="7"/>
  <c r="M494" i="7"/>
  <c r="N494" i="7"/>
  <c r="O494" i="7"/>
  <c r="Q494" i="7"/>
  <c r="P494" i="7"/>
  <c r="A495" i="7"/>
  <c r="B495" i="7"/>
  <c r="K495" i="7"/>
  <c r="G495" i="7"/>
  <c r="I495" i="7"/>
  <c r="L495" i="7"/>
  <c r="M495" i="7"/>
  <c r="N495" i="7"/>
  <c r="O495" i="7"/>
  <c r="Q495" i="7"/>
  <c r="P495" i="7"/>
  <c r="A496" i="7"/>
  <c r="B496" i="7"/>
  <c r="K496" i="7"/>
  <c r="G496" i="7"/>
  <c r="I496" i="7"/>
  <c r="L496" i="7"/>
  <c r="M496" i="7"/>
  <c r="N496" i="7"/>
  <c r="O496" i="7"/>
  <c r="Q496" i="7"/>
  <c r="P496" i="7"/>
  <c r="A497" i="7"/>
  <c r="B497" i="7"/>
  <c r="K497" i="7"/>
  <c r="G497" i="7"/>
  <c r="I497" i="7"/>
  <c r="L497" i="7"/>
  <c r="M497" i="7"/>
  <c r="N497" i="7"/>
  <c r="O497" i="7"/>
  <c r="Q497" i="7"/>
  <c r="P497" i="7"/>
  <c r="A498" i="7"/>
  <c r="B498" i="7"/>
  <c r="K498" i="7"/>
  <c r="G498" i="7"/>
  <c r="I498" i="7"/>
  <c r="L498" i="7"/>
  <c r="M498" i="7"/>
  <c r="N498" i="7"/>
  <c r="O498" i="7"/>
  <c r="Q498" i="7"/>
  <c r="P498" i="7"/>
  <c r="A499" i="7"/>
  <c r="B499" i="7"/>
  <c r="K499" i="7"/>
  <c r="G499" i="7"/>
  <c r="I499" i="7"/>
  <c r="L499" i="7"/>
  <c r="M499" i="7"/>
  <c r="N499" i="7"/>
  <c r="O499" i="7"/>
  <c r="Q499" i="7"/>
  <c r="P499" i="7"/>
  <c r="A500" i="7"/>
  <c r="B500" i="7"/>
  <c r="K500" i="7"/>
  <c r="G500" i="7"/>
  <c r="I500" i="7"/>
  <c r="L500" i="7"/>
  <c r="M500" i="7"/>
  <c r="N500" i="7"/>
  <c r="O500" i="7"/>
  <c r="Q500" i="7"/>
  <c r="P500" i="7"/>
  <c r="A501" i="7"/>
  <c r="B501" i="7"/>
  <c r="K501" i="7"/>
  <c r="G501" i="7"/>
  <c r="I501" i="7"/>
  <c r="L501" i="7"/>
  <c r="M501" i="7"/>
  <c r="N501" i="7"/>
  <c r="O501" i="7"/>
  <c r="Q501" i="7"/>
  <c r="P501" i="7"/>
  <c r="A502" i="7"/>
  <c r="B502" i="7"/>
  <c r="K502" i="7"/>
  <c r="G502" i="7"/>
  <c r="I502" i="7"/>
  <c r="L502" i="7"/>
  <c r="M502" i="7"/>
  <c r="N502" i="7"/>
  <c r="O502" i="7"/>
  <c r="Q502" i="7"/>
  <c r="P502" i="7"/>
  <c r="A503" i="7"/>
  <c r="B503" i="7"/>
  <c r="K503" i="7"/>
  <c r="G503" i="7"/>
  <c r="I503" i="7"/>
  <c r="L503" i="7"/>
  <c r="M503" i="7"/>
  <c r="N503" i="7"/>
  <c r="O503" i="7"/>
  <c r="Q503" i="7"/>
  <c r="P503" i="7"/>
  <c r="A504" i="7"/>
  <c r="B504" i="7"/>
  <c r="K504" i="7"/>
  <c r="G504" i="7"/>
  <c r="I504" i="7"/>
  <c r="L504" i="7"/>
  <c r="M504" i="7"/>
  <c r="N504" i="7"/>
  <c r="O504" i="7"/>
  <c r="Q504" i="7"/>
  <c r="P504" i="7"/>
  <c r="A505" i="7"/>
  <c r="B505" i="7"/>
  <c r="K505" i="7"/>
  <c r="G505" i="7"/>
  <c r="I505" i="7"/>
  <c r="L505" i="7"/>
  <c r="M505" i="7"/>
  <c r="N505" i="7"/>
  <c r="O505" i="7"/>
  <c r="Q505" i="7"/>
  <c r="P505" i="7"/>
  <c r="A506" i="7"/>
  <c r="B506" i="7"/>
  <c r="K506" i="7"/>
  <c r="G506" i="7"/>
  <c r="I506" i="7"/>
  <c r="L506" i="7"/>
  <c r="M506" i="7"/>
  <c r="N506" i="7"/>
  <c r="O506" i="7"/>
  <c r="Q506" i="7"/>
  <c r="P506" i="7"/>
  <c r="A507" i="7"/>
  <c r="B507" i="7"/>
  <c r="K507" i="7"/>
  <c r="G507" i="7"/>
  <c r="I507" i="7"/>
  <c r="L507" i="7"/>
  <c r="M507" i="7"/>
  <c r="N507" i="7"/>
  <c r="O507" i="7"/>
  <c r="Q507" i="7"/>
  <c r="P507" i="7"/>
  <c r="A508" i="7"/>
  <c r="B508" i="7"/>
  <c r="K508" i="7"/>
  <c r="G508" i="7"/>
  <c r="I508" i="7"/>
  <c r="L508" i="7"/>
  <c r="M508" i="7"/>
  <c r="N508" i="7"/>
  <c r="O508" i="7"/>
  <c r="Q508" i="7"/>
  <c r="P508" i="7"/>
  <c r="A509" i="7"/>
  <c r="B509" i="7"/>
  <c r="K509" i="7"/>
  <c r="G509" i="7"/>
  <c r="I509" i="7"/>
  <c r="L509" i="7"/>
  <c r="M509" i="7"/>
  <c r="N509" i="7"/>
  <c r="O509" i="7"/>
  <c r="Q509" i="7"/>
  <c r="P509" i="7"/>
  <c r="A510" i="7"/>
  <c r="B510" i="7"/>
  <c r="K510" i="7"/>
  <c r="G510" i="7"/>
  <c r="I510" i="7"/>
  <c r="L510" i="7"/>
  <c r="M510" i="7"/>
  <c r="N510" i="7"/>
  <c r="O510" i="7"/>
  <c r="Q510" i="7"/>
  <c r="P510" i="7"/>
  <c r="A511" i="7"/>
  <c r="B511" i="7"/>
  <c r="K511" i="7"/>
  <c r="G511" i="7"/>
  <c r="I511" i="7"/>
  <c r="L511" i="7"/>
  <c r="M511" i="7"/>
  <c r="N511" i="7"/>
  <c r="O511" i="7"/>
  <c r="Q511" i="7"/>
  <c r="P511" i="7"/>
  <c r="A512" i="7"/>
  <c r="B512" i="7"/>
  <c r="K512" i="7"/>
  <c r="G512" i="7"/>
  <c r="I512" i="7"/>
  <c r="L512" i="7"/>
  <c r="M512" i="7"/>
  <c r="N512" i="7"/>
  <c r="O512" i="7"/>
  <c r="Q512" i="7"/>
  <c r="P512" i="7"/>
  <c r="A513" i="7"/>
  <c r="B513" i="7"/>
  <c r="K513" i="7"/>
  <c r="G513" i="7"/>
  <c r="I513" i="7"/>
  <c r="L513" i="7"/>
  <c r="M513" i="7"/>
  <c r="N513" i="7"/>
  <c r="O513" i="7"/>
  <c r="Q513" i="7"/>
  <c r="P513" i="7"/>
  <c r="A514" i="7"/>
  <c r="B514" i="7"/>
  <c r="K514" i="7"/>
  <c r="G514" i="7"/>
  <c r="I514" i="7"/>
  <c r="L514" i="7"/>
  <c r="M514" i="7"/>
  <c r="N514" i="7"/>
  <c r="O514" i="7"/>
  <c r="Q514" i="7"/>
  <c r="P514" i="7"/>
  <c r="A515" i="7"/>
  <c r="B515" i="7"/>
  <c r="K515" i="7"/>
  <c r="G515" i="7"/>
  <c r="I515" i="7"/>
  <c r="L515" i="7"/>
  <c r="M515" i="7"/>
  <c r="N515" i="7"/>
  <c r="O515" i="7"/>
  <c r="Q515" i="7"/>
  <c r="P515" i="7"/>
  <c r="A516" i="7"/>
  <c r="B516" i="7"/>
  <c r="K516" i="7"/>
  <c r="G516" i="7"/>
  <c r="I516" i="7"/>
  <c r="L516" i="7"/>
  <c r="M516" i="7"/>
  <c r="N516" i="7"/>
  <c r="O516" i="7"/>
  <c r="Q516" i="7"/>
  <c r="P516" i="7"/>
  <c r="A517" i="7"/>
  <c r="B517" i="7"/>
  <c r="K517" i="7"/>
  <c r="G517" i="7"/>
  <c r="I517" i="7"/>
  <c r="L517" i="7"/>
  <c r="M517" i="7"/>
  <c r="N517" i="7"/>
  <c r="O517" i="7"/>
  <c r="Q517" i="7"/>
  <c r="P517" i="7"/>
  <c r="A518" i="7"/>
  <c r="B518" i="7"/>
  <c r="K518" i="7"/>
  <c r="G518" i="7"/>
  <c r="I518" i="7"/>
  <c r="L518" i="7"/>
  <c r="M518" i="7"/>
  <c r="N518" i="7"/>
  <c r="O518" i="7"/>
  <c r="Q518" i="7"/>
  <c r="P518" i="7"/>
  <c r="A519" i="7"/>
  <c r="B519" i="7"/>
  <c r="K519" i="7"/>
  <c r="G519" i="7"/>
  <c r="I519" i="7"/>
  <c r="L519" i="7"/>
  <c r="M519" i="7"/>
  <c r="N519" i="7"/>
  <c r="O519" i="7"/>
  <c r="Q519" i="7"/>
  <c r="P519" i="7"/>
  <c r="A520" i="7"/>
  <c r="B520" i="7"/>
  <c r="K520" i="7"/>
  <c r="G520" i="7"/>
  <c r="I520" i="7"/>
  <c r="L520" i="7"/>
  <c r="M520" i="7"/>
  <c r="N520" i="7"/>
  <c r="O520" i="7"/>
  <c r="Q520" i="7"/>
  <c r="P520" i="7"/>
  <c r="A521" i="7"/>
  <c r="B521" i="7"/>
  <c r="K521" i="7"/>
  <c r="G521" i="7"/>
  <c r="I521" i="7"/>
  <c r="L521" i="7"/>
  <c r="M521" i="7"/>
  <c r="N521" i="7"/>
  <c r="O521" i="7"/>
  <c r="Q521" i="7"/>
  <c r="P521" i="7"/>
  <c r="A522" i="7"/>
  <c r="B522" i="7"/>
  <c r="K522" i="7"/>
  <c r="G522" i="7"/>
  <c r="I522" i="7"/>
  <c r="L522" i="7"/>
  <c r="M522" i="7"/>
  <c r="N522" i="7"/>
  <c r="O522" i="7"/>
  <c r="Q522" i="7"/>
  <c r="P522" i="7"/>
  <c r="A523" i="7"/>
  <c r="B523" i="7"/>
  <c r="K523" i="7"/>
  <c r="G523" i="7"/>
  <c r="I523" i="7"/>
  <c r="L523" i="7"/>
  <c r="M523" i="7"/>
  <c r="N523" i="7"/>
  <c r="O523" i="7"/>
  <c r="Q523" i="7"/>
  <c r="P523" i="7"/>
  <c r="A524" i="7"/>
  <c r="B524" i="7"/>
  <c r="K524" i="7"/>
  <c r="G524" i="7"/>
  <c r="I524" i="7"/>
  <c r="L524" i="7"/>
  <c r="M524" i="7"/>
  <c r="N524" i="7"/>
  <c r="O524" i="7"/>
  <c r="Q524" i="7"/>
  <c r="P524" i="7"/>
  <c r="A525" i="7"/>
  <c r="B525" i="7"/>
  <c r="K525" i="7"/>
  <c r="G525" i="7"/>
  <c r="I525" i="7"/>
  <c r="L525" i="7"/>
  <c r="M525" i="7"/>
  <c r="N525" i="7"/>
  <c r="O525" i="7"/>
  <c r="Q525" i="7"/>
  <c r="P525" i="7"/>
  <c r="A526" i="7"/>
  <c r="B526" i="7"/>
  <c r="K526" i="7"/>
  <c r="G526" i="7"/>
  <c r="I526" i="7"/>
  <c r="L526" i="7"/>
  <c r="M526" i="7"/>
  <c r="N526" i="7"/>
  <c r="O526" i="7"/>
  <c r="Q526" i="7"/>
  <c r="P526" i="7"/>
  <c r="A527" i="7"/>
  <c r="B527" i="7"/>
  <c r="K527" i="7"/>
  <c r="G527" i="7"/>
  <c r="I527" i="7"/>
  <c r="L527" i="7"/>
  <c r="M527" i="7"/>
  <c r="N527" i="7"/>
  <c r="O527" i="7"/>
  <c r="Q527" i="7"/>
  <c r="P527" i="7"/>
  <c r="A528" i="7"/>
  <c r="B528" i="7"/>
  <c r="K528" i="7"/>
  <c r="G528" i="7"/>
  <c r="I528" i="7"/>
  <c r="L528" i="7"/>
  <c r="M528" i="7"/>
  <c r="N528" i="7"/>
  <c r="O528" i="7"/>
  <c r="Q528" i="7"/>
  <c r="P528" i="7"/>
  <c r="A529" i="7"/>
  <c r="B529" i="7"/>
  <c r="K529" i="7"/>
  <c r="G529" i="7"/>
  <c r="I529" i="7"/>
  <c r="L529" i="7"/>
  <c r="M529" i="7"/>
  <c r="N529" i="7"/>
  <c r="O529" i="7"/>
  <c r="Q529" i="7"/>
  <c r="P529" i="7"/>
  <c r="A530" i="7"/>
  <c r="B530" i="7"/>
  <c r="K530" i="7"/>
  <c r="G530" i="7"/>
  <c r="I530" i="7"/>
  <c r="L530" i="7"/>
  <c r="M530" i="7"/>
  <c r="N530" i="7"/>
  <c r="O530" i="7"/>
  <c r="Q530" i="7"/>
  <c r="P530" i="7"/>
  <c r="A531" i="7"/>
  <c r="B531" i="7"/>
  <c r="K531" i="7"/>
  <c r="G531" i="7"/>
  <c r="I531" i="7"/>
  <c r="L531" i="7"/>
  <c r="M531" i="7"/>
  <c r="N531" i="7"/>
  <c r="O531" i="7"/>
  <c r="Q531" i="7"/>
  <c r="P531" i="7"/>
  <c r="A532" i="7"/>
  <c r="B532" i="7"/>
  <c r="K532" i="7"/>
  <c r="G532" i="7"/>
  <c r="I532" i="7"/>
  <c r="L532" i="7"/>
  <c r="M532" i="7"/>
  <c r="N532" i="7"/>
  <c r="O532" i="7"/>
  <c r="Q532" i="7"/>
  <c r="P532" i="7"/>
  <c r="A533" i="7"/>
  <c r="B533" i="7"/>
  <c r="K533" i="7"/>
  <c r="G533" i="7"/>
  <c r="I533" i="7"/>
  <c r="L533" i="7"/>
  <c r="M533" i="7"/>
  <c r="N533" i="7"/>
  <c r="O533" i="7"/>
  <c r="Q533" i="7"/>
  <c r="P533" i="7"/>
  <c r="A534" i="7"/>
  <c r="B534" i="7"/>
  <c r="K534" i="7"/>
  <c r="G534" i="7"/>
  <c r="I534" i="7"/>
  <c r="L534" i="7"/>
  <c r="M534" i="7"/>
  <c r="N534" i="7"/>
  <c r="O534" i="7"/>
  <c r="Q534" i="7"/>
  <c r="P534" i="7"/>
  <c r="A535" i="7"/>
  <c r="B535" i="7"/>
  <c r="K535" i="7"/>
  <c r="G535" i="7"/>
  <c r="I535" i="7"/>
  <c r="L535" i="7"/>
  <c r="M535" i="7"/>
  <c r="N535" i="7"/>
  <c r="O535" i="7"/>
  <c r="Q535" i="7"/>
  <c r="P535" i="7"/>
  <c r="A536" i="7"/>
  <c r="B536" i="7"/>
  <c r="K536" i="7"/>
  <c r="G536" i="7"/>
  <c r="I536" i="7"/>
  <c r="L536" i="7"/>
  <c r="M536" i="7"/>
  <c r="N536" i="7"/>
  <c r="O536" i="7"/>
  <c r="Q536" i="7"/>
  <c r="P536" i="7"/>
  <c r="A537" i="7"/>
  <c r="B537" i="7"/>
  <c r="K537" i="7"/>
  <c r="G537" i="7"/>
  <c r="I537" i="7"/>
  <c r="L537" i="7"/>
  <c r="M537" i="7"/>
  <c r="N537" i="7"/>
  <c r="O537" i="7"/>
  <c r="Q537" i="7"/>
  <c r="P537" i="7"/>
  <c r="A538" i="7"/>
  <c r="B538" i="7"/>
  <c r="K538" i="7"/>
  <c r="G538" i="7"/>
  <c r="I538" i="7"/>
  <c r="L538" i="7"/>
  <c r="M538" i="7"/>
  <c r="N538" i="7"/>
  <c r="O538" i="7"/>
  <c r="Q538" i="7"/>
  <c r="P538" i="7"/>
  <c r="A539" i="7"/>
  <c r="B539" i="7"/>
  <c r="K539" i="7"/>
  <c r="G539" i="7"/>
  <c r="I539" i="7"/>
  <c r="L539" i="7"/>
  <c r="M539" i="7"/>
  <c r="N539" i="7"/>
  <c r="O539" i="7"/>
  <c r="Q539" i="7"/>
  <c r="P539" i="7"/>
  <c r="A540" i="7"/>
  <c r="B540" i="7"/>
  <c r="K540" i="7"/>
  <c r="G540" i="7"/>
  <c r="I540" i="7"/>
  <c r="L540" i="7"/>
  <c r="M540" i="7"/>
  <c r="N540" i="7"/>
  <c r="O540" i="7"/>
  <c r="Q540" i="7"/>
  <c r="P540" i="7"/>
  <c r="A541" i="7"/>
  <c r="B541" i="7"/>
  <c r="K541" i="7"/>
  <c r="G541" i="7"/>
  <c r="I541" i="7"/>
  <c r="L541" i="7"/>
  <c r="M541" i="7"/>
  <c r="N541" i="7"/>
  <c r="O541" i="7"/>
  <c r="Q541" i="7"/>
  <c r="P541" i="7"/>
  <c r="A542" i="7"/>
  <c r="B542" i="7"/>
  <c r="K542" i="7"/>
  <c r="G542" i="7"/>
  <c r="I542" i="7"/>
  <c r="L542" i="7"/>
  <c r="M542" i="7"/>
  <c r="N542" i="7"/>
  <c r="O542" i="7"/>
  <c r="Q542" i="7"/>
  <c r="P542" i="7"/>
  <c r="A543" i="7"/>
  <c r="B543" i="7"/>
  <c r="K543" i="7"/>
  <c r="G543" i="7"/>
  <c r="I543" i="7"/>
  <c r="L543" i="7"/>
  <c r="M543" i="7"/>
  <c r="N543" i="7"/>
  <c r="O543" i="7"/>
  <c r="Q543" i="7"/>
  <c r="P543" i="7"/>
  <c r="A544" i="7"/>
  <c r="B544" i="7"/>
  <c r="K544" i="7"/>
  <c r="G544" i="7"/>
  <c r="I544" i="7"/>
  <c r="L544" i="7"/>
  <c r="M544" i="7"/>
  <c r="N544" i="7"/>
  <c r="O544" i="7"/>
  <c r="Q544" i="7"/>
  <c r="P544" i="7"/>
  <c r="A545" i="7"/>
  <c r="B545" i="7"/>
  <c r="K545" i="7"/>
  <c r="G545" i="7"/>
  <c r="I545" i="7"/>
  <c r="L545" i="7"/>
  <c r="M545" i="7"/>
  <c r="N545" i="7"/>
  <c r="O545" i="7"/>
  <c r="Q545" i="7"/>
  <c r="P545" i="7"/>
  <c r="A546" i="7"/>
  <c r="B546" i="7"/>
  <c r="K546" i="7"/>
  <c r="G546" i="7"/>
  <c r="I546" i="7"/>
  <c r="L546" i="7"/>
  <c r="M546" i="7"/>
  <c r="N546" i="7"/>
  <c r="O546" i="7"/>
  <c r="Q546" i="7"/>
  <c r="P546" i="7"/>
  <c r="A547" i="7"/>
  <c r="B547" i="7"/>
  <c r="K547" i="7"/>
  <c r="G547" i="7"/>
  <c r="I547" i="7"/>
  <c r="L547" i="7"/>
  <c r="M547" i="7"/>
  <c r="N547" i="7"/>
  <c r="O547" i="7"/>
  <c r="Q547" i="7"/>
  <c r="P547" i="7"/>
  <c r="A548" i="7"/>
  <c r="B548" i="7"/>
  <c r="K548" i="7"/>
  <c r="G548" i="7"/>
  <c r="I548" i="7"/>
  <c r="L548" i="7"/>
  <c r="M548" i="7"/>
  <c r="N548" i="7"/>
  <c r="O548" i="7"/>
  <c r="Q548" i="7"/>
  <c r="P548" i="7"/>
  <c r="A549" i="7"/>
  <c r="B549" i="7"/>
  <c r="K549" i="7"/>
  <c r="G549" i="7"/>
  <c r="I549" i="7"/>
  <c r="L549" i="7"/>
  <c r="M549" i="7"/>
  <c r="N549" i="7"/>
  <c r="O549" i="7"/>
  <c r="Q549" i="7"/>
  <c r="P549" i="7"/>
  <c r="A550" i="7"/>
  <c r="B550" i="7"/>
  <c r="K550" i="7"/>
  <c r="G550" i="7"/>
  <c r="I550" i="7"/>
  <c r="L550" i="7"/>
  <c r="M550" i="7"/>
  <c r="N550" i="7"/>
  <c r="O550" i="7"/>
  <c r="Q550" i="7"/>
  <c r="P550" i="7"/>
  <c r="A551" i="7"/>
  <c r="B551" i="7"/>
  <c r="K551" i="7"/>
  <c r="G551" i="7"/>
  <c r="I551" i="7"/>
  <c r="L551" i="7"/>
  <c r="M551" i="7"/>
  <c r="N551" i="7"/>
  <c r="O551" i="7"/>
  <c r="Q551" i="7"/>
  <c r="P551" i="7"/>
  <c r="A552" i="7"/>
  <c r="B552" i="7"/>
  <c r="K552" i="7"/>
  <c r="G552" i="7"/>
  <c r="I552" i="7"/>
  <c r="L552" i="7"/>
  <c r="M552" i="7"/>
  <c r="N552" i="7"/>
  <c r="O552" i="7"/>
  <c r="Q552" i="7"/>
  <c r="P552" i="7"/>
  <c r="A553" i="7"/>
  <c r="B553" i="7"/>
  <c r="K553" i="7"/>
  <c r="G553" i="7"/>
  <c r="I553" i="7"/>
  <c r="L553" i="7"/>
  <c r="M553" i="7"/>
  <c r="N553" i="7"/>
  <c r="O553" i="7"/>
  <c r="Q553" i="7"/>
  <c r="P553" i="7"/>
  <c r="A554" i="7"/>
  <c r="B554" i="7"/>
  <c r="K554" i="7"/>
  <c r="G554" i="7"/>
  <c r="I554" i="7"/>
  <c r="L554" i="7"/>
  <c r="M554" i="7"/>
  <c r="N554" i="7"/>
  <c r="O554" i="7"/>
  <c r="Q554" i="7"/>
  <c r="P554" i="7"/>
  <c r="A555" i="7"/>
  <c r="B555" i="7"/>
  <c r="K555" i="7"/>
  <c r="G555" i="7"/>
  <c r="I555" i="7"/>
  <c r="L555" i="7"/>
  <c r="M555" i="7"/>
  <c r="N555" i="7"/>
  <c r="O555" i="7"/>
  <c r="Q555" i="7"/>
  <c r="P555" i="7"/>
  <c r="A556" i="7"/>
  <c r="B556" i="7"/>
  <c r="K556" i="7"/>
  <c r="G556" i="7"/>
  <c r="I556" i="7"/>
  <c r="L556" i="7"/>
  <c r="M556" i="7"/>
  <c r="N556" i="7"/>
  <c r="O556" i="7"/>
  <c r="Q556" i="7"/>
  <c r="P556" i="7"/>
  <c r="A557" i="7"/>
  <c r="B557" i="7"/>
  <c r="K557" i="7"/>
  <c r="G557" i="7"/>
  <c r="I557" i="7"/>
  <c r="L557" i="7"/>
  <c r="M557" i="7"/>
  <c r="N557" i="7"/>
  <c r="O557" i="7"/>
  <c r="Q557" i="7"/>
  <c r="P557" i="7"/>
  <c r="A558" i="7"/>
  <c r="B558" i="7"/>
  <c r="K558" i="7"/>
  <c r="G558" i="7"/>
  <c r="I558" i="7"/>
  <c r="L558" i="7"/>
  <c r="M558" i="7"/>
  <c r="N558" i="7"/>
  <c r="O558" i="7"/>
  <c r="Q558" i="7"/>
  <c r="P558" i="7"/>
  <c r="A559" i="7"/>
  <c r="B559" i="7"/>
  <c r="K559" i="7"/>
  <c r="G559" i="7"/>
  <c r="I559" i="7"/>
  <c r="L559" i="7"/>
  <c r="M559" i="7"/>
  <c r="N559" i="7"/>
  <c r="O559" i="7"/>
  <c r="Q559" i="7"/>
  <c r="P559" i="7"/>
  <c r="A560" i="7"/>
  <c r="B560" i="7"/>
  <c r="K560" i="7"/>
  <c r="G560" i="7"/>
  <c r="I560" i="7"/>
  <c r="L560" i="7"/>
  <c r="M560" i="7"/>
  <c r="N560" i="7"/>
  <c r="O560" i="7"/>
  <c r="Q560" i="7"/>
  <c r="P560" i="7"/>
  <c r="A561" i="7"/>
  <c r="B561" i="7"/>
  <c r="K561" i="7"/>
  <c r="G561" i="7"/>
  <c r="I561" i="7"/>
  <c r="L561" i="7"/>
  <c r="M561" i="7"/>
  <c r="N561" i="7"/>
  <c r="O561" i="7"/>
  <c r="Q561" i="7"/>
  <c r="P561" i="7"/>
  <c r="A562" i="7"/>
  <c r="B562" i="7"/>
  <c r="K562" i="7"/>
  <c r="G562" i="7"/>
  <c r="I562" i="7"/>
  <c r="L562" i="7"/>
  <c r="M562" i="7"/>
  <c r="N562" i="7"/>
  <c r="O562" i="7"/>
  <c r="Q562" i="7"/>
  <c r="P562" i="7"/>
  <c r="A563" i="7"/>
  <c r="B563" i="7"/>
  <c r="K563" i="7"/>
  <c r="G563" i="7"/>
  <c r="I563" i="7"/>
  <c r="L563" i="7"/>
  <c r="M563" i="7"/>
  <c r="N563" i="7"/>
  <c r="O563" i="7"/>
  <c r="Q563" i="7"/>
  <c r="P563" i="7"/>
  <c r="A564" i="7"/>
  <c r="B564" i="7"/>
  <c r="K564" i="7"/>
  <c r="G564" i="7"/>
  <c r="I564" i="7"/>
  <c r="L564" i="7"/>
  <c r="M564" i="7"/>
  <c r="N564" i="7"/>
  <c r="O564" i="7"/>
  <c r="Q564" i="7"/>
  <c r="P564" i="7"/>
  <c r="A565" i="7"/>
  <c r="B565" i="7"/>
  <c r="K565" i="7"/>
  <c r="G565" i="7"/>
  <c r="I565" i="7"/>
  <c r="L565" i="7"/>
  <c r="M565" i="7"/>
  <c r="N565" i="7"/>
  <c r="O565" i="7"/>
  <c r="Q565" i="7"/>
  <c r="P565" i="7"/>
  <c r="A566" i="7"/>
  <c r="B566" i="7"/>
  <c r="K566" i="7"/>
  <c r="G566" i="7"/>
  <c r="I566" i="7"/>
  <c r="L566" i="7"/>
  <c r="M566" i="7"/>
  <c r="N566" i="7"/>
  <c r="O566" i="7"/>
  <c r="Q566" i="7"/>
  <c r="P566" i="7"/>
  <c r="A567" i="7"/>
  <c r="B567" i="7"/>
  <c r="K567" i="7"/>
  <c r="G567" i="7"/>
  <c r="I567" i="7"/>
  <c r="L567" i="7"/>
  <c r="M567" i="7"/>
  <c r="N567" i="7"/>
  <c r="O567" i="7"/>
  <c r="Q567" i="7"/>
  <c r="P567" i="7"/>
  <c r="A568" i="7"/>
  <c r="B568" i="7"/>
  <c r="K568" i="7"/>
  <c r="G568" i="7"/>
  <c r="I568" i="7"/>
  <c r="L568" i="7"/>
  <c r="M568" i="7"/>
  <c r="N568" i="7"/>
  <c r="O568" i="7"/>
  <c r="Q568" i="7"/>
  <c r="P568" i="7"/>
  <c r="A569" i="7"/>
  <c r="B569" i="7"/>
  <c r="K569" i="7"/>
  <c r="G569" i="7"/>
  <c r="I569" i="7"/>
  <c r="L569" i="7"/>
  <c r="M569" i="7"/>
  <c r="N569" i="7"/>
  <c r="O569" i="7"/>
  <c r="Q569" i="7"/>
  <c r="P569" i="7"/>
  <c r="A570" i="7"/>
  <c r="B570" i="7"/>
  <c r="K570" i="7"/>
  <c r="G570" i="7"/>
  <c r="I570" i="7"/>
  <c r="L570" i="7"/>
  <c r="M570" i="7"/>
  <c r="N570" i="7"/>
  <c r="O570" i="7"/>
  <c r="Q570" i="7"/>
  <c r="P570" i="7"/>
  <c r="A571" i="7"/>
  <c r="B571" i="7"/>
  <c r="K571" i="7"/>
  <c r="G571" i="7"/>
  <c r="I571" i="7"/>
  <c r="L571" i="7"/>
  <c r="M571" i="7"/>
  <c r="N571" i="7"/>
  <c r="O571" i="7"/>
  <c r="Q571" i="7"/>
  <c r="P571" i="7"/>
  <c r="A572" i="7"/>
  <c r="B572" i="7"/>
  <c r="K572" i="7"/>
  <c r="G572" i="7"/>
  <c r="I572" i="7"/>
  <c r="L572" i="7"/>
  <c r="M572" i="7"/>
  <c r="N572" i="7"/>
  <c r="O572" i="7"/>
  <c r="Q572" i="7"/>
  <c r="P572" i="7"/>
  <c r="A573" i="7"/>
  <c r="B573" i="7"/>
  <c r="K573" i="7"/>
  <c r="G573" i="7"/>
  <c r="I573" i="7"/>
  <c r="L573" i="7"/>
  <c r="M573" i="7"/>
  <c r="N573" i="7"/>
  <c r="O573" i="7"/>
  <c r="Q573" i="7"/>
  <c r="P573" i="7"/>
  <c r="A574" i="7"/>
  <c r="B574" i="7"/>
  <c r="K574" i="7"/>
  <c r="G574" i="7"/>
  <c r="I574" i="7"/>
  <c r="L574" i="7"/>
  <c r="M574" i="7"/>
  <c r="N574" i="7"/>
  <c r="O574" i="7"/>
  <c r="Q574" i="7"/>
  <c r="P574" i="7"/>
  <c r="A575" i="7"/>
  <c r="B575" i="7"/>
  <c r="K575" i="7"/>
  <c r="G575" i="7"/>
  <c r="I575" i="7"/>
  <c r="L575" i="7"/>
  <c r="M575" i="7"/>
  <c r="N575" i="7"/>
  <c r="O575" i="7"/>
  <c r="Q575" i="7"/>
  <c r="P575" i="7"/>
  <c r="A576" i="7"/>
  <c r="B576" i="7"/>
  <c r="K576" i="7"/>
  <c r="G576" i="7"/>
  <c r="I576" i="7"/>
  <c r="L576" i="7"/>
  <c r="M576" i="7"/>
  <c r="N576" i="7"/>
  <c r="O576" i="7"/>
  <c r="Q576" i="7"/>
  <c r="P576" i="7"/>
  <c r="A577" i="7"/>
  <c r="B577" i="7"/>
  <c r="K577" i="7"/>
  <c r="G577" i="7"/>
  <c r="I577" i="7"/>
  <c r="L577" i="7"/>
  <c r="M577" i="7"/>
  <c r="N577" i="7"/>
  <c r="O577" i="7"/>
  <c r="Q577" i="7"/>
  <c r="P577" i="7"/>
  <c r="A578" i="7"/>
  <c r="B578" i="7"/>
  <c r="K578" i="7"/>
  <c r="G578" i="7"/>
  <c r="I578" i="7"/>
  <c r="L578" i="7"/>
  <c r="M578" i="7"/>
  <c r="N578" i="7"/>
  <c r="O578" i="7"/>
  <c r="Q578" i="7"/>
  <c r="P578" i="7"/>
  <c r="A579" i="7"/>
  <c r="B579" i="7"/>
  <c r="K579" i="7"/>
  <c r="G579" i="7"/>
  <c r="I579" i="7"/>
  <c r="L579" i="7"/>
  <c r="M579" i="7"/>
  <c r="N579" i="7"/>
  <c r="O579" i="7"/>
  <c r="Q579" i="7"/>
  <c r="P579" i="7"/>
  <c r="A580" i="7"/>
  <c r="B580" i="7"/>
  <c r="K580" i="7"/>
  <c r="G580" i="7"/>
  <c r="I580" i="7"/>
  <c r="L580" i="7"/>
  <c r="M580" i="7"/>
  <c r="N580" i="7"/>
  <c r="O580" i="7"/>
  <c r="Q580" i="7"/>
  <c r="P580" i="7"/>
  <c r="A581" i="7"/>
  <c r="B581" i="7"/>
  <c r="K581" i="7"/>
  <c r="G581" i="7"/>
  <c r="I581" i="7"/>
  <c r="L581" i="7"/>
  <c r="M581" i="7"/>
  <c r="N581" i="7"/>
  <c r="O581" i="7"/>
  <c r="Q581" i="7"/>
  <c r="P581" i="7"/>
  <c r="A582" i="7"/>
  <c r="B582" i="7"/>
  <c r="K582" i="7"/>
  <c r="G582" i="7"/>
  <c r="I582" i="7"/>
  <c r="L582" i="7"/>
  <c r="M582" i="7"/>
  <c r="N582" i="7"/>
  <c r="O582" i="7"/>
  <c r="Q582" i="7"/>
  <c r="P582" i="7"/>
  <c r="A583" i="7"/>
  <c r="B583" i="7"/>
  <c r="K583" i="7"/>
  <c r="G583" i="7"/>
  <c r="I583" i="7"/>
  <c r="L583" i="7"/>
  <c r="M583" i="7"/>
  <c r="N583" i="7"/>
  <c r="O583" i="7"/>
  <c r="Q583" i="7"/>
  <c r="P583" i="7"/>
  <c r="A584" i="7"/>
  <c r="B584" i="7"/>
  <c r="K584" i="7"/>
  <c r="G584" i="7"/>
  <c r="I584" i="7"/>
  <c r="L584" i="7"/>
  <c r="M584" i="7"/>
  <c r="N584" i="7"/>
  <c r="O584" i="7"/>
  <c r="Q584" i="7"/>
  <c r="P584" i="7"/>
  <c r="A585" i="7"/>
  <c r="B585" i="7"/>
  <c r="K585" i="7"/>
  <c r="G585" i="7"/>
  <c r="I585" i="7"/>
  <c r="L585" i="7"/>
  <c r="M585" i="7"/>
  <c r="N585" i="7"/>
  <c r="O585" i="7"/>
  <c r="Q585" i="7"/>
  <c r="P585" i="7"/>
  <c r="A586" i="7"/>
  <c r="B586" i="7"/>
  <c r="K586" i="7"/>
  <c r="G586" i="7"/>
  <c r="I586" i="7"/>
  <c r="L586" i="7"/>
  <c r="M586" i="7"/>
  <c r="N586" i="7"/>
  <c r="O586" i="7"/>
  <c r="Q586" i="7"/>
  <c r="P586" i="7"/>
  <c r="A587" i="7"/>
  <c r="B587" i="7"/>
  <c r="K587" i="7"/>
  <c r="G587" i="7"/>
  <c r="I587" i="7"/>
  <c r="L587" i="7"/>
  <c r="M587" i="7"/>
  <c r="N587" i="7"/>
  <c r="O587" i="7"/>
  <c r="Q587" i="7"/>
  <c r="P587" i="7"/>
  <c r="A588" i="7"/>
  <c r="B588" i="7"/>
  <c r="K588" i="7"/>
  <c r="G588" i="7"/>
  <c r="I588" i="7"/>
  <c r="L588" i="7"/>
  <c r="M588" i="7"/>
  <c r="N588" i="7"/>
  <c r="O588" i="7"/>
  <c r="Q588" i="7"/>
  <c r="P588" i="7"/>
  <c r="A589" i="7"/>
  <c r="B589" i="7"/>
  <c r="K589" i="7"/>
  <c r="G589" i="7"/>
  <c r="I589" i="7"/>
  <c r="L589" i="7"/>
  <c r="M589" i="7"/>
  <c r="N589" i="7"/>
  <c r="O589" i="7"/>
  <c r="Q589" i="7"/>
  <c r="P589" i="7"/>
  <c r="A590" i="7"/>
  <c r="B590" i="7"/>
  <c r="K590" i="7"/>
  <c r="G590" i="7"/>
  <c r="I590" i="7"/>
  <c r="L590" i="7"/>
  <c r="M590" i="7"/>
  <c r="N590" i="7"/>
  <c r="O590" i="7"/>
  <c r="Q590" i="7"/>
  <c r="P590" i="7"/>
  <c r="A591" i="7"/>
  <c r="B591" i="7"/>
  <c r="K591" i="7"/>
  <c r="G591" i="7"/>
  <c r="I591" i="7"/>
  <c r="L591" i="7"/>
  <c r="M591" i="7"/>
  <c r="N591" i="7"/>
  <c r="O591" i="7"/>
  <c r="Q591" i="7"/>
  <c r="P591" i="7"/>
  <c r="A592" i="7"/>
  <c r="B592" i="7"/>
  <c r="K592" i="7"/>
  <c r="G592" i="7"/>
  <c r="I592" i="7"/>
  <c r="L592" i="7"/>
  <c r="M592" i="7"/>
  <c r="N592" i="7"/>
  <c r="O592" i="7"/>
  <c r="Q592" i="7"/>
  <c r="P592" i="7"/>
  <c r="A593" i="7"/>
  <c r="B593" i="7"/>
  <c r="K593" i="7"/>
  <c r="G593" i="7"/>
  <c r="I593" i="7"/>
  <c r="L593" i="7"/>
  <c r="M593" i="7"/>
  <c r="N593" i="7"/>
  <c r="O593" i="7"/>
  <c r="Q593" i="7"/>
  <c r="P593" i="7"/>
  <c r="A594" i="7"/>
  <c r="B594" i="7"/>
  <c r="K594" i="7"/>
  <c r="G594" i="7"/>
  <c r="I594" i="7"/>
  <c r="L594" i="7"/>
  <c r="M594" i="7"/>
  <c r="N594" i="7"/>
  <c r="O594" i="7"/>
  <c r="Q594" i="7"/>
  <c r="P594" i="7"/>
  <c r="A595" i="7"/>
  <c r="B595" i="7"/>
  <c r="K595" i="7"/>
  <c r="G595" i="7"/>
  <c r="I595" i="7"/>
  <c r="L595" i="7"/>
  <c r="M595" i="7"/>
  <c r="N595" i="7"/>
  <c r="O595" i="7"/>
  <c r="Q595" i="7"/>
  <c r="P595" i="7"/>
  <c r="A596" i="7"/>
  <c r="B596" i="7"/>
  <c r="K596" i="7"/>
  <c r="G596" i="7"/>
  <c r="I596" i="7"/>
  <c r="L596" i="7"/>
  <c r="M596" i="7"/>
  <c r="N596" i="7"/>
  <c r="O596" i="7"/>
  <c r="Q596" i="7"/>
  <c r="P596" i="7"/>
  <c r="A597" i="7"/>
  <c r="B597" i="7"/>
  <c r="K597" i="7"/>
  <c r="G597" i="7"/>
  <c r="I597" i="7"/>
  <c r="L597" i="7"/>
  <c r="M597" i="7"/>
  <c r="N597" i="7"/>
  <c r="O597" i="7"/>
  <c r="Q597" i="7"/>
  <c r="P597" i="7"/>
  <c r="A598" i="7"/>
  <c r="B598" i="7"/>
  <c r="K598" i="7"/>
  <c r="G598" i="7"/>
  <c r="I598" i="7"/>
  <c r="L598" i="7"/>
  <c r="M598" i="7"/>
  <c r="N598" i="7"/>
  <c r="O598" i="7"/>
  <c r="Q598" i="7"/>
  <c r="P598" i="7"/>
  <c r="A599" i="7"/>
  <c r="B599" i="7"/>
  <c r="K599" i="7"/>
  <c r="G599" i="7"/>
  <c r="I599" i="7"/>
  <c r="L599" i="7"/>
  <c r="M599" i="7"/>
  <c r="N599" i="7"/>
  <c r="O599" i="7"/>
  <c r="Q599" i="7"/>
  <c r="P599" i="7"/>
  <c r="A600" i="7"/>
  <c r="B600" i="7"/>
  <c r="K600" i="7"/>
  <c r="G600" i="7"/>
  <c r="I600" i="7"/>
  <c r="L600" i="7"/>
  <c r="M600" i="7"/>
  <c r="N600" i="7"/>
  <c r="O600" i="7"/>
  <c r="Q600" i="7"/>
  <c r="P600" i="7"/>
  <c r="A601" i="7"/>
  <c r="B601" i="7"/>
  <c r="K601" i="7"/>
  <c r="G601" i="7"/>
  <c r="I601" i="7"/>
  <c r="L601" i="7"/>
  <c r="M601" i="7"/>
  <c r="N601" i="7"/>
  <c r="O601" i="7"/>
  <c r="Q601" i="7"/>
  <c r="P601" i="7"/>
  <c r="A602" i="7"/>
  <c r="B602" i="7"/>
  <c r="K602" i="7"/>
  <c r="G602" i="7"/>
  <c r="I602" i="7"/>
  <c r="L602" i="7"/>
  <c r="M602" i="7"/>
  <c r="N602" i="7"/>
  <c r="O602" i="7"/>
  <c r="Q602" i="7"/>
  <c r="P602" i="7"/>
  <c r="A603" i="7"/>
  <c r="B603" i="7"/>
  <c r="K603" i="7"/>
  <c r="G603" i="7"/>
  <c r="I603" i="7"/>
  <c r="L603" i="7"/>
  <c r="M603" i="7"/>
  <c r="N603" i="7"/>
  <c r="O603" i="7"/>
  <c r="Q603" i="7"/>
  <c r="P603" i="7"/>
  <c r="A604" i="7"/>
  <c r="B604" i="7"/>
  <c r="K604" i="7"/>
  <c r="G604" i="7"/>
  <c r="I604" i="7"/>
  <c r="L604" i="7"/>
  <c r="M604" i="7"/>
  <c r="N604" i="7"/>
  <c r="O604" i="7"/>
  <c r="Q604" i="7"/>
  <c r="P604" i="7"/>
  <c r="A605" i="7"/>
  <c r="B605" i="7"/>
  <c r="K605" i="7"/>
  <c r="G605" i="7"/>
  <c r="I605" i="7"/>
  <c r="L605" i="7"/>
  <c r="M605" i="7"/>
  <c r="N605" i="7"/>
  <c r="O605" i="7"/>
  <c r="Q605" i="7"/>
  <c r="P605" i="7"/>
  <c r="A606" i="7"/>
  <c r="B606" i="7"/>
  <c r="K606" i="7"/>
  <c r="G606" i="7"/>
  <c r="I606" i="7"/>
  <c r="L606" i="7"/>
  <c r="M606" i="7"/>
  <c r="N606" i="7"/>
  <c r="O606" i="7"/>
  <c r="Q606" i="7"/>
  <c r="P606" i="7"/>
  <c r="A607" i="7"/>
  <c r="B607" i="7"/>
  <c r="K607" i="7"/>
  <c r="G607" i="7"/>
  <c r="I607" i="7"/>
  <c r="L607" i="7"/>
  <c r="M607" i="7"/>
  <c r="N607" i="7"/>
  <c r="O607" i="7"/>
  <c r="Q607" i="7"/>
  <c r="P607" i="7"/>
  <c r="A608" i="7"/>
  <c r="B608" i="7"/>
  <c r="K608" i="7"/>
  <c r="G608" i="7"/>
  <c r="I608" i="7"/>
  <c r="L608" i="7"/>
  <c r="M608" i="7"/>
  <c r="N608" i="7"/>
  <c r="O608" i="7"/>
  <c r="Q608" i="7"/>
  <c r="P608" i="7"/>
  <c r="A609" i="7"/>
  <c r="B609" i="7"/>
  <c r="K609" i="7"/>
  <c r="G609" i="7"/>
  <c r="I609" i="7"/>
  <c r="L609" i="7"/>
  <c r="M609" i="7"/>
  <c r="N609" i="7"/>
  <c r="O609" i="7"/>
  <c r="Q609" i="7"/>
  <c r="P609" i="7"/>
  <c r="A610" i="7"/>
  <c r="B610" i="7"/>
  <c r="K610" i="7"/>
  <c r="G610" i="7"/>
  <c r="I610" i="7"/>
  <c r="L610" i="7"/>
  <c r="M610" i="7"/>
  <c r="N610" i="7"/>
  <c r="O610" i="7"/>
  <c r="Q610" i="7"/>
  <c r="P610" i="7"/>
  <c r="A611" i="7"/>
  <c r="B611" i="7"/>
  <c r="K611" i="7"/>
  <c r="G611" i="7"/>
  <c r="I611" i="7"/>
  <c r="L611" i="7"/>
  <c r="M611" i="7"/>
  <c r="N611" i="7"/>
  <c r="O611" i="7"/>
  <c r="Q611" i="7"/>
  <c r="P611" i="7"/>
  <c r="A612" i="7"/>
  <c r="B612" i="7"/>
  <c r="K612" i="7"/>
  <c r="G612" i="7"/>
  <c r="I612" i="7"/>
  <c r="L612" i="7"/>
  <c r="M612" i="7"/>
  <c r="N612" i="7"/>
  <c r="O612" i="7"/>
  <c r="Q612" i="7"/>
  <c r="P612" i="7"/>
  <c r="A613" i="7"/>
  <c r="B613" i="7"/>
  <c r="K613" i="7"/>
  <c r="G613" i="7"/>
  <c r="I613" i="7"/>
  <c r="L613" i="7"/>
  <c r="M613" i="7"/>
  <c r="N613" i="7"/>
  <c r="O613" i="7"/>
  <c r="Q613" i="7"/>
  <c r="P613" i="7"/>
  <c r="A614" i="7"/>
  <c r="B614" i="7"/>
  <c r="K614" i="7"/>
  <c r="G614" i="7"/>
  <c r="I614" i="7"/>
  <c r="L614" i="7"/>
  <c r="M614" i="7"/>
  <c r="N614" i="7"/>
  <c r="O614" i="7"/>
  <c r="Q614" i="7"/>
  <c r="P614" i="7"/>
  <c r="A615" i="7"/>
  <c r="B615" i="7"/>
  <c r="K615" i="7"/>
  <c r="G615" i="7"/>
  <c r="I615" i="7"/>
  <c r="L615" i="7"/>
  <c r="M615" i="7"/>
  <c r="N615" i="7"/>
  <c r="O615" i="7"/>
  <c r="Q615" i="7"/>
  <c r="P615" i="7"/>
  <c r="A616" i="7"/>
  <c r="B616" i="7"/>
  <c r="K616" i="7"/>
  <c r="G616" i="7"/>
  <c r="I616" i="7"/>
  <c r="L616" i="7"/>
  <c r="M616" i="7"/>
  <c r="N616" i="7"/>
  <c r="O616" i="7"/>
  <c r="Q616" i="7"/>
  <c r="P616" i="7"/>
  <c r="A617" i="7"/>
  <c r="B617" i="7"/>
  <c r="K617" i="7"/>
  <c r="G617" i="7"/>
  <c r="I617" i="7"/>
  <c r="L617" i="7"/>
  <c r="M617" i="7"/>
  <c r="N617" i="7"/>
  <c r="O617" i="7"/>
  <c r="Q617" i="7"/>
  <c r="P617" i="7"/>
  <c r="A618" i="7"/>
  <c r="B618" i="7"/>
  <c r="K618" i="7"/>
  <c r="G618" i="7"/>
  <c r="I618" i="7"/>
  <c r="L618" i="7"/>
  <c r="M618" i="7"/>
  <c r="N618" i="7"/>
  <c r="O618" i="7"/>
  <c r="Q618" i="7"/>
  <c r="P618" i="7"/>
  <c r="A619" i="7"/>
  <c r="B619" i="7"/>
  <c r="K619" i="7"/>
  <c r="G619" i="7"/>
  <c r="I619" i="7"/>
  <c r="L619" i="7"/>
  <c r="M619" i="7"/>
  <c r="N619" i="7"/>
  <c r="O619" i="7"/>
  <c r="Q619" i="7"/>
  <c r="P619" i="7"/>
  <c r="A620" i="7"/>
  <c r="B620" i="7"/>
  <c r="K620" i="7"/>
  <c r="G620" i="7"/>
  <c r="I620" i="7"/>
  <c r="L620" i="7"/>
  <c r="M620" i="7"/>
  <c r="N620" i="7"/>
  <c r="O620" i="7"/>
  <c r="Q620" i="7"/>
  <c r="P620" i="7"/>
  <c r="A621" i="7"/>
  <c r="B621" i="7"/>
  <c r="K621" i="7"/>
  <c r="G621" i="7"/>
  <c r="I621" i="7"/>
  <c r="L621" i="7"/>
  <c r="M621" i="7"/>
  <c r="N621" i="7"/>
  <c r="O621" i="7"/>
  <c r="Q621" i="7"/>
  <c r="P621" i="7"/>
  <c r="A622" i="7"/>
  <c r="B622" i="7"/>
  <c r="K622" i="7"/>
  <c r="G622" i="7"/>
  <c r="I622" i="7"/>
  <c r="L622" i="7"/>
  <c r="M622" i="7"/>
  <c r="N622" i="7"/>
  <c r="O622" i="7"/>
  <c r="Q622" i="7"/>
  <c r="P622" i="7"/>
  <c r="A623" i="7"/>
  <c r="B623" i="7"/>
  <c r="K623" i="7"/>
  <c r="G623" i="7"/>
  <c r="I623" i="7"/>
  <c r="L623" i="7"/>
  <c r="M623" i="7"/>
  <c r="N623" i="7"/>
  <c r="O623" i="7"/>
  <c r="Q623" i="7"/>
  <c r="P623" i="7"/>
  <c r="A624" i="7"/>
  <c r="B624" i="7"/>
  <c r="K624" i="7"/>
  <c r="G624" i="7"/>
  <c r="I624" i="7"/>
  <c r="L624" i="7"/>
  <c r="M624" i="7"/>
  <c r="N624" i="7"/>
  <c r="O624" i="7"/>
  <c r="Q624" i="7"/>
  <c r="P624" i="7"/>
  <c r="A625" i="7"/>
  <c r="B625" i="7"/>
  <c r="K625" i="7"/>
  <c r="G625" i="7"/>
  <c r="I625" i="7"/>
  <c r="L625" i="7"/>
  <c r="M625" i="7"/>
  <c r="N625" i="7"/>
  <c r="O625" i="7"/>
  <c r="Q625" i="7"/>
  <c r="P625" i="7"/>
  <c r="A626" i="7"/>
  <c r="B626" i="7"/>
  <c r="K626" i="7"/>
  <c r="G626" i="7"/>
  <c r="I626" i="7"/>
  <c r="L626" i="7"/>
  <c r="M626" i="7"/>
  <c r="N626" i="7"/>
  <c r="O626" i="7"/>
  <c r="Q626" i="7"/>
  <c r="P626" i="7"/>
  <c r="A627" i="7"/>
  <c r="B627" i="7"/>
  <c r="K627" i="7"/>
  <c r="G627" i="7"/>
  <c r="I627" i="7"/>
  <c r="L627" i="7"/>
  <c r="M627" i="7"/>
  <c r="N627" i="7"/>
  <c r="O627" i="7"/>
  <c r="Q627" i="7"/>
  <c r="P627" i="7"/>
  <c r="A628" i="7"/>
  <c r="B628" i="7"/>
  <c r="K628" i="7"/>
  <c r="G628" i="7"/>
  <c r="I628" i="7"/>
  <c r="L628" i="7"/>
  <c r="M628" i="7"/>
  <c r="N628" i="7"/>
  <c r="O628" i="7"/>
  <c r="Q628" i="7"/>
  <c r="P628" i="7"/>
  <c r="A629" i="7"/>
  <c r="B629" i="7"/>
  <c r="K629" i="7"/>
  <c r="G629" i="7"/>
  <c r="I629" i="7"/>
  <c r="L629" i="7"/>
  <c r="M629" i="7"/>
  <c r="N629" i="7"/>
  <c r="O629" i="7"/>
  <c r="Q629" i="7"/>
  <c r="P629" i="7"/>
  <c r="A630" i="7"/>
  <c r="B630" i="7"/>
  <c r="K630" i="7"/>
  <c r="G630" i="7"/>
  <c r="I630" i="7"/>
  <c r="L630" i="7"/>
  <c r="M630" i="7"/>
  <c r="N630" i="7"/>
  <c r="O630" i="7"/>
  <c r="Q630" i="7"/>
  <c r="P630" i="7"/>
  <c r="A631" i="7"/>
  <c r="B631" i="7"/>
  <c r="K631" i="7"/>
  <c r="G631" i="7"/>
  <c r="I631" i="7"/>
  <c r="L631" i="7"/>
  <c r="M631" i="7"/>
  <c r="N631" i="7"/>
  <c r="O631" i="7"/>
  <c r="Q631" i="7"/>
  <c r="P631" i="7"/>
  <c r="A632" i="7"/>
  <c r="B632" i="7"/>
  <c r="K632" i="7"/>
  <c r="G632" i="7"/>
  <c r="I632" i="7"/>
  <c r="L632" i="7"/>
  <c r="M632" i="7"/>
  <c r="N632" i="7"/>
  <c r="O632" i="7"/>
  <c r="Q632" i="7"/>
  <c r="P632" i="7"/>
  <c r="A633" i="7"/>
  <c r="B633" i="7"/>
  <c r="K633" i="7"/>
  <c r="G633" i="7"/>
  <c r="I633" i="7"/>
  <c r="L633" i="7"/>
  <c r="M633" i="7"/>
  <c r="N633" i="7"/>
  <c r="O633" i="7"/>
  <c r="Q633" i="7"/>
  <c r="P633" i="7"/>
  <c r="A634" i="7"/>
  <c r="B634" i="7"/>
  <c r="K634" i="7"/>
  <c r="G634" i="7"/>
  <c r="I634" i="7"/>
  <c r="L634" i="7"/>
  <c r="M634" i="7"/>
  <c r="N634" i="7"/>
  <c r="O634" i="7"/>
  <c r="Q634" i="7"/>
  <c r="P634" i="7"/>
  <c r="A635" i="7"/>
  <c r="B635" i="7"/>
  <c r="K635" i="7"/>
  <c r="G635" i="7"/>
  <c r="I635" i="7"/>
  <c r="L635" i="7"/>
  <c r="M635" i="7"/>
  <c r="N635" i="7"/>
  <c r="O635" i="7"/>
  <c r="Q635" i="7"/>
  <c r="P635" i="7"/>
  <c r="A636" i="7"/>
  <c r="B636" i="7"/>
  <c r="K636" i="7"/>
  <c r="G636" i="7"/>
  <c r="I636" i="7"/>
  <c r="L636" i="7"/>
  <c r="M636" i="7"/>
  <c r="N636" i="7"/>
  <c r="O636" i="7"/>
  <c r="Q636" i="7"/>
  <c r="P636" i="7"/>
  <c r="A637" i="7"/>
  <c r="B637" i="7"/>
  <c r="K637" i="7"/>
  <c r="G637" i="7"/>
  <c r="I637" i="7"/>
  <c r="L637" i="7"/>
  <c r="M637" i="7"/>
  <c r="N637" i="7"/>
  <c r="O637" i="7"/>
  <c r="Q637" i="7"/>
  <c r="P637" i="7"/>
  <c r="A638" i="7"/>
  <c r="B638" i="7"/>
  <c r="K638" i="7"/>
  <c r="G638" i="7"/>
  <c r="I638" i="7"/>
  <c r="L638" i="7"/>
  <c r="M638" i="7"/>
  <c r="N638" i="7"/>
  <c r="O638" i="7"/>
  <c r="Q638" i="7"/>
  <c r="P638" i="7"/>
  <c r="A639" i="7"/>
  <c r="B639" i="7"/>
  <c r="K639" i="7"/>
  <c r="G639" i="7"/>
  <c r="I639" i="7"/>
  <c r="L639" i="7"/>
  <c r="M639" i="7"/>
  <c r="N639" i="7"/>
  <c r="O639" i="7"/>
  <c r="Q639" i="7"/>
  <c r="P639" i="7"/>
  <c r="A640" i="7"/>
  <c r="B640" i="7"/>
  <c r="K640" i="7"/>
  <c r="G640" i="7"/>
  <c r="I640" i="7"/>
  <c r="L640" i="7"/>
  <c r="M640" i="7"/>
  <c r="N640" i="7"/>
  <c r="O640" i="7"/>
  <c r="Q640" i="7"/>
  <c r="P640" i="7"/>
  <c r="A641" i="7"/>
  <c r="B641" i="7"/>
  <c r="K641" i="7"/>
  <c r="G641" i="7"/>
  <c r="I641" i="7"/>
  <c r="L641" i="7"/>
  <c r="M641" i="7"/>
  <c r="N641" i="7"/>
  <c r="O641" i="7"/>
  <c r="Q641" i="7"/>
  <c r="P641" i="7"/>
  <c r="A642" i="7"/>
  <c r="B642" i="7"/>
  <c r="K642" i="7"/>
  <c r="G642" i="7"/>
  <c r="I642" i="7"/>
  <c r="L642" i="7"/>
  <c r="M642" i="7"/>
  <c r="N642" i="7"/>
  <c r="O642" i="7"/>
  <c r="Q642" i="7"/>
  <c r="P642" i="7"/>
  <c r="A643" i="7"/>
  <c r="B643" i="7"/>
  <c r="K643" i="7"/>
  <c r="G643" i="7"/>
  <c r="I643" i="7"/>
  <c r="L643" i="7"/>
  <c r="M643" i="7"/>
  <c r="N643" i="7"/>
  <c r="O643" i="7"/>
  <c r="Q643" i="7"/>
  <c r="P643" i="7"/>
  <c r="A644" i="7"/>
  <c r="B644" i="7"/>
  <c r="K644" i="7"/>
  <c r="G644" i="7"/>
  <c r="I644" i="7"/>
  <c r="L644" i="7"/>
  <c r="M644" i="7"/>
  <c r="N644" i="7"/>
  <c r="O644" i="7"/>
  <c r="Q644" i="7"/>
  <c r="P644" i="7"/>
  <c r="A645" i="7"/>
  <c r="B645" i="7"/>
  <c r="K645" i="7"/>
  <c r="G645" i="7"/>
  <c r="I645" i="7"/>
  <c r="L645" i="7"/>
  <c r="M645" i="7"/>
  <c r="N645" i="7"/>
  <c r="O645" i="7"/>
  <c r="Q645" i="7"/>
  <c r="P645" i="7"/>
  <c r="A646" i="7"/>
  <c r="B646" i="7"/>
  <c r="K646" i="7"/>
  <c r="G646" i="7"/>
  <c r="I646" i="7"/>
  <c r="L646" i="7"/>
  <c r="M646" i="7"/>
  <c r="N646" i="7"/>
  <c r="O646" i="7"/>
  <c r="Q646" i="7"/>
  <c r="P646" i="7"/>
  <c r="A647" i="7"/>
  <c r="B647" i="7"/>
  <c r="K647" i="7"/>
  <c r="G647" i="7"/>
  <c r="I647" i="7"/>
  <c r="L647" i="7"/>
  <c r="M647" i="7"/>
  <c r="N647" i="7"/>
  <c r="O647" i="7"/>
  <c r="Q647" i="7"/>
  <c r="P647" i="7"/>
  <c r="A648" i="7"/>
  <c r="B648" i="7"/>
  <c r="K648" i="7"/>
  <c r="G648" i="7"/>
  <c r="I648" i="7"/>
  <c r="L648" i="7"/>
  <c r="M648" i="7"/>
  <c r="N648" i="7"/>
  <c r="O648" i="7"/>
  <c r="Q648" i="7"/>
  <c r="P648" i="7"/>
  <c r="A649" i="7"/>
  <c r="B649" i="7"/>
  <c r="K649" i="7"/>
  <c r="G649" i="7"/>
  <c r="I649" i="7"/>
  <c r="L649" i="7"/>
  <c r="M649" i="7"/>
  <c r="N649" i="7"/>
  <c r="O649" i="7"/>
  <c r="Q649" i="7"/>
  <c r="P649" i="7"/>
  <c r="A650" i="7"/>
  <c r="B650" i="7"/>
  <c r="K650" i="7"/>
  <c r="G650" i="7"/>
  <c r="I650" i="7"/>
  <c r="L650" i="7"/>
  <c r="M650" i="7"/>
  <c r="N650" i="7"/>
  <c r="O650" i="7"/>
  <c r="Q650" i="7"/>
  <c r="P650" i="7"/>
  <c r="A651" i="7"/>
  <c r="B651" i="7"/>
  <c r="K651" i="7"/>
  <c r="G651" i="7"/>
  <c r="I651" i="7"/>
  <c r="L651" i="7"/>
  <c r="M651" i="7"/>
  <c r="N651" i="7"/>
  <c r="O651" i="7"/>
  <c r="Q651" i="7"/>
  <c r="P651" i="7"/>
  <c r="A652" i="7"/>
  <c r="B652" i="7"/>
  <c r="K652" i="7"/>
  <c r="G652" i="7"/>
  <c r="I652" i="7"/>
  <c r="L652" i="7"/>
  <c r="M652" i="7"/>
  <c r="N652" i="7"/>
  <c r="O652" i="7"/>
  <c r="Q652" i="7"/>
  <c r="P652" i="7"/>
  <c r="A653" i="7"/>
  <c r="B653" i="7"/>
  <c r="K653" i="7"/>
  <c r="G653" i="7"/>
  <c r="I653" i="7"/>
  <c r="L653" i="7"/>
  <c r="M653" i="7"/>
  <c r="N653" i="7"/>
  <c r="O653" i="7"/>
  <c r="Q653" i="7"/>
  <c r="P653" i="7"/>
  <c r="A654" i="7"/>
  <c r="B654" i="7"/>
  <c r="K654" i="7"/>
  <c r="G654" i="7"/>
  <c r="I654" i="7"/>
  <c r="L654" i="7"/>
  <c r="M654" i="7"/>
  <c r="N654" i="7"/>
  <c r="O654" i="7"/>
  <c r="Q654" i="7"/>
  <c r="P654" i="7"/>
  <c r="A655" i="7"/>
  <c r="B655" i="7"/>
  <c r="K655" i="7"/>
  <c r="G655" i="7"/>
  <c r="I655" i="7"/>
  <c r="L655" i="7"/>
  <c r="M655" i="7"/>
  <c r="N655" i="7"/>
  <c r="O655" i="7"/>
  <c r="Q655" i="7"/>
  <c r="P655" i="7"/>
  <c r="A656" i="7"/>
  <c r="B656" i="7"/>
  <c r="K656" i="7"/>
  <c r="G656" i="7"/>
  <c r="I656" i="7"/>
  <c r="L656" i="7"/>
  <c r="M656" i="7"/>
  <c r="N656" i="7"/>
  <c r="O656" i="7"/>
  <c r="Q656" i="7"/>
  <c r="P656" i="7"/>
  <c r="A657" i="7"/>
  <c r="B657" i="7"/>
  <c r="K657" i="7"/>
  <c r="G657" i="7"/>
  <c r="I657" i="7"/>
  <c r="L657" i="7"/>
  <c r="M657" i="7"/>
  <c r="N657" i="7"/>
  <c r="O657" i="7"/>
  <c r="Q657" i="7"/>
  <c r="P657" i="7"/>
  <c r="A658" i="7"/>
  <c r="B658" i="7"/>
  <c r="K658" i="7"/>
  <c r="G658" i="7"/>
  <c r="I658" i="7"/>
  <c r="L658" i="7"/>
  <c r="M658" i="7"/>
  <c r="N658" i="7"/>
  <c r="O658" i="7"/>
  <c r="Q658" i="7"/>
  <c r="P658" i="7"/>
  <c r="A659" i="7"/>
  <c r="B659" i="7"/>
  <c r="K659" i="7"/>
  <c r="G659" i="7"/>
  <c r="I659" i="7"/>
  <c r="L659" i="7"/>
  <c r="M659" i="7"/>
  <c r="N659" i="7"/>
  <c r="O659" i="7"/>
  <c r="Q659" i="7"/>
  <c r="P659" i="7"/>
  <c r="A660" i="7"/>
  <c r="B660" i="7"/>
  <c r="K660" i="7"/>
  <c r="G660" i="7"/>
  <c r="I660" i="7"/>
  <c r="L660" i="7"/>
  <c r="M660" i="7"/>
  <c r="N660" i="7"/>
  <c r="O660" i="7"/>
  <c r="Q660" i="7"/>
  <c r="P660" i="7"/>
  <c r="A661" i="7"/>
  <c r="B661" i="7"/>
  <c r="K661" i="7"/>
  <c r="G661" i="7"/>
  <c r="I661" i="7"/>
  <c r="L661" i="7"/>
  <c r="M661" i="7"/>
  <c r="N661" i="7"/>
  <c r="O661" i="7"/>
  <c r="Q661" i="7"/>
  <c r="P661" i="7"/>
  <c r="A662" i="7"/>
  <c r="B662" i="7"/>
  <c r="K662" i="7"/>
  <c r="G662" i="7"/>
  <c r="I662" i="7"/>
  <c r="L662" i="7"/>
  <c r="M662" i="7"/>
  <c r="N662" i="7"/>
  <c r="O662" i="7"/>
  <c r="Q662" i="7"/>
  <c r="P662" i="7"/>
  <c r="A663" i="7"/>
  <c r="B663" i="7"/>
  <c r="K663" i="7"/>
  <c r="G663" i="7"/>
  <c r="I663" i="7"/>
  <c r="L663" i="7"/>
  <c r="M663" i="7"/>
  <c r="N663" i="7"/>
  <c r="O663" i="7"/>
  <c r="Q663" i="7"/>
  <c r="P663" i="7"/>
  <c r="A664" i="7"/>
  <c r="B664" i="7"/>
  <c r="K664" i="7"/>
  <c r="G664" i="7"/>
  <c r="I664" i="7"/>
  <c r="L664" i="7"/>
  <c r="M664" i="7"/>
  <c r="N664" i="7"/>
  <c r="O664" i="7"/>
  <c r="Q664" i="7"/>
  <c r="P664" i="7"/>
  <c r="A665" i="7"/>
  <c r="B665" i="7"/>
  <c r="K665" i="7"/>
  <c r="G665" i="7"/>
  <c r="I665" i="7"/>
  <c r="L665" i="7"/>
  <c r="M665" i="7"/>
  <c r="N665" i="7"/>
  <c r="O665" i="7"/>
  <c r="Q665" i="7"/>
  <c r="P665" i="7"/>
  <c r="A666" i="7"/>
  <c r="B666" i="7"/>
  <c r="K666" i="7"/>
  <c r="G666" i="7"/>
  <c r="I666" i="7"/>
  <c r="L666" i="7"/>
  <c r="M666" i="7"/>
  <c r="N666" i="7"/>
  <c r="O666" i="7"/>
  <c r="Q666" i="7"/>
  <c r="P666" i="7"/>
  <c r="A667" i="7"/>
  <c r="B667" i="7"/>
  <c r="K667" i="7"/>
  <c r="G667" i="7"/>
  <c r="I667" i="7"/>
  <c r="L667" i="7"/>
  <c r="M667" i="7"/>
  <c r="N667" i="7"/>
  <c r="O667" i="7"/>
  <c r="Q667" i="7"/>
  <c r="P667" i="7"/>
  <c r="A668" i="7"/>
  <c r="B668" i="7"/>
  <c r="K668" i="7"/>
  <c r="G668" i="7"/>
  <c r="I668" i="7"/>
  <c r="L668" i="7"/>
  <c r="M668" i="7"/>
  <c r="N668" i="7"/>
  <c r="O668" i="7"/>
  <c r="Q668" i="7"/>
  <c r="P668" i="7"/>
  <c r="A669" i="7"/>
  <c r="B669" i="7"/>
  <c r="K669" i="7"/>
  <c r="G669" i="7"/>
  <c r="I669" i="7"/>
  <c r="L669" i="7"/>
  <c r="M669" i="7"/>
  <c r="N669" i="7"/>
  <c r="O669" i="7"/>
  <c r="Q669" i="7"/>
  <c r="P669" i="7"/>
  <c r="A670" i="7"/>
  <c r="B670" i="7"/>
  <c r="K670" i="7"/>
  <c r="G670" i="7"/>
  <c r="I670" i="7"/>
  <c r="L670" i="7"/>
  <c r="M670" i="7"/>
  <c r="N670" i="7"/>
  <c r="O670" i="7"/>
  <c r="Q670" i="7"/>
  <c r="P670" i="7"/>
  <c r="A671" i="7"/>
  <c r="B671" i="7"/>
  <c r="K671" i="7"/>
  <c r="G671" i="7"/>
  <c r="I671" i="7"/>
  <c r="L671" i="7"/>
  <c r="M671" i="7"/>
  <c r="N671" i="7"/>
  <c r="O671" i="7"/>
  <c r="Q671" i="7"/>
  <c r="P671" i="7"/>
  <c r="A672" i="7"/>
  <c r="B672" i="7"/>
  <c r="K672" i="7"/>
  <c r="G672" i="7"/>
  <c r="I672" i="7"/>
  <c r="L672" i="7"/>
  <c r="M672" i="7"/>
  <c r="N672" i="7"/>
  <c r="O672" i="7"/>
  <c r="Q672" i="7"/>
  <c r="P672" i="7"/>
  <c r="A673" i="7"/>
  <c r="B673" i="7"/>
  <c r="K673" i="7"/>
  <c r="G673" i="7"/>
  <c r="I673" i="7"/>
  <c r="L673" i="7"/>
  <c r="M673" i="7"/>
  <c r="N673" i="7"/>
  <c r="O673" i="7"/>
  <c r="Q673" i="7"/>
  <c r="P673" i="7"/>
  <c r="A674" i="7"/>
  <c r="B674" i="7"/>
  <c r="K674" i="7"/>
  <c r="G674" i="7"/>
  <c r="I674" i="7"/>
  <c r="L674" i="7"/>
  <c r="M674" i="7"/>
  <c r="N674" i="7"/>
  <c r="O674" i="7"/>
  <c r="Q674" i="7"/>
  <c r="P674" i="7"/>
  <c r="A675" i="7"/>
  <c r="B675" i="7"/>
  <c r="K675" i="7"/>
  <c r="G675" i="7"/>
  <c r="I675" i="7"/>
  <c r="L675" i="7"/>
  <c r="M675" i="7"/>
  <c r="N675" i="7"/>
  <c r="O675" i="7"/>
  <c r="Q675" i="7"/>
  <c r="P675" i="7"/>
  <c r="A676" i="7"/>
  <c r="B676" i="7"/>
  <c r="K676" i="7"/>
  <c r="G676" i="7"/>
  <c r="I676" i="7"/>
  <c r="L676" i="7"/>
  <c r="M676" i="7"/>
  <c r="N676" i="7"/>
  <c r="O676" i="7"/>
  <c r="Q676" i="7"/>
  <c r="P676" i="7"/>
  <c r="A677" i="7"/>
  <c r="B677" i="7"/>
  <c r="K677" i="7"/>
  <c r="G677" i="7"/>
  <c r="I677" i="7"/>
  <c r="L677" i="7"/>
  <c r="M677" i="7"/>
  <c r="N677" i="7"/>
  <c r="O677" i="7"/>
  <c r="Q677" i="7"/>
  <c r="P677" i="7"/>
  <c r="A678" i="7"/>
  <c r="B678" i="7"/>
  <c r="K678" i="7"/>
  <c r="G678" i="7"/>
  <c r="I678" i="7"/>
  <c r="L678" i="7"/>
  <c r="M678" i="7"/>
  <c r="N678" i="7"/>
  <c r="O678" i="7"/>
  <c r="Q678" i="7"/>
  <c r="P678" i="7"/>
  <c r="A679" i="7"/>
  <c r="B679" i="7"/>
  <c r="K679" i="7"/>
  <c r="G679" i="7"/>
  <c r="I679" i="7"/>
  <c r="L679" i="7"/>
  <c r="M679" i="7"/>
  <c r="N679" i="7"/>
  <c r="O679" i="7"/>
  <c r="Q679" i="7"/>
  <c r="P679" i="7"/>
  <c r="A680" i="7"/>
  <c r="B680" i="7"/>
  <c r="K680" i="7"/>
  <c r="G680" i="7"/>
  <c r="I680" i="7"/>
  <c r="L680" i="7"/>
  <c r="M680" i="7"/>
  <c r="N680" i="7"/>
  <c r="O680" i="7"/>
  <c r="Q680" i="7"/>
  <c r="P680" i="7"/>
  <c r="A681" i="7"/>
  <c r="B681" i="7"/>
  <c r="K681" i="7"/>
  <c r="G681" i="7"/>
  <c r="I681" i="7"/>
  <c r="L681" i="7"/>
  <c r="M681" i="7"/>
  <c r="N681" i="7"/>
  <c r="O681" i="7"/>
  <c r="Q681" i="7"/>
  <c r="P681" i="7"/>
  <c r="A682" i="7"/>
  <c r="B682" i="7"/>
  <c r="K682" i="7"/>
  <c r="G682" i="7"/>
  <c r="I682" i="7"/>
  <c r="L682" i="7"/>
  <c r="M682" i="7"/>
  <c r="N682" i="7"/>
  <c r="O682" i="7"/>
  <c r="Q682" i="7"/>
  <c r="P682" i="7"/>
  <c r="A683" i="7"/>
  <c r="B683" i="7"/>
  <c r="K683" i="7"/>
  <c r="G683" i="7"/>
  <c r="I683" i="7"/>
  <c r="L683" i="7"/>
  <c r="M683" i="7"/>
  <c r="N683" i="7"/>
  <c r="O683" i="7"/>
  <c r="Q683" i="7"/>
  <c r="P683" i="7"/>
  <c r="A684" i="7"/>
  <c r="B684" i="7"/>
  <c r="K684" i="7"/>
  <c r="G684" i="7"/>
  <c r="I684" i="7"/>
  <c r="L684" i="7"/>
  <c r="M684" i="7"/>
  <c r="N684" i="7"/>
  <c r="O684" i="7"/>
  <c r="Q684" i="7"/>
  <c r="P684" i="7"/>
  <c r="A685" i="7"/>
  <c r="B685" i="7"/>
  <c r="K685" i="7"/>
  <c r="G685" i="7"/>
  <c r="I685" i="7"/>
  <c r="L685" i="7"/>
  <c r="M685" i="7"/>
  <c r="N685" i="7"/>
  <c r="O685" i="7"/>
  <c r="Q685" i="7"/>
  <c r="P685" i="7"/>
  <c r="A686" i="7"/>
  <c r="B686" i="7"/>
  <c r="K686" i="7"/>
  <c r="G686" i="7"/>
  <c r="I686" i="7"/>
  <c r="L686" i="7"/>
  <c r="M686" i="7"/>
  <c r="N686" i="7"/>
  <c r="O686" i="7"/>
  <c r="Q686" i="7"/>
  <c r="P686" i="7"/>
  <c r="A687" i="7"/>
  <c r="B687" i="7"/>
  <c r="K687" i="7"/>
  <c r="G687" i="7"/>
  <c r="I687" i="7"/>
  <c r="L687" i="7"/>
  <c r="M687" i="7"/>
  <c r="N687" i="7"/>
  <c r="O687" i="7"/>
  <c r="Q687" i="7"/>
  <c r="P687" i="7"/>
  <c r="A688" i="7"/>
  <c r="B688" i="7"/>
  <c r="K688" i="7"/>
  <c r="G688" i="7"/>
  <c r="I688" i="7"/>
  <c r="L688" i="7"/>
  <c r="M688" i="7"/>
  <c r="N688" i="7"/>
  <c r="O688" i="7"/>
  <c r="Q688" i="7"/>
  <c r="P688" i="7"/>
  <c r="A689" i="7"/>
  <c r="B689" i="7"/>
  <c r="K689" i="7"/>
  <c r="G689" i="7"/>
  <c r="I689" i="7"/>
  <c r="L689" i="7"/>
  <c r="M689" i="7"/>
  <c r="N689" i="7"/>
  <c r="O689" i="7"/>
  <c r="Q689" i="7"/>
  <c r="P689" i="7"/>
  <c r="A690" i="7"/>
  <c r="B690" i="7"/>
  <c r="K690" i="7"/>
  <c r="G690" i="7"/>
  <c r="I690" i="7"/>
  <c r="L690" i="7"/>
  <c r="M690" i="7"/>
  <c r="N690" i="7"/>
  <c r="O690" i="7"/>
  <c r="Q690" i="7"/>
  <c r="P690" i="7"/>
  <c r="A691" i="7"/>
  <c r="B691" i="7"/>
  <c r="K691" i="7"/>
  <c r="G691" i="7"/>
  <c r="I691" i="7"/>
  <c r="L691" i="7"/>
  <c r="M691" i="7"/>
  <c r="N691" i="7"/>
  <c r="O691" i="7"/>
  <c r="Q691" i="7"/>
  <c r="P691" i="7"/>
  <c r="A692" i="7"/>
  <c r="B692" i="7"/>
  <c r="K692" i="7"/>
  <c r="G692" i="7"/>
  <c r="I692" i="7"/>
  <c r="L692" i="7"/>
  <c r="M692" i="7"/>
  <c r="N692" i="7"/>
  <c r="O692" i="7"/>
  <c r="Q692" i="7"/>
  <c r="P692" i="7"/>
  <c r="A693" i="7"/>
  <c r="B693" i="7"/>
  <c r="K693" i="7"/>
  <c r="G693" i="7"/>
  <c r="I693" i="7"/>
  <c r="L693" i="7"/>
  <c r="M693" i="7"/>
  <c r="N693" i="7"/>
  <c r="O693" i="7"/>
  <c r="Q693" i="7"/>
  <c r="P693" i="7"/>
  <c r="A694" i="7"/>
  <c r="B694" i="7"/>
  <c r="K694" i="7"/>
  <c r="G694" i="7"/>
  <c r="I694" i="7"/>
  <c r="L694" i="7"/>
  <c r="M694" i="7"/>
  <c r="N694" i="7"/>
  <c r="O694" i="7"/>
  <c r="Q694" i="7"/>
  <c r="P694" i="7"/>
  <c r="A695" i="7"/>
  <c r="B695" i="7"/>
  <c r="K695" i="7"/>
  <c r="G695" i="7"/>
  <c r="I695" i="7"/>
  <c r="L695" i="7"/>
  <c r="M695" i="7"/>
  <c r="N695" i="7"/>
  <c r="O695" i="7"/>
  <c r="Q695" i="7"/>
  <c r="P695" i="7"/>
  <c r="A696" i="7"/>
  <c r="B696" i="7"/>
  <c r="K696" i="7"/>
  <c r="G696" i="7"/>
  <c r="I696" i="7"/>
  <c r="L696" i="7"/>
  <c r="M696" i="7"/>
  <c r="N696" i="7"/>
  <c r="O696" i="7"/>
  <c r="Q696" i="7"/>
  <c r="P696" i="7"/>
  <c r="A697" i="7"/>
  <c r="B697" i="7"/>
  <c r="K697" i="7"/>
  <c r="G697" i="7"/>
  <c r="I697" i="7"/>
  <c r="L697" i="7"/>
  <c r="M697" i="7"/>
  <c r="N697" i="7"/>
  <c r="O697" i="7"/>
  <c r="Q697" i="7"/>
  <c r="P697" i="7"/>
  <c r="A698" i="7"/>
  <c r="B698" i="7"/>
  <c r="K698" i="7"/>
  <c r="G698" i="7"/>
  <c r="I698" i="7"/>
  <c r="L698" i="7"/>
  <c r="M698" i="7"/>
  <c r="N698" i="7"/>
  <c r="O698" i="7"/>
  <c r="Q698" i="7"/>
  <c r="P698" i="7"/>
  <c r="A699" i="7"/>
  <c r="B699" i="7"/>
  <c r="K699" i="7"/>
  <c r="G699" i="7"/>
  <c r="I699" i="7"/>
  <c r="L699" i="7"/>
  <c r="M699" i="7"/>
  <c r="N699" i="7"/>
  <c r="O699" i="7"/>
  <c r="Q699" i="7"/>
  <c r="P699" i="7"/>
  <c r="A700" i="7"/>
  <c r="B700" i="7"/>
  <c r="K700" i="7"/>
  <c r="G700" i="7"/>
  <c r="I700" i="7"/>
  <c r="L700" i="7"/>
  <c r="M700" i="7"/>
  <c r="N700" i="7"/>
  <c r="O700" i="7"/>
  <c r="Q700" i="7"/>
  <c r="P700" i="7"/>
  <c r="A701" i="7"/>
  <c r="B701" i="7"/>
  <c r="K701" i="7"/>
  <c r="G701" i="7"/>
  <c r="I701" i="7"/>
  <c r="L701" i="7"/>
  <c r="M701" i="7"/>
  <c r="N701" i="7"/>
  <c r="O701" i="7"/>
  <c r="Q701" i="7"/>
  <c r="P701" i="7"/>
  <c r="A702" i="7"/>
  <c r="B702" i="7"/>
  <c r="K702" i="7"/>
  <c r="G702" i="7"/>
  <c r="I702" i="7"/>
  <c r="L702" i="7"/>
  <c r="M702" i="7"/>
  <c r="N702" i="7"/>
  <c r="O702" i="7"/>
  <c r="Q702" i="7"/>
  <c r="P702" i="7"/>
  <c r="A703" i="7"/>
  <c r="B703" i="7"/>
  <c r="K703" i="7"/>
  <c r="G703" i="7"/>
  <c r="I703" i="7"/>
  <c r="L703" i="7"/>
  <c r="M703" i="7"/>
  <c r="N703" i="7"/>
  <c r="O703" i="7"/>
  <c r="Q703" i="7"/>
  <c r="P703" i="7"/>
  <c r="A704" i="7"/>
  <c r="B704" i="7"/>
  <c r="K704" i="7"/>
  <c r="G704" i="7"/>
  <c r="I704" i="7"/>
  <c r="L704" i="7"/>
  <c r="M704" i="7"/>
  <c r="N704" i="7"/>
  <c r="O704" i="7"/>
  <c r="Q704" i="7"/>
  <c r="P704" i="7"/>
  <c r="A705" i="7"/>
  <c r="B705" i="7"/>
  <c r="K705" i="7"/>
  <c r="G705" i="7"/>
  <c r="I705" i="7"/>
  <c r="L705" i="7"/>
  <c r="M705" i="7"/>
  <c r="N705" i="7"/>
  <c r="O705" i="7"/>
  <c r="Q705" i="7"/>
  <c r="P705" i="7"/>
  <c r="A706" i="7"/>
  <c r="B706" i="7"/>
  <c r="K706" i="7"/>
  <c r="G706" i="7"/>
  <c r="I706" i="7"/>
  <c r="L706" i="7"/>
  <c r="M706" i="7"/>
  <c r="N706" i="7"/>
  <c r="O706" i="7"/>
  <c r="Q706" i="7"/>
  <c r="P706" i="7"/>
  <c r="A707" i="7"/>
  <c r="B707" i="7"/>
  <c r="K707" i="7"/>
  <c r="G707" i="7"/>
  <c r="I707" i="7"/>
  <c r="L707" i="7"/>
  <c r="M707" i="7"/>
  <c r="N707" i="7"/>
  <c r="O707" i="7"/>
  <c r="Q707" i="7"/>
  <c r="P707" i="7"/>
  <c r="A708" i="7"/>
  <c r="B708" i="7"/>
  <c r="K708" i="7"/>
  <c r="G708" i="7"/>
  <c r="I708" i="7"/>
  <c r="L708" i="7"/>
  <c r="M708" i="7"/>
  <c r="N708" i="7"/>
  <c r="O708" i="7"/>
  <c r="Q708" i="7"/>
  <c r="P708" i="7"/>
  <c r="A709" i="7"/>
  <c r="B709" i="7"/>
  <c r="K709" i="7"/>
  <c r="G709" i="7"/>
  <c r="I709" i="7"/>
  <c r="L709" i="7"/>
  <c r="M709" i="7"/>
  <c r="N709" i="7"/>
  <c r="O709" i="7"/>
  <c r="Q709" i="7"/>
  <c r="P709" i="7"/>
  <c r="A710" i="7"/>
  <c r="B710" i="7"/>
  <c r="K710" i="7"/>
  <c r="G710" i="7"/>
  <c r="I710" i="7"/>
  <c r="L710" i="7"/>
  <c r="M710" i="7"/>
  <c r="N710" i="7"/>
  <c r="O710" i="7"/>
  <c r="Q710" i="7"/>
  <c r="P710" i="7"/>
  <c r="A711" i="7"/>
  <c r="B711" i="7"/>
  <c r="K711" i="7"/>
  <c r="G711" i="7"/>
  <c r="I711" i="7"/>
  <c r="L711" i="7"/>
  <c r="M711" i="7"/>
  <c r="N711" i="7"/>
  <c r="O711" i="7"/>
  <c r="Q711" i="7"/>
  <c r="P711" i="7"/>
  <c r="A712" i="7"/>
  <c r="B712" i="7"/>
  <c r="K712" i="7"/>
  <c r="G712" i="7"/>
  <c r="I712" i="7"/>
  <c r="L712" i="7"/>
  <c r="M712" i="7"/>
  <c r="N712" i="7"/>
  <c r="O712" i="7"/>
  <c r="Q712" i="7"/>
  <c r="P712" i="7"/>
  <c r="A713" i="7"/>
  <c r="B713" i="7"/>
  <c r="K713" i="7"/>
  <c r="G713" i="7"/>
  <c r="I713" i="7"/>
  <c r="L713" i="7"/>
  <c r="M713" i="7"/>
  <c r="N713" i="7"/>
  <c r="O713" i="7"/>
  <c r="Q713" i="7"/>
  <c r="P713" i="7"/>
  <c r="A714" i="7"/>
  <c r="B714" i="7"/>
  <c r="K714" i="7"/>
  <c r="G714" i="7"/>
  <c r="I714" i="7"/>
  <c r="L714" i="7"/>
  <c r="M714" i="7"/>
  <c r="N714" i="7"/>
  <c r="O714" i="7"/>
  <c r="Q714" i="7"/>
  <c r="P714" i="7"/>
  <c r="A715" i="7"/>
  <c r="B715" i="7"/>
  <c r="K715" i="7"/>
  <c r="G715" i="7"/>
  <c r="I715" i="7"/>
  <c r="L715" i="7"/>
  <c r="M715" i="7"/>
  <c r="N715" i="7"/>
  <c r="O715" i="7"/>
  <c r="Q715" i="7"/>
  <c r="P715" i="7"/>
  <c r="A716" i="7"/>
  <c r="B716" i="7"/>
  <c r="K716" i="7"/>
  <c r="G716" i="7"/>
  <c r="I716" i="7"/>
  <c r="L716" i="7"/>
  <c r="M716" i="7"/>
  <c r="N716" i="7"/>
  <c r="O716" i="7"/>
  <c r="Q716" i="7"/>
  <c r="P716" i="7"/>
  <c r="A717" i="7"/>
  <c r="B717" i="7"/>
  <c r="K717" i="7"/>
  <c r="G717" i="7"/>
  <c r="I717" i="7"/>
  <c r="L717" i="7"/>
  <c r="M717" i="7"/>
  <c r="N717" i="7"/>
  <c r="O717" i="7"/>
  <c r="Q717" i="7"/>
  <c r="P717" i="7"/>
  <c r="A718" i="7"/>
  <c r="B718" i="7"/>
  <c r="K718" i="7"/>
  <c r="G718" i="7"/>
  <c r="I718" i="7"/>
  <c r="L718" i="7"/>
  <c r="M718" i="7"/>
  <c r="N718" i="7"/>
  <c r="O718" i="7"/>
  <c r="Q718" i="7"/>
  <c r="P718" i="7"/>
  <c r="A719" i="7"/>
  <c r="B719" i="7"/>
  <c r="K719" i="7"/>
  <c r="G719" i="7"/>
  <c r="I719" i="7"/>
  <c r="L719" i="7"/>
  <c r="M719" i="7"/>
  <c r="N719" i="7"/>
  <c r="O719" i="7"/>
  <c r="Q719" i="7"/>
  <c r="P719" i="7"/>
  <c r="A720" i="7"/>
  <c r="B720" i="7"/>
  <c r="K720" i="7"/>
  <c r="G720" i="7"/>
  <c r="I720" i="7"/>
  <c r="L720" i="7"/>
  <c r="M720" i="7"/>
  <c r="N720" i="7"/>
  <c r="O720" i="7"/>
  <c r="Q720" i="7"/>
  <c r="P720" i="7"/>
  <c r="A721" i="7"/>
  <c r="B721" i="7"/>
  <c r="K721" i="7"/>
  <c r="G721" i="7"/>
  <c r="I721" i="7"/>
  <c r="L721" i="7"/>
  <c r="M721" i="7"/>
  <c r="N721" i="7"/>
  <c r="O721" i="7"/>
  <c r="Q721" i="7"/>
  <c r="P721" i="7"/>
  <c r="A722" i="7"/>
  <c r="B722" i="7"/>
  <c r="K722" i="7"/>
  <c r="G722" i="7"/>
  <c r="I722" i="7"/>
  <c r="L722" i="7"/>
  <c r="M722" i="7"/>
  <c r="N722" i="7"/>
  <c r="O722" i="7"/>
  <c r="Q722" i="7"/>
  <c r="P722" i="7"/>
  <c r="A723" i="7"/>
  <c r="B723" i="7"/>
  <c r="K723" i="7"/>
  <c r="G723" i="7"/>
  <c r="I723" i="7"/>
  <c r="L723" i="7"/>
  <c r="M723" i="7"/>
  <c r="N723" i="7"/>
  <c r="O723" i="7"/>
  <c r="Q723" i="7"/>
  <c r="P723" i="7"/>
  <c r="A724" i="7"/>
  <c r="B724" i="7"/>
  <c r="K724" i="7"/>
  <c r="G724" i="7"/>
  <c r="I724" i="7"/>
  <c r="L724" i="7"/>
  <c r="M724" i="7"/>
  <c r="N724" i="7"/>
  <c r="O724" i="7"/>
  <c r="Q724" i="7"/>
  <c r="P724" i="7"/>
  <c r="A725" i="7"/>
  <c r="B725" i="7"/>
  <c r="K725" i="7"/>
  <c r="G725" i="7"/>
  <c r="I725" i="7"/>
  <c r="L725" i="7"/>
  <c r="M725" i="7"/>
  <c r="N725" i="7"/>
  <c r="O725" i="7"/>
  <c r="Q725" i="7"/>
  <c r="P725" i="7"/>
  <c r="A726" i="7"/>
  <c r="B726" i="7"/>
  <c r="K726" i="7"/>
  <c r="G726" i="7"/>
  <c r="I726" i="7"/>
  <c r="L726" i="7"/>
  <c r="M726" i="7"/>
  <c r="N726" i="7"/>
  <c r="O726" i="7"/>
  <c r="Q726" i="7"/>
  <c r="P726" i="7"/>
  <c r="A727" i="7"/>
  <c r="B727" i="7"/>
  <c r="K727" i="7"/>
  <c r="G727" i="7"/>
  <c r="I727" i="7"/>
  <c r="L727" i="7"/>
  <c r="M727" i="7"/>
  <c r="N727" i="7"/>
  <c r="O727" i="7"/>
  <c r="Q727" i="7"/>
  <c r="P727" i="7"/>
  <c r="A728" i="7"/>
  <c r="B728" i="7"/>
  <c r="K728" i="7"/>
  <c r="G728" i="7"/>
  <c r="I728" i="7"/>
  <c r="L728" i="7"/>
  <c r="M728" i="7"/>
  <c r="N728" i="7"/>
  <c r="O728" i="7"/>
  <c r="Q728" i="7"/>
  <c r="P728" i="7"/>
  <c r="A729" i="7"/>
  <c r="B729" i="7"/>
  <c r="K729" i="7"/>
  <c r="G729" i="7"/>
  <c r="I729" i="7"/>
  <c r="L729" i="7"/>
  <c r="M729" i="7"/>
  <c r="N729" i="7"/>
  <c r="O729" i="7"/>
  <c r="Q729" i="7"/>
  <c r="P729" i="7"/>
  <c r="A730" i="7"/>
  <c r="B730" i="7"/>
  <c r="K730" i="7"/>
  <c r="G730" i="7"/>
  <c r="I730" i="7"/>
  <c r="L730" i="7"/>
  <c r="M730" i="7"/>
  <c r="N730" i="7"/>
  <c r="O730" i="7"/>
  <c r="Q730" i="7"/>
  <c r="P730" i="7"/>
  <c r="A731" i="7"/>
  <c r="B731" i="7"/>
  <c r="K731" i="7"/>
  <c r="G731" i="7"/>
  <c r="I731" i="7"/>
  <c r="L731" i="7"/>
  <c r="M731" i="7"/>
  <c r="N731" i="7"/>
  <c r="O731" i="7"/>
  <c r="Q731" i="7"/>
  <c r="P731" i="7"/>
  <c r="A732" i="7"/>
  <c r="B732" i="7"/>
  <c r="K732" i="7"/>
  <c r="G732" i="7"/>
  <c r="I732" i="7"/>
  <c r="L732" i="7"/>
  <c r="M732" i="7"/>
  <c r="N732" i="7"/>
  <c r="O732" i="7"/>
  <c r="Q732" i="7"/>
  <c r="P732" i="7"/>
  <c r="A733" i="7"/>
  <c r="B733" i="7"/>
  <c r="K733" i="7"/>
  <c r="G733" i="7"/>
  <c r="I733" i="7"/>
  <c r="L733" i="7"/>
  <c r="M733" i="7"/>
  <c r="N733" i="7"/>
  <c r="O733" i="7"/>
  <c r="Q733" i="7"/>
  <c r="P733" i="7"/>
  <c r="A734" i="7"/>
  <c r="B734" i="7"/>
  <c r="K734" i="7"/>
  <c r="G734" i="7"/>
  <c r="I734" i="7"/>
  <c r="L734" i="7"/>
  <c r="M734" i="7"/>
  <c r="N734" i="7"/>
  <c r="O734" i="7"/>
  <c r="Q734" i="7"/>
  <c r="P734" i="7"/>
  <c r="A735" i="7"/>
  <c r="B735" i="7"/>
  <c r="K735" i="7"/>
  <c r="G735" i="7"/>
  <c r="I735" i="7"/>
  <c r="L735" i="7"/>
  <c r="M735" i="7"/>
  <c r="N735" i="7"/>
  <c r="O735" i="7"/>
  <c r="Q735" i="7"/>
  <c r="P735" i="7"/>
  <c r="A736" i="7"/>
  <c r="B736" i="7"/>
  <c r="K736" i="7"/>
  <c r="G736" i="7"/>
  <c r="I736" i="7"/>
  <c r="L736" i="7"/>
  <c r="M736" i="7"/>
  <c r="N736" i="7"/>
  <c r="O736" i="7"/>
  <c r="Q736" i="7"/>
  <c r="P736" i="7"/>
  <c r="A737" i="7"/>
  <c r="B737" i="7"/>
  <c r="K737" i="7"/>
  <c r="G737" i="7"/>
  <c r="I737" i="7"/>
  <c r="L737" i="7"/>
  <c r="M737" i="7"/>
  <c r="N737" i="7"/>
  <c r="O737" i="7"/>
  <c r="Q737" i="7"/>
  <c r="P737" i="7"/>
  <c r="A738" i="7"/>
  <c r="B738" i="7"/>
  <c r="K738" i="7"/>
  <c r="G738" i="7"/>
  <c r="I738" i="7"/>
  <c r="L738" i="7"/>
  <c r="M738" i="7"/>
  <c r="N738" i="7"/>
  <c r="O738" i="7"/>
  <c r="Q738" i="7"/>
  <c r="P738" i="7"/>
  <c r="A739" i="7"/>
  <c r="B739" i="7"/>
  <c r="K739" i="7"/>
  <c r="G739" i="7"/>
  <c r="I739" i="7"/>
  <c r="L739" i="7"/>
  <c r="M739" i="7"/>
  <c r="N739" i="7"/>
  <c r="O739" i="7"/>
  <c r="Q739" i="7"/>
  <c r="P739" i="7"/>
  <c r="A740" i="7"/>
  <c r="B740" i="7"/>
  <c r="K740" i="7"/>
  <c r="G740" i="7"/>
  <c r="I740" i="7"/>
  <c r="L740" i="7"/>
  <c r="M740" i="7"/>
  <c r="N740" i="7"/>
  <c r="O740" i="7"/>
  <c r="Q740" i="7"/>
  <c r="P740" i="7"/>
  <c r="A741" i="7"/>
  <c r="B741" i="7"/>
  <c r="K741" i="7"/>
  <c r="G741" i="7"/>
  <c r="I741" i="7"/>
  <c r="L741" i="7"/>
  <c r="M741" i="7"/>
  <c r="N741" i="7"/>
  <c r="O741" i="7"/>
  <c r="Q741" i="7"/>
  <c r="P741" i="7"/>
  <c r="A742" i="7"/>
  <c r="B742" i="7"/>
  <c r="K742" i="7"/>
  <c r="G742" i="7"/>
  <c r="I742" i="7"/>
  <c r="L742" i="7"/>
  <c r="M742" i="7"/>
  <c r="N742" i="7"/>
  <c r="O742" i="7"/>
  <c r="Q742" i="7"/>
  <c r="P742" i="7"/>
  <c r="A743" i="7"/>
  <c r="B743" i="7"/>
  <c r="K743" i="7"/>
  <c r="G743" i="7"/>
  <c r="I743" i="7"/>
  <c r="L743" i="7"/>
  <c r="M743" i="7"/>
  <c r="N743" i="7"/>
  <c r="O743" i="7"/>
  <c r="Q743" i="7"/>
  <c r="P743" i="7"/>
  <c r="A744" i="7"/>
  <c r="B744" i="7"/>
  <c r="K744" i="7"/>
  <c r="G744" i="7"/>
  <c r="I744" i="7"/>
  <c r="L744" i="7"/>
  <c r="M744" i="7"/>
  <c r="N744" i="7"/>
  <c r="O744" i="7"/>
  <c r="Q744" i="7"/>
  <c r="P744" i="7"/>
  <c r="A745" i="7"/>
  <c r="B745" i="7"/>
  <c r="K745" i="7"/>
  <c r="G745" i="7"/>
  <c r="I745" i="7"/>
  <c r="L745" i="7"/>
  <c r="M745" i="7"/>
  <c r="N745" i="7"/>
  <c r="O745" i="7"/>
  <c r="Q745" i="7"/>
  <c r="P745" i="7"/>
  <c r="A746" i="7"/>
  <c r="B746" i="7"/>
  <c r="K746" i="7"/>
  <c r="G746" i="7"/>
  <c r="I746" i="7"/>
  <c r="L746" i="7"/>
  <c r="M746" i="7"/>
  <c r="N746" i="7"/>
  <c r="O746" i="7"/>
  <c r="Q746" i="7"/>
  <c r="P746" i="7"/>
  <c r="A747" i="7"/>
  <c r="B747" i="7"/>
  <c r="K747" i="7"/>
  <c r="G747" i="7"/>
  <c r="I747" i="7"/>
  <c r="L747" i="7"/>
  <c r="M747" i="7"/>
  <c r="N747" i="7"/>
  <c r="O747" i="7"/>
  <c r="Q747" i="7"/>
  <c r="P747" i="7"/>
  <c r="A748" i="7"/>
  <c r="B748" i="7"/>
  <c r="K748" i="7"/>
  <c r="G748" i="7"/>
  <c r="I748" i="7"/>
  <c r="L748" i="7"/>
  <c r="M748" i="7"/>
  <c r="N748" i="7"/>
  <c r="O748" i="7"/>
  <c r="Q748" i="7"/>
  <c r="P748" i="7"/>
  <c r="A749" i="7"/>
  <c r="B749" i="7"/>
  <c r="K749" i="7"/>
  <c r="G749" i="7"/>
  <c r="I749" i="7"/>
  <c r="L749" i="7"/>
  <c r="M749" i="7"/>
  <c r="N749" i="7"/>
  <c r="O749" i="7"/>
  <c r="Q749" i="7"/>
  <c r="P749" i="7"/>
  <c r="A750" i="7"/>
  <c r="B750" i="7"/>
  <c r="K750" i="7"/>
  <c r="G750" i="7"/>
  <c r="I750" i="7"/>
  <c r="L750" i="7"/>
  <c r="M750" i="7"/>
  <c r="N750" i="7"/>
  <c r="O750" i="7"/>
  <c r="Q750" i="7"/>
  <c r="P750" i="7"/>
  <c r="A751" i="7"/>
  <c r="B751" i="7"/>
  <c r="K751" i="7"/>
  <c r="G751" i="7"/>
  <c r="I751" i="7"/>
  <c r="L751" i="7"/>
  <c r="M751" i="7"/>
  <c r="N751" i="7"/>
  <c r="O751" i="7"/>
  <c r="Q751" i="7"/>
  <c r="P751" i="7"/>
  <c r="A752" i="7"/>
  <c r="B752" i="7"/>
  <c r="K752" i="7"/>
  <c r="G752" i="7"/>
  <c r="I752" i="7"/>
  <c r="L752" i="7"/>
  <c r="M752" i="7"/>
  <c r="N752" i="7"/>
  <c r="O752" i="7"/>
  <c r="Q752" i="7"/>
  <c r="P752" i="7"/>
  <c r="A753" i="7"/>
  <c r="B753" i="7"/>
  <c r="K753" i="7"/>
  <c r="G753" i="7"/>
  <c r="I753" i="7"/>
  <c r="L753" i="7"/>
  <c r="M753" i="7"/>
  <c r="N753" i="7"/>
  <c r="O753" i="7"/>
  <c r="Q753" i="7"/>
  <c r="P753" i="7"/>
  <c r="A754" i="7"/>
  <c r="B754" i="7"/>
  <c r="K754" i="7"/>
  <c r="G754" i="7"/>
  <c r="I754" i="7"/>
  <c r="L754" i="7"/>
  <c r="M754" i="7"/>
  <c r="N754" i="7"/>
  <c r="O754" i="7"/>
  <c r="Q754" i="7"/>
  <c r="P754" i="7"/>
  <c r="A755" i="7"/>
  <c r="B755" i="7"/>
  <c r="K755" i="7"/>
  <c r="G755" i="7"/>
  <c r="I755" i="7"/>
  <c r="L755" i="7"/>
  <c r="M755" i="7"/>
  <c r="N755" i="7"/>
  <c r="O755" i="7"/>
  <c r="Q755" i="7"/>
  <c r="P755" i="7"/>
  <c r="A756" i="7"/>
  <c r="B756" i="7"/>
  <c r="K756" i="7"/>
  <c r="G756" i="7"/>
  <c r="I756" i="7"/>
  <c r="L756" i="7"/>
  <c r="M756" i="7"/>
  <c r="N756" i="7"/>
  <c r="O756" i="7"/>
  <c r="Q756" i="7"/>
  <c r="P756" i="7"/>
  <c r="A757" i="7"/>
  <c r="B757" i="7"/>
  <c r="K757" i="7"/>
  <c r="G757" i="7"/>
  <c r="I757" i="7"/>
  <c r="L757" i="7"/>
  <c r="M757" i="7"/>
  <c r="N757" i="7"/>
  <c r="O757" i="7"/>
  <c r="Q757" i="7"/>
  <c r="P757" i="7"/>
  <c r="A758" i="7"/>
  <c r="B758" i="7"/>
  <c r="K758" i="7"/>
  <c r="G758" i="7"/>
  <c r="I758" i="7"/>
  <c r="L758" i="7"/>
  <c r="M758" i="7"/>
  <c r="N758" i="7"/>
  <c r="O758" i="7"/>
  <c r="Q758" i="7"/>
  <c r="P758" i="7"/>
  <c r="A759" i="7"/>
  <c r="B759" i="7"/>
  <c r="K759" i="7"/>
  <c r="G759" i="7"/>
  <c r="I759" i="7"/>
  <c r="L759" i="7"/>
  <c r="M759" i="7"/>
  <c r="N759" i="7"/>
  <c r="O759" i="7"/>
  <c r="Q759" i="7"/>
  <c r="P759" i="7"/>
  <c r="A760" i="7"/>
  <c r="B760" i="7"/>
  <c r="K760" i="7"/>
  <c r="G760" i="7"/>
  <c r="I760" i="7"/>
  <c r="L760" i="7"/>
  <c r="M760" i="7"/>
  <c r="N760" i="7"/>
  <c r="O760" i="7"/>
  <c r="Q760" i="7"/>
  <c r="P760" i="7"/>
  <c r="A761" i="7"/>
  <c r="B761" i="7"/>
  <c r="K761" i="7"/>
  <c r="G761" i="7"/>
  <c r="I761" i="7"/>
  <c r="L761" i="7"/>
  <c r="M761" i="7"/>
  <c r="N761" i="7"/>
  <c r="O761" i="7"/>
  <c r="Q761" i="7"/>
  <c r="P761" i="7"/>
  <c r="A762" i="7"/>
  <c r="B762" i="7"/>
  <c r="K762" i="7"/>
  <c r="G762" i="7"/>
  <c r="I762" i="7"/>
  <c r="L762" i="7"/>
  <c r="M762" i="7"/>
  <c r="N762" i="7"/>
  <c r="O762" i="7"/>
  <c r="Q762" i="7"/>
  <c r="P762" i="7"/>
  <c r="A763" i="7"/>
  <c r="B763" i="7"/>
  <c r="K763" i="7"/>
  <c r="G763" i="7"/>
  <c r="I763" i="7"/>
  <c r="L763" i="7"/>
  <c r="M763" i="7"/>
  <c r="N763" i="7"/>
  <c r="O763" i="7"/>
  <c r="Q763" i="7"/>
  <c r="P763" i="7"/>
  <c r="A764" i="7"/>
  <c r="B764" i="7"/>
  <c r="K764" i="7"/>
  <c r="G764" i="7"/>
  <c r="I764" i="7"/>
  <c r="L764" i="7"/>
  <c r="M764" i="7"/>
  <c r="N764" i="7"/>
  <c r="O764" i="7"/>
  <c r="Q764" i="7"/>
  <c r="P764" i="7"/>
  <c r="A765" i="7"/>
  <c r="B765" i="7"/>
  <c r="K765" i="7"/>
  <c r="G765" i="7"/>
  <c r="I765" i="7"/>
  <c r="L765" i="7"/>
  <c r="M765" i="7"/>
  <c r="N765" i="7"/>
  <c r="O765" i="7"/>
  <c r="Q765" i="7"/>
  <c r="P765" i="7"/>
  <c r="A766" i="7"/>
  <c r="B766" i="7"/>
  <c r="K766" i="7"/>
  <c r="G766" i="7"/>
  <c r="I766" i="7"/>
  <c r="L766" i="7"/>
  <c r="M766" i="7"/>
  <c r="N766" i="7"/>
  <c r="O766" i="7"/>
  <c r="Q766" i="7"/>
  <c r="P766" i="7"/>
  <c r="A767" i="7"/>
  <c r="B767" i="7"/>
  <c r="K767" i="7"/>
  <c r="G767" i="7"/>
  <c r="I767" i="7"/>
  <c r="L767" i="7"/>
  <c r="M767" i="7"/>
  <c r="N767" i="7"/>
  <c r="O767" i="7"/>
  <c r="Q767" i="7"/>
  <c r="P767" i="7"/>
  <c r="A768" i="7"/>
  <c r="B768" i="7"/>
  <c r="K768" i="7"/>
  <c r="G768" i="7"/>
  <c r="I768" i="7"/>
  <c r="L768" i="7"/>
  <c r="M768" i="7"/>
  <c r="N768" i="7"/>
  <c r="O768" i="7"/>
  <c r="Q768" i="7"/>
  <c r="P768" i="7"/>
  <c r="A769" i="7"/>
  <c r="B769" i="7"/>
  <c r="K769" i="7"/>
  <c r="G769" i="7"/>
  <c r="I769" i="7"/>
  <c r="L769" i="7"/>
  <c r="M769" i="7"/>
  <c r="N769" i="7"/>
  <c r="O769" i="7"/>
  <c r="Q769" i="7"/>
  <c r="P769" i="7"/>
  <c r="A770" i="7"/>
  <c r="B770" i="7"/>
  <c r="K770" i="7"/>
  <c r="G770" i="7"/>
  <c r="I770" i="7"/>
  <c r="L770" i="7"/>
  <c r="M770" i="7"/>
  <c r="N770" i="7"/>
  <c r="O770" i="7"/>
  <c r="Q770" i="7"/>
  <c r="P770" i="7"/>
  <c r="A771" i="7"/>
  <c r="B771" i="7"/>
  <c r="K771" i="7"/>
  <c r="G771" i="7"/>
  <c r="I771" i="7"/>
  <c r="L771" i="7"/>
  <c r="M771" i="7"/>
  <c r="N771" i="7"/>
  <c r="O771" i="7"/>
  <c r="Q771" i="7"/>
  <c r="P771" i="7"/>
  <c r="A772" i="7"/>
  <c r="B772" i="7"/>
  <c r="K772" i="7"/>
  <c r="G772" i="7"/>
  <c r="I772" i="7"/>
  <c r="L772" i="7"/>
  <c r="M772" i="7"/>
  <c r="N772" i="7"/>
  <c r="O772" i="7"/>
  <c r="Q772" i="7"/>
  <c r="P772" i="7"/>
</calcChain>
</file>

<file path=xl/sharedStrings.xml><?xml version="1.0" encoding="utf-8"?>
<sst xmlns="http://schemas.openxmlformats.org/spreadsheetml/2006/main" count="8937" uniqueCount="2910">
  <si>
    <t>상품주문번호</t>
  </si>
  <si>
    <t>주문번호</t>
  </si>
  <si>
    <t>배송속성</t>
  </si>
  <si>
    <t>풀필먼트사(주문 기준)</t>
  </si>
  <si>
    <t>배송방법(구매자 요청)</t>
  </si>
  <si>
    <t>배송방법</t>
  </si>
  <si>
    <t>택배사</t>
  </si>
  <si>
    <t>송장번호</t>
  </si>
  <si>
    <t>발송일</t>
  </si>
  <si>
    <t>판매채널</t>
  </si>
  <si>
    <t>구매자명</t>
  </si>
  <si>
    <t>구매자ID</t>
  </si>
  <si>
    <t>수취인명</t>
  </si>
  <si>
    <t>주문상태</t>
  </si>
  <si>
    <t>주문세부상태</t>
  </si>
  <si>
    <t>결제위치</t>
  </si>
  <si>
    <t>결제일</t>
  </si>
  <si>
    <t>상품번호</t>
  </si>
  <si>
    <t>상품명</t>
  </si>
  <si>
    <t>상품종류</t>
  </si>
  <si>
    <t>반품안심케어</t>
  </si>
  <si>
    <t>옵션정보</t>
  </si>
  <si>
    <t>옵션관리코드</t>
  </si>
  <si>
    <t>수량</t>
  </si>
  <si>
    <t>옵션가격</t>
  </si>
  <si>
    <t>상품가격</t>
  </si>
  <si>
    <t>최종 상품별 할인액</t>
  </si>
  <si>
    <t>판매자 부담 할인액</t>
  </si>
  <si>
    <t>최종 상품별 총 주문금액</t>
  </si>
  <si>
    <t>사은품</t>
  </si>
  <si>
    <t>발주확인일</t>
  </si>
  <si>
    <t>발송기한</t>
  </si>
  <si>
    <t>발송처리일</t>
  </si>
  <si>
    <t>송장출력일</t>
  </si>
  <si>
    <t>배송비 형태</t>
  </si>
  <si>
    <t>배송비 묶음번호</t>
  </si>
  <si>
    <t>배송비 유형</t>
  </si>
  <si>
    <t>배송비 합계</t>
  </si>
  <si>
    <t>제주/도서 추가배송비</t>
  </si>
  <si>
    <t>배송비 할인액</t>
  </si>
  <si>
    <t>판매자 상품코드</t>
  </si>
  <si>
    <t>수취인연락처1</t>
  </si>
  <si>
    <t>수취인연락처2</t>
  </si>
  <si>
    <t>통합배송지</t>
  </si>
  <si>
    <t>기본배송지</t>
  </si>
  <si>
    <t>상세배송지</t>
  </si>
  <si>
    <t>구매자연락처</t>
  </si>
  <si>
    <t>우편번호</t>
  </si>
  <si>
    <t>배송메세지</t>
  </si>
  <si>
    <t>결제수단</t>
  </si>
  <si>
    <t>매출연동 수수료</t>
  </si>
  <si>
    <t>정산예정금액</t>
  </si>
  <si>
    <t>개인통관고유부호</t>
  </si>
  <si>
    <t>주문일시</t>
  </si>
  <si>
    <t>네이버페이 주문관리 수수료</t>
  </si>
  <si>
    <t>출고지</t>
  </si>
  <si>
    <t>마지막 유입경로</t>
  </si>
  <si>
    <t>[G001]매트접합용 실리콘테이프: [G001]20m</t>
  </si>
  <si>
    <t>색상: 바닐라아이보리 / (두께)사이즈: (25mm) 50x50 4장</t>
  </si>
  <si>
    <t>[G001]매트접합용 실리콘테이프: [G001]50m</t>
  </si>
  <si>
    <t>주문하신분 핸드폰</t>
  </si>
  <si>
    <t>받는분 핸드폰</t>
  </si>
  <si>
    <t>받는분 주소</t>
  </si>
  <si>
    <t>운임타입</t>
  </si>
  <si>
    <t>송장수량</t>
  </si>
  <si>
    <t>디자인</t>
  </si>
  <si>
    <t>길이</t>
  </si>
  <si>
    <t>추가상품1</t>
  </si>
  <si>
    <t>실제결제금액</t>
  </si>
  <si>
    <t>주문자명</t>
  </si>
  <si>
    <t>0.5m</t>
  </si>
  <si>
    <t>최종옵션명</t>
  </si>
  <si>
    <t>디자인: 화이트마블 / 두께: 결합형 20mm / 구성: 센터형</t>
  </si>
  <si>
    <t>디자인: 크림마블 / 두께: 결합형 20mm / 구성: 센터형</t>
  </si>
  <si>
    <t>디자인: 프렌치바닐라 / 두께: 결합형 20mm / 구성: 센터형</t>
  </si>
  <si>
    <t>디자인: 베이지코튼 / 두께: 결합형 20mm / 구성: 센터형</t>
  </si>
  <si>
    <t>디자인: 화이트마블 / 두께: 결합형 20mm / 구성: 사이드형</t>
  </si>
  <si>
    <t>디자인: 크림마블 / 두께: 결합형 20mm / 구성: 사이드형</t>
  </si>
  <si>
    <t>디자인: 프렌치바닐라 / 두께: 결합형 20mm / 구성: 사이드형</t>
  </si>
  <si>
    <t>디자인: 베이지코튼 / 두께: 결합형 20mm / 구성: 사이드형</t>
  </si>
  <si>
    <t>디자인: 화이트마블 / 두께: 결합형 20mm / 구성: 코너형</t>
  </si>
  <si>
    <t>디자인: 크림마블 / 두께: 결합형 20mm / 구성: 코너형</t>
  </si>
  <si>
    <t>디자인: 프렌치바닐라 / 두께: 결합형 20mm / 구성: 코너형</t>
  </si>
  <si>
    <t>디자인: 베이지코튼 / 두께: 결합형 20mm / 구성: 코너형</t>
  </si>
  <si>
    <t>디자인: 화이트마블 / 두께: 결합형 23mm / 구성: 센터형</t>
  </si>
  <si>
    <t>디자인: 크림마블 / 두께: 결합형 23mm / 구성: 센터형</t>
  </si>
  <si>
    <t>디자인: 프렌치바닐라 / 두께: 결합형 23mm / 구성: 센터형</t>
  </si>
  <si>
    <t>디자인: 베이지코튼 / 두께: 결합형 23mm / 구성: 센터형</t>
  </si>
  <si>
    <t>디자인: 화이트마블 / 두께: 결합형 23mm / 구성: 사이드형</t>
  </si>
  <si>
    <t>디자인: 크림마블 / 두께: 결합형 23mm / 구성: 사이드형</t>
  </si>
  <si>
    <t>디자인: 프렌치바닐라 / 두께: 결합형 23mm / 구성: 사이드형</t>
  </si>
  <si>
    <t>디자인: 베이지코튼 / 두께: 결합형 23mm / 구성: 사이드형</t>
  </si>
  <si>
    <t>디자인: 화이트마블 / 두께: 결합형 23mm / 구성: 코너형</t>
  </si>
  <si>
    <t>디자인: 크림마블 / 두께: 결합형 23mm / 구성: 코너형</t>
  </si>
  <si>
    <t>디자인: 프렌치바닐라 / 두께: 결합형 23mm / 구성: 코너형</t>
  </si>
  <si>
    <t>디자인: 베이지코튼 / 두께: 결합형 23mm / 구성: 코너형</t>
  </si>
  <si>
    <t>디자인: 스폿화이트 / 벽지종류: 두께5mm / 폭1m (일반형) / 길이(수량추가): +2.5m</t>
  </si>
  <si>
    <t>디자인: 스폿그레이 / 벽지종류: 두께5mm / 폭1m (일반형) / 길이(수량추가): +2.5m</t>
  </si>
  <si>
    <t>디자인: 로지 / 벽지종류: 두께5mm / 폭1m (일반형) / 길이(수량추가): +2.5m</t>
  </si>
  <si>
    <t>디자인: 오트밀 / 벽지종류: 두께5mm / 폭1m (일반형) / 길이(수량추가): +2.5m</t>
  </si>
  <si>
    <t>디자인: 스폿화이트 / 벽지종류: 두께10mm / 폭1m (고급형) / 길이(수량추가): +2.5m</t>
  </si>
  <si>
    <t>디자인: 스폿그레이 / 벽지종류: 두께10mm / 폭1m (고급형) / 길이(수량추가): +2.5m</t>
  </si>
  <si>
    <t>디자인: 로지 / 벽지종류: 두께10mm / 폭1m (고급형) / 길이(수량추가): +2.5m</t>
  </si>
  <si>
    <t>디자인: 오트밀 / 벽지종류: 두께10mm / 폭1m (고급형) / 길이(수량추가): +2.5m</t>
  </si>
  <si>
    <t>길이: 20m</t>
  </si>
  <si>
    <t>길이: 50m</t>
  </si>
  <si>
    <t>디자인선택: 공룡 / 두께선택: 10T / 길이선택: 110x100</t>
  </si>
  <si>
    <t>디자인선택: 공룡 / 두께선택: 10T / 길이선택: 110x200</t>
  </si>
  <si>
    <t>디자인선택: 공룡 / 두께선택: 10T / 길이선택: 110x300</t>
  </si>
  <si>
    <t>디자인선택: 공룡 / 두께선택: 10T / 길이선택: 110x400</t>
  </si>
  <si>
    <t>디자인선택: 공룡 / 두께선택: 10T / 길이선택: 110x500</t>
  </si>
  <si>
    <t>디자인선택: 공룡 / 두께선택: 10T / 길이선택: 110x600</t>
  </si>
  <si>
    <t>디자인선택: 공룡 / 두께선택: 10T / 길이선택: 110x700</t>
  </si>
  <si>
    <t>디자인선택: 공룡 / 두께선택: 10T / 길이선택: 110x800</t>
  </si>
  <si>
    <t>디자인선택: 공룡 / 두께선택: 10T / 길이선택: 110x900</t>
  </si>
  <si>
    <t>디자인선택: 공룡 / 두께선택: 10T / 길이선택: 110x1000</t>
  </si>
  <si>
    <t>디자인선택: 공룡 / 두께선택: 15T / 길이선택: 110x100</t>
  </si>
  <si>
    <t>디자인선택: 공룡 / 두께선택: 15T / 길이선택: 110x200</t>
  </si>
  <si>
    <t>디자인선택: 공룡 / 두께선택: 15T / 길이선택: 110x300</t>
  </si>
  <si>
    <t>디자인선택: 공룡 / 두께선택: 15T / 길이선택: 110x400</t>
  </si>
  <si>
    <t>디자인선택: 공룡 / 두께선택: 15T / 길이선택: 110x500</t>
  </si>
  <si>
    <t>디자인선택: 공룡 / 두께선택: 15T / 길이선택: 110x600</t>
  </si>
  <si>
    <t>디자인선택: 공룡 / 두께선택: 15T / 길이선택: 110x700</t>
  </si>
  <si>
    <t>디자인선택: 딜라이트우드 / 두께선택: 10T / 길이선택: 110x100</t>
  </si>
  <si>
    <t>디자인선택: 딜라이트우드 / 두께선택: 10T / 길이선택: 110x200</t>
  </si>
  <si>
    <t>디자인선택: 딜라이트우드 / 두께선택: 10T / 길이선택: 110x300</t>
  </si>
  <si>
    <t>디자인선택: 딜라이트우드 / 두께선택: 10T / 길이선택: 110x400</t>
  </si>
  <si>
    <t>디자인선택: 딜라이트우드 / 두께선택: 10T / 길이선택: 110x500</t>
  </si>
  <si>
    <t>디자인선택: 딜라이트우드 / 두께선택: 10T / 길이선택: 110x600</t>
  </si>
  <si>
    <t>디자인선택: 딜라이트우드 / 두께선택: 10T / 길이선택: 110x700</t>
  </si>
  <si>
    <t>디자인선택: 딜라이트우드 / 두께선택: 10T / 길이선택: 110x800</t>
  </si>
  <si>
    <t>디자인선택: 딜라이트우드 / 두께선택: 10T / 길이선택: 110x900</t>
  </si>
  <si>
    <t>디자인선택: 딜라이트우드 / 두께선택: 10T / 길이선택: 110x1000</t>
  </si>
  <si>
    <t>디자인선택: 딜라이트우드 / 두께선택: 15T / 길이선택: 110x100</t>
  </si>
  <si>
    <t>디자인선택: 딜라이트우드 / 두께선택: 15T / 길이선택: 110x200</t>
  </si>
  <si>
    <t>디자인선택: 딜라이트우드 / 두께선택: 15T / 길이선택: 110x300</t>
  </si>
  <si>
    <t>디자인선택: 딜라이트우드 / 두께선택: 15T / 길이선택: 110x400</t>
  </si>
  <si>
    <t>디자인선택: 딜라이트우드 / 두께선택: 15T / 길이선택: 110x500</t>
  </si>
  <si>
    <t>디자인선택: 딜라이트우드 / 두께선택: 15T / 길이선택: 110x600</t>
  </si>
  <si>
    <t>디자인선택: 딜라이트우드 / 두께선택: 15T / 길이선택: 110x700</t>
  </si>
  <si>
    <t>디자인선택: 딥그레이 / 두께선택: 10T / 길이선택: 110x100</t>
  </si>
  <si>
    <t>디자인선택: 딥그레이 / 두께선택: 10T / 길이선택: 110x200</t>
  </si>
  <si>
    <t>디자인선택: 딥그레이 / 두께선택: 10T / 길이선택: 110x300</t>
  </si>
  <si>
    <t>디자인선택: 딥그레이 / 두께선택: 10T / 길이선택: 110x400</t>
  </si>
  <si>
    <t>디자인선택: 딥그레이 / 두께선택: 10T / 길이선택: 110x500</t>
  </si>
  <si>
    <t>디자인선택: 딥그레이 / 두께선택: 10T / 길이선택: 110x600</t>
  </si>
  <si>
    <t>디자인선택: 딥그레이 / 두께선택: 10T / 길이선택: 110x700</t>
  </si>
  <si>
    <t>디자인선택: 딥그레이 / 두께선택: 10T / 길이선택: 110x800</t>
  </si>
  <si>
    <t>디자인선택: 딥그레이 / 두께선택: 10T / 길이선택: 110x900</t>
  </si>
  <si>
    <t>디자인선택: 딥그레이 / 두께선택: 10T / 길이선택: 110x1000</t>
  </si>
  <si>
    <t>디자인선택: 딥그레이 / 두께선택: 15T / 길이선택: 110x100</t>
  </si>
  <si>
    <t>디자인선택: 딥그레이 / 두께선택: 15T / 길이선택: 110x200</t>
  </si>
  <si>
    <t>디자인선택: 딥그레이 / 두께선택: 15T / 길이선택: 110x300</t>
  </si>
  <si>
    <t>디자인선택: 딥그레이 / 두께선택: 15T / 길이선택: 110x400</t>
  </si>
  <si>
    <t>디자인선택: 딥그레이 / 두께선택: 15T / 길이선택: 110x500</t>
  </si>
  <si>
    <t>디자인선택: 딥그레이 / 두께선택: 15T / 길이선택: 110x600</t>
  </si>
  <si>
    <t>디자인선택: 딥그레이 / 두께선택: 15T / 길이선택: 110x700</t>
  </si>
  <si>
    <t>TPU20T 프렌치바닐라 (센)</t>
  </si>
  <si>
    <t>TPU20T 베이지코튼 (센)</t>
  </si>
  <si>
    <t>TPU20T 프렌치바닐라 (사)</t>
  </si>
  <si>
    <t>TPU20T 베이지코튼 (사)</t>
  </si>
  <si>
    <t>TPU20T 프렌치바닐라 (코)</t>
  </si>
  <si>
    <t>TPU20T 베이지코튼 (코)</t>
  </si>
  <si>
    <t>TPU23T 프렌치바닐라 (센)</t>
  </si>
  <si>
    <t>TPU23T 베이지코튼 (센)</t>
  </si>
  <si>
    <t>TPU23T 프렌치바닐라 (사)</t>
  </si>
  <si>
    <t>TPU23T 베이지코튼 (사)</t>
  </si>
  <si>
    <t>TPU23T 프렌치바닐라 (코)</t>
  </si>
  <si>
    <t>TPU23T 베이지코튼 (코)</t>
  </si>
  <si>
    <t>2.5m</t>
  </si>
  <si>
    <t>디자인선택: 무직타이거 / 두께선택: 10T / 길이선택: 110x50</t>
  </si>
  <si>
    <t>디자인선택: 무직타이거 / 두께선택: 10T / 길이선택: 110x100</t>
  </si>
  <si>
    <t>1m</t>
  </si>
  <si>
    <t>디자인선택: 무직타이거 / 두께선택: 10T / 길이선택: 110x200</t>
  </si>
  <si>
    <t>2m</t>
  </si>
  <si>
    <t>디자인선택: 무직타이거 / 두께선택: 10T / 길이선택: 110x300</t>
  </si>
  <si>
    <t>3m</t>
  </si>
  <si>
    <t>디자인선택: 무직타이거 / 두께선택: 10T / 길이선택: 110x400</t>
  </si>
  <si>
    <t>4m</t>
  </si>
  <si>
    <t>디자인선택: 무직타이거 / 두께선택: 10T / 길이선택: 110x500</t>
  </si>
  <si>
    <t>5m</t>
  </si>
  <si>
    <t>디자인선택: 무직타이거 / 두께선택: 10T / 길이선택: 110x600</t>
  </si>
  <si>
    <t>6m</t>
  </si>
  <si>
    <t>디자인선택: 무직타이거 / 두께선택: 10T / 길이선택: 110x700</t>
  </si>
  <si>
    <t>7m</t>
  </si>
  <si>
    <t>디자인선택: 무직타이거 / 두께선택: 10T / 길이선택: 110x800</t>
  </si>
  <si>
    <t>8m</t>
  </si>
  <si>
    <t>디자인선택: 무직타이거 / 두께선택: 10T / 길이선택: 110x900</t>
  </si>
  <si>
    <t>9m</t>
  </si>
  <si>
    <t>디자인선택: 무직타이거 / 두께선택: 10T / 길이선택: 110x1000</t>
  </si>
  <si>
    <t>10m</t>
  </si>
  <si>
    <t>디자인선택: 무직타이거 / 두께선택: 15T / 길이선택: 110x100</t>
  </si>
  <si>
    <t>디자인선택: 무직타이거 / 두께선택: 15T / 길이선택: 110x200</t>
  </si>
  <si>
    <t>디자인선택: 무직타이거 / 두께선택: 15T / 길이선택: 110x300</t>
  </si>
  <si>
    <t>디자인선택: 무직타이거 / 두께선택: 15T / 길이선택: 110x400</t>
  </si>
  <si>
    <t>디자인선택: 무직타이거 / 두께선택: 15T / 길이선택: 110x500</t>
  </si>
  <si>
    <t>디자인선택: 무직타이거 / 두께선택: 15T / 길이선택: 110x600</t>
  </si>
  <si>
    <t>디자인선택: 무직타이거 / 두께선택: 15T / 길이선택: 110x700</t>
  </si>
  <si>
    <t>디자인선택: 무직타이거 / 두께선택: 10T / 길이선택: 135x100</t>
  </si>
  <si>
    <t>디자인선택: 무직타이거 / 두께선택: 10T / 길이선택: 135x200</t>
  </si>
  <si>
    <t>디자인선택: 무직타이거 / 두께선택: 10T / 길이선택: 135x300</t>
  </si>
  <si>
    <t>디자인선택: 무직타이거 / 두께선택: 10T / 길이선택: 135x400</t>
  </si>
  <si>
    <t>디자인선택: 무직타이거 / 두께선택: 10T / 길이선택: 135x500</t>
  </si>
  <si>
    <t>디자인선택: 무직타이거 / 두께선택: 10T / 길이선택: 135x600</t>
  </si>
  <si>
    <t>디자인선택: 무직타이거 / 두께선택: 10T / 길이선택: 135x700</t>
  </si>
  <si>
    <t>디자인선택: 무직타이거 / 두께선택: 10T / 길이선택: 135x800</t>
  </si>
  <si>
    <t>디자인선택: 무직타이거 / 두께선택: 10T / 길이선택: 135x900</t>
  </si>
  <si>
    <t>디자인선택: 무직타이거 / 두께선택: 10T / 길이선택: 135x1000</t>
  </si>
  <si>
    <t>디자인선택: 무직타이거 / 두께선택: 15T / 길이선택: 135x100</t>
  </si>
  <si>
    <t>디자인선택: 무직타이거 / 두께선택: 15T / 길이선택: 135x300</t>
  </si>
  <si>
    <t>디자인선택: 무직타이거 / 두께선택: 15T / 길이선택: 135x400</t>
  </si>
  <si>
    <t>디자인선택: 무직타이거 / 두께선택: 15T / 길이선택: 135x500</t>
  </si>
  <si>
    <t>디자인선택: 무직타이거 / 두께선택: 15T / 길이선택: 135x600</t>
  </si>
  <si>
    <t>디자인선택: 무직타이거 / 두께선택: 15T / 길이선택: 135x700</t>
  </si>
  <si>
    <t>디자인선택: 무직타이거 / 두께선택: 15T / 길이선택: 135x200</t>
    <phoneticPr fontId="1" type="noConversion"/>
  </si>
  <si>
    <t>(110)12T마블아이보리</t>
  </si>
  <si>
    <t>(140)12T마블아이보리</t>
  </si>
  <si>
    <t>(110)14T마블아이보리</t>
  </si>
  <si>
    <t>(140)14T마블아이보리</t>
  </si>
  <si>
    <t>(110)23T마블아이보리</t>
  </si>
  <si>
    <t>(110)6T마블아이보리</t>
  </si>
  <si>
    <t>(140)6T마블아이보리</t>
  </si>
  <si>
    <t>(110)9T마블아이보리</t>
  </si>
  <si>
    <t>(140)9T마블아이보리</t>
  </si>
  <si>
    <t>(110)12T딜라이트우드</t>
  </si>
  <si>
    <t>(140)12T딜라이트우드</t>
  </si>
  <si>
    <t>(110)14T딜라이트우드</t>
  </si>
  <si>
    <t>(140)14T딜라이트우드</t>
  </si>
  <si>
    <t>(110)18T딜라이트우드</t>
  </si>
  <si>
    <t>(140)18T딜라이트우드</t>
  </si>
  <si>
    <t>(110)23T딜라이트우드</t>
  </si>
  <si>
    <t>(110)12T그레이캔버스</t>
  </si>
  <si>
    <t>(140)12T그레이캔버스</t>
  </si>
  <si>
    <t>(110)14T그레이캔버스</t>
  </si>
  <si>
    <t>(140)14T그레이캔버스</t>
  </si>
  <si>
    <t>(110)18T그레이캔버스</t>
  </si>
  <si>
    <t>(140)18T그레이캔버스</t>
  </si>
  <si>
    <t>(110)6T그레이캔버스</t>
  </si>
  <si>
    <t>(140)6T그레이캔버스</t>
  </si>
  <si>
    <t>(110)9T그레이캔버스</t>
  </si>
  <si>
    <t>(140)9T그레이캔버스</t>
  </si>
  <si>
    <t>(110)6T도그프린트</t>
  </si>
  <si>
    <t>(140)6T도그프린트</t>
  </si>
  <si>
    <t>(110)9T도그프린트</t>
  </si>
  <si>
    <t>(140)9T도그프린트</t>
  </si>
  <si>
    <t>(110)12T도그프린트</t>
  </si>
  <si>
    <t>(140)12T도그프린트</t>
  </si>
  <si>
    <t>(110)6T비글퍼피</t>
  </si>
  <si>
    <t>(140)6T비글퍼피</t>
  </si>
  <si>
    <t>(110)9T비글퍼피</t>
  </si>
  <si>
    <t>(140)9T비글퍼피</t>
  </si>
  <si>
    <t>(110)12T비글퍼피</t>
  </si>
  <si>
    <t>(140)12T비글퍼피</t>
  </si>
  <si>
    <t>(110)12T소프트그레이</t>
  </si>
  <si>
    <t>(140)12T소프트그레이</t>
  </si>
  <si>
    <t>(110)14T소프트그레이</t>
  </si>
  <si>
    <t>(140)14T소프트그레이</t>
  </si>
  <si>
    <t>(110)18T소프트그레이</t>
  </si>
  <si>
    <t>(140)18T소프트그레이</t>
  </si>
  <si>
    <t>(110)6T소프트그레이</t>
  </si>
  <si>
    <t>(140)6T소프트그레이</t>
  </si>
  <si>
    <t>(110)9T소프트그레이</t>
  </si>
  <si>
    <t>(140)9T소프트그레이</t>
  </si>
  <si>
    <t>디자인+수량</t>
    <phoneticPr fontId="1" type="noConversion"/>
  </si>
  <si>
    <t>(110)10TPE무직타이거</t>
  </si>
  <si>
    <t>(110)15TPE무직타이거</t>
  </si>
  <si>
    <t>(135)10TPE무직타이거</t>
  </si>
  <si>
    <t>(135)15TPE무직타이거</t>
  </si>
  <si>
    <t>(110)10TPE공룡</t>
  </si>
  <si>
    <t>(110)15TPE공룡</t>
  </si>
  <si>
    <t>(110)10TPE딜라이트우드</t>
  </si>
  <si>
    <t>(110)15TPE딜라이트우드</t>
  </si>
  <si>
    <t>(110)10TPE딥그레이</t>
  </si>
  <si>
    <t>(110)15TPE딥그레이</t>
  </si>
  <si>
    <t/>
  </si>
  <si>
    <t>합포장</t>
    <phoneticPr fontId="1" type="noConversion"/>
  </si>
  <si>
    <t>비고</t>
    <phoneticPr fontId="1" type="noConversion"/>
  </si>
  <si>
    <t>25T(퍼즐)아이보리(100)</t>
    <phoneticPr fontId="1" type="noConversion"/>
  </si>
  <si>
    <t>25T(퍼즐)그레이(100)</t>
    <phoneticPr fontId="1" type="noConversion"/>
  </si>
  <si>
    <t>25T(퍼즐)핑크(100)</t>
    <phoneticPr fontId="1" type="noConversion"/>
  </si>
  <si>
    <t>25T(퍼즐)블루(100)</t>
    <phoneticPr fontId="1" type="noConversion"/>
  </si>
  <si>
    <t>25T(퍼즐)아이보리(50)</t>
    <phoneticPr fontId="1" type="noConversion"/>
  </si>
  <si>
    <t>25T(퍼즐)그레이(50)</t>
    <phoneticPr fontId="1" type="noConversion"/>
  </si>
  <si>
    <t>25T(퍼즐)핑크(50)</t>
    <phoneticPr fontId="1" type="noConversion"/>
  </si>
  <si>
    <t>25T(퍼즐)블루(50)</t>
    <phoneticPr fontId="1" type="noConversion"/>
  </si>
  <si>
    <t>40T(퍼즐)아이보리(100)</t>
    <phoneticPr fontId="1" type="noConversion"/>
  </si>
  <si>
    <t>40T(퍼즐)아이보리(50)</t>
    <phoneticPr fontId="1" type="noConversion"/>
  </si>
  <si>
    <t>★판매★테이프20m</t>
    <phoneticPr fontId="1" type="noConversion"/>
  </si>
  <si>
    <t>★판매★테이프50m</t>
    <phoneticPr fontId="1" type="noConversion"/>
  </si>
  <si>
    <t>벽지 5T 오트밀</t>
    <phoneticPr fontId="1" type="noConversion"/>
  </si>
  <si>
    <t>벽지 10T 오트밀</t>
    <phoneticPr fontId="1" type="noConversion"/>
  </si>
  <si>
    <t>디자인: 테리어 / 두께 / 폭: 두께 12mm / 폭110cm / 길이(수량추가): +50cm</t>
  </si>
  <si>
    <t>디자인: 테리어 / 두께 / 폭: 두께 12mm / 폭140cm / 길이(수량추가): +50cm</t>
  </si>
  <si>
    <t>패브릭트윈S[150x46 12T]</t>
    <phoneticPr fontId="1" type="noConversion"/>
  </si>
  <si>
    <t>S</t>
    <phoneticPr fontId="1" type="noConversion"/>
  </si>
  <si>
    <t>디자인: 테리어 / 두께 / 폭: 두께 9mm / 폭110cm / 길이(수량추가): +50cm</t>
  </si>
  <si>
    <t>디자인: 비글퍼피 / 두께 / 폭: 두께 14mm / 폭140cm / 길이(수량추가): +50cm</t>
    <phoneticPr fontId="1" type="noConversion"/>
  </si>
  <si>
    <t>디자인: 비글퍼피 / 두께 / 폭: 두께 14mm / 폭110cm / 길이(수량추가): +50cm</t>
    <phoneticPr fontId="1" type="noConversion"/>
  </si>
  <si>
    <t>디자인: 도그프린트 / 두께 / 폭: 두께 18mm / 폭140cm / 길이(수량추가): +50cm</t>
    <phoneticPr fontId="1" type="noConversion"/>
  </si>
  <si>
    <t>디자인: 헤링본 화이트 / 두께 / 폭: 두께 14mm / 폭140cm / 길이(수량추가): +50cm</t>
    <phoneticPr fontId="1" type="noConversion"/>
  </si>
  <si>
    <t>패브릭트윈M[180x46 12T]</t>
    <phoneticPr fontId="1" type="noConversion"/>
  </si>
  <si>
    <t>M</t>
    <phoneticPr fontId="1" type="noConversion"/>
  </si>
  <si>
    <t>♠리퍼♠(110)12T테리어</t>
  </si>
  <si>
    <t>♠리퍼♠(140)12T테리어</t>
  </si>
  <si>
    <t>♠리퍼♠(110)9T테리어</t>
  </si>
  <si>
    <t>♠리퍼♠(140)18T도그프린트</t>
  </si>
  <si>
    <t>♠리퍼♠(140)14T비글퍼피</t>
  </si>
  <si>
    <t>♠리퍼♠(110)14T비글퍼피</t>
  </si>
  <si>
    <t>♠리퍼♠(140)14T헤링본화이트</t>
  </si>
  <si>
    <t>4m</t>
    <phoneticPr fontId="1" type="noConversion"/>
  </si>
  <si>
    <t>3.5m</t>
    <phoneticPr fontId="1" type="noConversion"/>
  </si>
  <si>
    <t>2.5m</t>
    <phoneticPr fontId="1" type="noConversion"/>
  </si>
  <si>
    <t>9m</t>
    <phoneticPr fontId="1" type="noConversion"/>
  </si>
  <si>
    <t>2m</t>
    <phoneticPr fontId="1" type="noConversion"/>
  </si>
  <si>
    <t>5m</t>
    <phoneticPr fontId="1" type="noConversion"/>
  </si>
  <si>
    <t>5.5m</t>
    <phoneticPr fontId="1" type="noConversion"/>
  </si>
  <si>
    <t>4.5m</t>
    <phoneticPr fontId="1" type="noConversion"/>
  </si>
  <si>
    <t>디자인: 바닐라아이보리 / (두께)사이즈: (25mm) 100x100 24세트</t>
  </si>
  <si>
    <t>25T(퍼즐)아이보리24장 (100)</t>
    <phoneticPr fontId="1" type="noConversion"/>
  </si>
  <si>
    <t>1m</t>
    <phoneticPr fontId="1" type="noConversion"/>
  </si>
  <si>
    <t>1.5m</t>
  </si>
  <si>
    <t>1.5m</t>
    <phoneticPr fontId="1" type="noConversion"/>
  </si>
  <si>
    <t>3m</t>
    <phoneticPr fontId="1" type="noConversion"/>
  </si>
  <si>
    <t>3.5m</t>
  </si>
  <si>
    <t>4.5m</t>
  </si>
  <si>
    <t>5.5m</t>
  </si>
  <si>
    <t>6.5m</t>
  </si>
  <si>
    <t>6.5m</t>
    <phoneticPr fontId="1" type="noConversion"/>
  </si>
  <si>
    <t>7m</t>
    <phoneticPr fontId="1" type="noConversion"/>
  </si>
  <si>
    <t>8m</t>
    <phoneticPr fontId="1" type="noConversion"/>
  </si>
  <si>
    <t>7.5m</t>
  </si>
  <si>
    <t>7.5m</t>
    <phoneticPr fontId="1" type="noConversion"/>
  </si>
  <si>
    <t>6m</t>
    <phoneticPr fontId="1" type="noConversion"/>
  </si>
  <si>
    <t>8.5m</t>
  </si>
  <si>
    <t>8.5m</t>
    <phoneticPr fontId="1" type="noConversion"/>
  </si>
  <si>
    <t>9.5m</t>
  </si>
  <si>
    <t>9.5m</t>
    <phoneticPr fontId="1" type="noConversion"/>
  </si>
  <si>
    <t>10m</t>
    <phoneticPr fontId="1" type="noConversion"/>
  </si>
  <si>
    <t>10.5m</t>
  </si>
  <si>
    <t>10.5m</t>
    <phoneticPr fontId="1" type="noConversion"/>
  </si>
  <si>
    <t>11m</t>
  </si>
  <si>
    <t>11m</t>
    <phoneticPr fontId="1" type="noConversion"/>
  </si>
  <si>
    <t>11.5m</t>
  </si>
  <si>
    <t>11.5m</t>
    <phoneticPr fontId="1" type="noConversion"/>
  </si>
  <si>
    <t>12m</t>
  </si>
  <si>
    <t>12m</t>
    <phoneticPr fontId="1" type="noConversion"/>
  </si>
  <si>
    <t>(110)17T마블아이보리</t>
  </si>
  <si>
    <t>(110)17T딜라이트우드</t>
  </si>
  <si>
    <t>(110)17T소프트그레이</t>
  </si>
  <si>
    <t>(110)17T그레이캔버스</t>
  </si>
  <si>
    <t>(70)17T마블아이보리</t>
  </si>
  <si>
    <t>0.5m</t>
    <phoneticPr fontId="1" type="noConversion"/>
  </si>
  <si>
    <t>(110)23T소프트그레이</t>
  </si>
  <si>
    <t>(110)23T그레이캔버스</t>
  </si>
  <si>
    <t>S</t>
  </si>
  <si>
    <t>디자인: 패브릭트윈 / 사이즈: [75x46 11T]</t>
    <phoneticPr fontId="1" type="noConversion"/>
  </si>
  <si>
    <t>디자인: 패브릭트윈 / 사이즈: [95x46 12T]</t>
    <phoneticPr fontId="1" type="noConversion"/>
  </si>
  <si>
    <t>디자인: 패브릭트윈 / 사이즈: [180x46 12T]</t>
    <phoneticPr fontId="1" type="noConversion"/>
  </si>
  <si>
    <t>디자인: 패브릭트윈 / 사이즈: [150x46 12T]</t>
    <phoneticPr fontId="1" type="noConversion"/>
  </si>
  <si>
    <t>디자인: 패브릭트윈 / 사이즈: [124x46 12T]</t>
    <phoneticPr fontId="1" type="noConversion"/>
  </si>
  <si>
    <t>M</t>
  </si>
  <si>
    <t>디자인: 샤이닝스타 / 사이즈: [75x46 11T]</t>
  </si>
  <si>
    <t>샤이닝스타S[150x46 12T]</t>
  </si>
  <si>
    <t>디자인: 샤이닝스타 / 사이즈: [95x46 12T]</t>
  </si>
  <si>
    <t>디자인: 샤이닝스타 / 사이즈: [124x46 12T]</t>
  </si>
  <si>
    <t>디자인: 샤이닝스타 / 사이즈: [150x46 12T]</t>
  </si>
  <si>
    <t>디자인: 샤이닝스타 / 사이즈: [180x46 12T]</t>
  </si>
  <si>
    <t>샤이닝스타M[180x46 12T]</t>
  </si>
  <si>
    <t>디자인: 더블우드 / 사이즈: [75x46 11T]</t>
  </si>
  <si>
    <t>더블우드S[150x46 12T]</t>
  </si>
  <si>
    <t>디자인: 더블우드 / 사이즈: [95x46 12T]</t>
  </si>
  <si>
    <t>디자인: 더블우드 / 사이즈: [124x46 12T]</t>
  </si>
  <si>
    <t>디자인: 더블우드 / 사이즈: [150x46 12T]</t>
  </si>
  <si>
    <t>디자인: 더블우드 / 사이즈: [180x46 12T]</t>
  </si>
  <si>
    <t>더블우드M[180x46 12T]</t>
  </si>
  <si>
    <t>디자인: 포레스티아 / 사이즈: [75x46 11T]</t>
  </si>
  <si>
    <t>포레스티아S[150x46 12T]</t>
  </si>
  <si>
    <t>디자인: 포레스티아 / 사이즈: [95x46 12T]</t>
  </si>
  <si>
    <t>디자인: 포레스티아 / 사이즈: [124x46 12T]</t>
  </si>
  <si>
    <t>디자인: 포레스티아 / 사이즈: [150x46 12T]</t>
  </si>
  <si>
    <t>디자인: 포레스티아 / 사이즈: [180x46 12T]</t>
  </si>
  <si>
    <t>포레스티아M[180x46 12T]</t>
  </si>
  <si>
    <t>디자인: 헤링본트윈 / 사이즈: S [180x70 12T]</t>
    <phoneticPr fontId="1" type="noConversion"/>
  </si>
  <si>
    <t>디자인: 헤링본트윈 / 사이즈: L [200x140 12T]</t>
    <phoneticPr fontId="1" type="noConversion"/>
  </si>
  <si>
    <t>헤링본트윈 S [180x70 12T]</t>
    <phoneticPr fontId="1" type="noConversion"/>
  </si>
  <si>
    <t>헤링본트윈 L [200x140 12T]</t>
    <phoneticPr fontId="1" type="noConversion"/>
  </si>
  <si>
    <t>디자인: 헤링본트윈 / 사이즈: XL [240x140 12T]</t>
    <phoneticPr fontId="1" type="noConversion"/>
  </si>
  <si>
    <t>헤링본트윈 XL [240x140 12T]</t>
    <phoneticPr fontId="1" type="noConversion"/>
  </si>
  <si>
    <t>L</t>
  </si>
  <si>
    <t>XL</t>
  </si>
  <si>
    <t>L</t>
    <phoneticPr fontId="1" type="noConversion"/>
  </si>
  <si>
    <t>XL</t>
    <phoneticPr fontId="1" type="noConversion"/>
  </si>
  <si>
    <t>디자인: 포레스티아 / 사이즈: S [180x70 12T]</t>
  </si>
  <si>
    <t>포레스티아 S [180x70 12T]</t>
  </si>
  <si>
    <t>디자인: 포레스티아 / 사이즈: L [200x140 12T]</t>
  </si>
  <si>
    <t>포레스티아 L [200x140 12T]</t>
  </si>
  <si>
    <t>디자인: 포레스티아 / 사이즈: XL [240x140 12T]</t>
  </si>
  <si>
    <t>포레스티아 XL [240x140 12T]</t>
  </si>
  <si>
    <t>디자인: 젤라빈 / 사이즈: S [180x70 12T]</t>
  </si>
  <si>
    <t>젤라빈 S [180x70 12T]</t>
  </si>
  <si>
    <t>디자인: 젤라빈 / 사이즈: L [200x140 12T]</t>
  </si>
  <si>
    <t>젤라빈 L [200x140 12T]</t>
  </si>
  <si>
    <t>디자인: 젤라빈 / 사이즈: XL [240x140 12T]</t>
  </si>
  <si>
    <t>젤라빈 XL [240x140 12T]</t>
  </si>
  <si>
    <t>디자인: 더블우드 / 사이즈: S [180x70 12T]</t>
  </si>
  <si>
    <t>더블우드 S [180x70 12T]</t>
  </si>
  <si>
    <t>디자인: 더블우드 / 사이즈: L [200x140 12T]</t>
  </si>
  <si>
    <t>더블우드 L [200x140 12T]</t>
  </si>
  <si>
    <t>디자인: 더블우드 / 사이즈: XL [240x140 12T]</t>
  </si>
  <si>
    <t>더블우드 XL [240x140 12T]</t>
  </si>
  <si>
    <t>디자인: 패브릭트윈 / 사이즈: S [180x70 12T]</t>
  </si>
  <si>
    <t>패브릭트윈 S [180x70 12T]</t>
  </si>
  <si>
    <t>디자인: 패브릭트윈 / 사이즈: L [200x140 12T]</t>
  </si>
  <si>
    <t>패브릭트윈 L [200x140 12T]</t>
  </si>
  <si>
    <t>디자인: 패브릭트윈 / 사이즈: XL [240x140 12T]</t>
  </si>
  <si>
    <t>패브릭트윈 XL [240x140 12T]</t>
  </si>
  <si>
    <t>디자인: 마블 아이보리 / 두께x폭 너비x길이: 14x110x150</t>
  </si>
  <si>
    <t>디자인: 마블 아이보리 / 두께x폭 너비x길이: 14x110x100</t>
  </si>
  <si>
    <t>디자인: 마블그레이 / 두께x폭 너비x길이: 9x110x50</t>
  </si>
  <si>
    <t>(140)17T마블아이보리</t>
  </si>
  <si>
    <t>(140)17T딜라이트우드</t>
  </si>
  <si>
    <t>(140)17T소프트그레이</t>
  </si>
  <si>
    <t>(140)17T그레이캔버스</t>
  </si>
  <si>
    <t>(110)17T퓨어아이보리</t>
  </si>
  <si>
    <t>(140)17T퓨어아이보리</t>
  </si>
  <si>
    <t>(110)12T퓨어아이보리</t>
  </si>
  <si>
    <t>(140)12T퓨어아이보리</t>
  </si>
  <si>
    <t xml:space="preserve">[미사용](110)마블 14T </t>
    <phoneticPr fontId="1" type="noConversion"/>
  </si>
  <si>
    <t xml:space="preserve">[B급] (110)마블 9T </t>
    <phoneticPr fontId="1" type="noConversion"/>
  </si>
  <si>
    <t>50cm</t>
    <phoneticPr fontId="1" type="noConversion"/>
  </si>
  <si>
    <t>(110)6T퓨어아이보리</t>
    <phoneticPr fontId="1" type="noConversion"/>
  </si>
  <si>
    <t>(140)6T퓨어아이보리</t>
    <phoneticPr fontId="1" type="noConversion"/>
  </si>
  <si>
    <t>디자인: 마블아이보리 / 두께 / 폭: 1.7cm/140cm / 길이: 300cm</t>
  </si>
  <si>
    <t>디자인: 마블아이보리 / 두께 / 폭: 1.7cm/140cm / 길이: 100cm</t>
    <phoneticPr fontId="1" type="noConversion"/>
  </si>
  <si>
    <t>(140)17T마블아이보리</t>
    <phoneticPr fontId="1" type="noConversion"/>
  </si>
  <si>
    <t>1m</t>
    <phoneticPr fontId="1" type="noConversion"/>
  </si>
  <si>
    <t>디자인: 마블아이보리 / 두께 / 폭: 1.7cm/140cm / 길이: 200cm</t>
    <phoneticPr fontId="1" type="noConversion"/>
  </si>
  <si>
    <t>디자인: 마블아이보리 / 두께 / 폭: 1.7cm/140cm / 길이: 400cm</t>
  </si>
  <si>
    <t>디자인: 마블아이보리 / 두께 / 폭: 1.7cm/140cm / 길이: 500cm</t>
  </si>
  <si>
    <t>디자인: 마블아이보리 / 두께 / 폭: 1.7cm/140cm / 길이: 600cm</t>
  </si>
  <si>
    <t>디자인: 마블아이보리 / 두께 / 폭: 1.7cm/140cm / 길이: 700cm</t>
  </si>
  <si>
    <t>디자인: 마블아이보리 / 두께 / 폭: 1.7cm/140cm / 길이: 800cm</t>
  </si>
  <si>
    <t>2m</t>
    <phoneticPr fontId="1" type="noConversion"/>
  </si>
  <si>
    <t>색상: 바닐라아이보리 / (두께)사이즈: (25mm) 100x100 1장</t>
    <phoneticPr fontId="1" type="noConversion"/>
  </si>
  <si>
    <t>플러스♥25T아이(100)</t>
    <phoneticPr fontId="1" type="noConversion"/>
  </si>
  <si>
    <t>플러스♥25T아이(50)</t>
    <phoneticPr fontId="1" type="noConversion"/>
  </si>
  <si>
    <t>색상: 파스텔핑크 / (두께)사이즈: (25mm) 100x100 1장</t>
  </si>
  <si>
    <t>색상: 스카이블루 / (두께)사이즈: (25mm) 100x100 1장</t>
    <phoneticPr fontId="1" type="noConversion"/>
  </si>
  <si>
    <t>색상: 스카이블루 / (두께)사이즈: (25mm) 50x50 4장</t>
    <phoneticPr fontId="1" type="noConversion"/>
  </si>
  <si>
    <t>색상: 파스텔핑크 / (두께)사이즈: (25mm) 50x50 4장</t>
    <phoneticPr fontId="1" type="noConversion"/>
  </si>
  <si>
    <t>색상: 라이트그레이 / (두께)사이즈: (25mm) 50x50 4장</t>
    <phoneticPr fontId="1" type="noConversion"/>
  </si>
  <si>
    <t>색상: 라이트그레이 / (두께)사이즈: (25mm) 100x100 1장</t>
    <phoneticPr fontId="1" type="noConversion"/>
  </si>
  <si>
    <t>(120)17T퓨어아이보리</t>
    <phoneticPr fontId="1" type="noConversion"/>
  </si>
  <si>
    <t>(110)12T퓨어아이보리</t>
    <phoneticPr fontId="1" type="noConversion"/>
  </si>
  <si>
    <t>(140)12T퓨어아이보리</t>
    <phoneticPr fontId="1" type="noConversion"/>
  </si>
  <si>
    <t>(110)22T마블아이보리</t>
    <phoneticPr fontId="1" type="noConversion"/>
  </si>
  <si>
    <t>(110)22T딜라이트우드</t>
    <phoneticPr fontId="1" type="noConversion"/>
  </si>
  <si>
    <t>(70)17T퓨어아이보리</t>
    <phoneticPr fontId="1" type="noConversion"/>
  </si>
  <si>
    <t>1m</t>
    <phoneticPr fontId="1" type="noConversion"/>
  </si>
  <si>
    <t>(110)9T퓨어아이보리</t>
    <phoneticPr fontId="1" type="noConversion"/>
  </si>
  <si>
    <t>(110)22T퓨어아이보리</t>
    <phoneticPr fontId="1" type="noConversion"/>
  </si>
  <si>
    <t>10T벽지:로지</t>
    <phoneticPr fontId="1" type="noConversion"/>
  </si>
  <si>
    <t>5T벽지:로지</t>
    <phoneticPr fontId="1" type="noConversion"/>
  </si>
  <si>
    <t>10T벽지:스폿그레이</t>
    <phoneticPr fontId="1" type="noConversion"/>
  </si>
  <si>
    <t>5T벽지:스폿그레이</t>
    <phoneticPr fontId="1" type="noConversion"/>
  </si>
  <si>
    <t>10T벽지: 스폿화이트</t>
    <phoneticPr fontId="1" type="noConversion"/>
  </si>
  <si>
    <t>5T벽지:스폿화이트</t>
    <phoneticPr fontId="1" type="noConversion"/>
  </si>
  <si>
    <t>(110)12T마블아이보리</t>
    <phoneticPr fontId="1" type="noConversion"/>
  </si>
  <si>
    <t>(140)12T마블아이보리</t>
    <phoneticPr fontId="1" type="noConversion"/>
  </si>
  <si>
    <t>사이드형</t>
    <phoneticPr fontId="1" type="noConversion"/>
  </si>
  <si>
    <t>센터형</t>
    <phoneticPr fontId="1" type="noConversion"/>
  </si>
  <si>
    <t>코너형</t>
    <phoneticPr fontId="1" type="noConversion"/>
  </si>
  <si>
    <t>디자인선택: 딜라이트우드 / 두께선택: 10T / 길이선택: 140x100</t>
    <phoneticPr fontId="1" type="noConversion"/>
  </si>
  <si>
    <t>디자인선택: 딜라이트우드 / 두께선택: 10T / 길이선택: 140x1000</t>
    <phoneticPr fontId="1" type="noConversion"/>
  </si>
  <si>
    <t>디자인선택: 딜라이트우드 / 두께선택: 10T / 길이선택: 140x200</t>
    <phoneticPr fontId="1" type="noConversion"/>
  </si>
  <si>
    <t>(140)10TPE딜라이트우드</t>
    <phoneticPr fontId="1" type="noConversion"/>
  </si>
  <si>
    <t>디자인선택: 딜라이트우드 / 두께선택: 10T / 길이선택: 140x300</t>
    <phoneticPr fontId="1" type="noConversion"/>
  </si>
  <si>
    <t>디자인선택: 딜라이트우드 / 두께선택: 10T / 길이선택: 140x400</t>
  </si>
  <si>
    <t>디자인선택: 딜라이트우드 / 두께선택: 10T / 길이선택: 140x500</t>
  </si>
  <si>
    <t>디자인선택: 딜라이트우드 / 두께선택: 10T / 길이선택: 140x600</t>
  </si>
  <si>
    <t>디자인선택: 딜라이트우드 / 두께선택: 10T / 길이선택: 140x700</t>
  </si>
  <si>
    <t>디자인선택: 딜라이트우드 / 두께선택: 10T / 길이선택: 140x800</t>
  </si>
  <si>
    <t>디자인선택: 딜라이트우드 / 두께선택: 10T / 길이선택: 140x900</t>
  </si>
  <si>
    <t>디자인선택: 딜라이트우드 / 두께선택: 15T / 길이선택: 140x100</t>
    <phoneticPr fontId="1" type="noConversion"/>
  </si>
  <si>
    <t>(140)15TPE딜라이트우드</t>
    <phoneticPr fontId="1" type="noConversion"/>
  </si>
  <si>
    <t>디자인선택: 딜라이트우드 / 두께선택: 15T / 길이선택: 140x200</t>
    <phoneticPr fontId="1" type="noConversion"/>
  </si>
  <si>
    <t>디자인선택: 딜라이트우드 / 두께선택: 15T / 길이선택: 140x300</t>
    <phoneticPr fontId="1" type="noConversion"/>
  </si>
  <si>
    <t>디자인선택: 딜라이트우드 / 두께선택: 15T / 길이선택: 140x400</t>
  </si>
  <si>
    <t>디자인선택: 딜라이트우드 / 두께선택: 15T / 길이선택: 140x500</t>
  </si>
  <si>
    <t>디자인선택: 딜라이트우드 / 두께선택: 15T / 길이선택: 140x600</t>
  </si>
  <si>
    <t>디자인선택: 딜라이트우드 / 두께선택: 15T / 길이선택: 140x700</t>
  </si>
  <si>
    <t>디자인선택: 딥그레이 / 두께선택: 10T / 길이선택: 140x100</t>
    <phoneticPr fontId="1" type="noConversion"/>
  </si>
  <si>
    <t>(140)10TPE딥그레이</t>
    <phoneticPr fontId="1" type="noConversion"/>
  </si>
  <si>
    <t>디자인선택: 딥그레이 / 두께선택: 10T / 길이선택: 140x1000</t>
    <phoneticPr fontId="1" type="noConversion"/>
  </si>
  <si>
    <t>디자인선택: 딥그레이 / 두께선택: 10T / 길이선택: 140x200</t>
    <phoneticPr fontId="1" type="noConversion"/>
  </si>
  <si>
    <t>디자인선택: 딥그레이 / 두께선택: 10T / 길이선택: 140x300</t>
    <phoneticPr fontId="1" type="noConversion"/>
  </si>
  <si>
    <t>디자인선택: 딥그레이 / 두께선택: 10T / 길이선택: 140x400</t>
  </si>
  <si>
    <t>디자인선택: 딥그레이 / 두께선택: 10T / 길이선택: 140x500</t>
  </si>
  <si>
    <t>디자인선택: 딥그레이 / 두께선택: 10T / 길이선택: 140x600</t>
  </si>
  <si>
    <t>디자인선택: 딥그레이 / 두께선택: 10T / 길이선택: 140x700</t>
  </si>
  <si>
    <t>디자인선택: 딥그레이 / 두께선택: 10T / 길이선택: 140x800</t>
  </si>
  <si>
    <t>디자인선택: 딥그레이 / 두께선택: 10T / 길이선택: 140x900</t>
  </si>
  <si>
    <t>디자인선택: 딥그레이 / 두께선택: 15T / 길이선택: 140x100</t>
    <phoneticPr fontId="1" type="noConversion"/>
  </si>
  <si>
    <t>(140)15TPE딥그레이</t>
    <phoneticPr fontId="1" type="noConversion"/>
  </si>
  <si>
    <t>디자인선택: 딥그레이 / 두께선택: 15T / 길이선택: 140x200</t>
    <phoneticPr fontId="1" type="noConversion"/>
  </si>
  <si>
    <t>디자인선택: 딥그레이 / 두께선택: 15T / 길이선택: 140x300</t>
  </si>
  <si>
    <t>디자인선택: 딥그레이 / 두께선택: 15T / 길이선택: 140x400</t>
  </si>
  <si>
    <t>디자인선택: 딥그레이 / 두께선택: 15T / 길이선택: 140x500</t>
  </si>
  <si>
    <t>디자인선택: 딥그레이 / 두께선택: 15T / 길이선택: 140x600</t>
  </si>
  <si>
    <t>디자인선택: 딥그레이 / 두께선택: 15T / 길이선택: 140x700</t>
  </si>
  <si>
    <t>1m</t>
    <phoneticPr fontId="1" type="noConversion"/>
  </si>
  <si>
    <t>제품선택: 애견 롤매트 샘플 패키지</t>
  </si>
  <si>
    <t>▶샘플◀애견 롤매트패키지</t>
  </si>
  <si>
    <t>제품선택: 유아 롤매트 샘플 패키지</t>
  </si>
  <si>
    <t>▶샘플◀유아 롤매트 패키지</t>
  </si>
  <si>
    <t>제품선택: 유아 퍼즐매트 샘플 패키지</t>
  </si>
  <si>
    <t>▶샘플◀퍼즐매트 패키지</t>
  </si>
  <si>
    <t>TPU20T 화이트마블 센터</t>
    <phoneticPr fontId="1" type="noConversion"/>
  </si>
  <si>
    <t>TPU20T 화이트마블 사이드</t>
    <phoneticPr fontId="1" type="noConversion"/>
  </si>
  <si>
    <t>TPU20T 화이트마블 코너</t>
    <phoneticPr fontId="1" type="noConversion"/>
  </si>
  <si>
    <t>TPU23T 화이트마블 사이드</t>
    <phoneticPr fontId="1" type="noConversion"/>
  </si>
  <si>
    <t>TPU23T 화이트마블 센터</t>
    <phoneticPr fontId="1" type="noConversion"/>
  </si>
  <si>
    <t>TPU23T 화이트마블 코너</t>
    <phoneticPr fontId="1" type="noConversion"/>
  </si>
  <si>
    <t>TPU20T 크림마블 사이드</t>
    <phoneticPr fontId="1" type="noConversion"/>
  </si>
  <si>
    <t>TPU20T 크림마블 센터</t>
    <phoneticPr fontId="1" type="noConversion"/>
  </si>
  <si>
    <t>TPU20T 크림마블 코너</t>
    <phoneticPr fontId="1" type="noConversion"/>
  </si>
  <si>
    <t>TPU23T 크림마블 사이드</t>
    <phoneticPr fontId="1" type="noConversion"/>
  </si>
  <si>
    <t>TPU23T 크림마블 센터</t>
    <phoneticPr fontId="1" type="noConversion"/>
  </si>
  <si>
    <t>TPU23T 크림마블 코너</t>
    <phoneticPr fontId="1" type="noConversion"/>
  </si>
  <si>
    <t>색상: 바닐라아이보리 / (두께)사이즈: (40mm) 50x50 4장</t>
  </si>
  <si>
    <t>40T(퍼즐)아이보리(50)</t>
  </si>
  <si>
    <t>색상: 바닐라아이보리 / (두께)사이즈: (40mm) 100x100 1장</t>
  </si>
  <si>
    <t>40T(퍼즐)아이보리(100)</t>
  </si>
  <si>
    <t>(120)12T그레이캔버스</t>
  </si>
  <si>
    <t>(120)6T그레이캔버스</t>
  </si>
  <si>
    <t>(120)9T그레이캔버스</t>
  </si>
  <si>
    <t>(120)12T도그프린트</t>
  </si>
  <si>
    <t>(120)6T도그프린트</t>
  </si>
  <si>
    <t>(120)9T도그프린트</t>
  </si>
  <si>
    <t>(120)6T마블아이보리</t>
  </si>
  <si>
    <t>(120)9T마블아이보리</t>
  </si>
  <si>
    <t>(120)12T마블아이보리</t>
  </si>
  <si>
    <t>(120)12T비글퍼피</t>
  </si>
  <si>
    <t>(120)6T비글퍼피</t>
  </si>
  <si>
    <t>(120)9T비글퍼피</t>
  </si>
  <si>
    <t>(120)12T소프트그레이</t>
  </si>
  <si>
    <t>(120)6T소프트그레이</t>
  </si>
  <si>
    <t>(120)9T소프트그레이</t>
  </si>
  <si>
    <t>(120)6T퓨어아이보리</t>
  </si>
  <si>
    <t>(120)12T퓨어아이보리</t>
  </si>
  <si>
    <t>(120)17T퓨어아이보리</t>
  </si>
  <si>
    <t>(120)22T퓨어아이보리</t>
  </si>
  <si>
    <t>(120)14T마블아이보리</t>
  </si>
  <si>
    <t>(120)17T마블아이보리</t>
  </si>
  <si>
    <t>(120)22T마블아이보리</t>
  </si>
  <si>
    <t>(120)14T그레이캔버스</t>
  </si>
  <si>
    <t>(120)17T그레이캔버스</t>
  </si>
  <si>
    <t>(120)23T그레이캔버스</t>
  </si>
  <si>
    <t>(120)18T그레이캔버스</t>
  </si>
  <si>
    <t>(120)12T딜라이트우드</t>
  </si>
  <si>
    <t>(120)14T딜라이트우드</t>
  </si>
  <si>
    <t>(120)17T딜라이트우드</t>
  </si>
  <si>
    <t>(120)23T딜라이트우드</t>
  </si>
  <si>
    <t>(120)22T딜라이트우드</t>
  </si>
  <si>
    <t>(120)18T딜라이트우드</t>
  </si>
  <si>
    <t>(120)14T소프트그레이</t>
  </si>
  <si>
    <t>(120)17T소프트그레이</t>
  </si>
  <si>
    <t>(120)23T소프트그레이</t>
  </si>
  <si>
    <t>(120)18T소프트그레이</t>
  </si>
  <si>
    <t>(120)23T마블아이보리</t>
  </si>
  <si>
    <t>⚡강세일⚡디자인 선택: 마블아이보리 / 두께(폭): 6mm(폭140cm) / 길이(수량추가): 50cm</t>
  </si>
  <si>
    <t>⚡강세일⚡디자인 선택: 마블아이보리 / 두께(폭): 9mm(폭140cm) / 길이(수량추가): 50cm</t>
  </si>
  <si>
    <t>⚡강세일⚡디자인: 딜라이트우드 / 두께 / 폭: 1.7cm/110cm / 길이: 400cm</t>
  </si>
  <si>
    <t>⚡강세일⚡디자인: 딜라이트우드 / 두께 / 폭: 1.7cm/140cm / 길이: 400cm</t>
  </si>
  <si>
    <t>디자인선택: 공룡 / 두께선택: 15T / 길이선택: 140x300</t>
  </si>
  <si>
    <t>⚡강세일⚡디자인 선택: 비글퍼피 / 두께(폭): 6mm(폭110cm) / 길이(수량추가): 50cm</t>
  </si>
  <si>
    <t>⚡강세일⚡디자인 선택: 퓨어아이보리 / 두께(폭): 6mm(폭140cm) / 길이(수량추가): 50cm</t>
  </si>
  <si>
    <t>플러스♥25T크림그레이(100)</t>
    <phoneticPr fontId="1" type="noConversion"/>
  </si>
  <si>
    <t>플러스♥25T크림그레이(50)</t>
    <phoneticPr fontId="1" type="noConversion"/>
  </si>
  <si>
    <t>⚡강세일⚡디자인 선택: 마블아이보리 / 두께(폭): 6mm(폭120cm) / 길이(수량추가): 50cm</t>
  </si>
  <si>
    <t>⚡강세일⚡디자인 선택: 마블아이보리 / 두께(폭): 9mm(폭110cm) / 길이(수량추가): 50cm</t>
  </si>
  <si>
    <t>⚡강세일⚡디자인 선택: 마블아이보리 / 두께(폭): 9mm(폭120cm) / 길이(수량추가): 50cm</t>
  </si>
  <si>
    <t>⚡강세일⚡디자인 선택: 마블아이보리 / 두께(폭): 12mm(폭110cm) / 길이(수량추가): 50cm</t>
  </si>
  <si>
    <t>⚡강세일⚡디자인 선택: 마블아이보리 / 두께(폭): 12mm(폭120cm) / 길이(수량추가): 50cm</t>
  </si>
  <si>
    <t>⚡강세일⚡디자인 선택: 마블아이보리 / 두께(폭): 12mm(폭140cm) / 길이(수량추가): 50cm</t>
  </si>
  <si>
    <t>⚡강세일⚡디자인 선택: 그레이캔버스 / 두께(폭): 12mm(폭110cm) / 길이(수량추가): 50cm</t>
  </si>
  <si>
    <t>⚡강세일⚡디자인 선택: 그레이캔버스 / 두께(폭): 12mm(폭120cm) / 길이(수량추가): 50cm</t>
  </si>
  <si>
    <t>⚡강세일⚡디자인 선택: 그레이캔버스 / 두께(폭): 12mm(폭140cm) / 길이(수량추가): 50cm</t>
  </si>
  <si>
    <t>⚡강세일⚡디자인 선택: 그레이캔버스 / 두께(폭): 6mm(폭110cm) / 길이(수량추가): 50cm</t>
  </si>
  <si>
    <t>⚡강세일⚡디자인 선택: 그레이캔버스 / 두께(폭): 6mm(폭120cm) / 길이(수량추가): 50cm</t>
  </si>
  <si>
    <t>⚡강세일⚡디자인 선택: 그레이캔버스 / 두께(폭): 6mm(폭140cm) / 길이(수량추가): 50cm</t>
  </si>
  <si>
    <t>⚡강세일⚡디자인 선택: 그레이캔버스 / 두께(폭): 9mm(폭110cm) / 길이(수량추가): 50cm</t>
  </si>
  <si>
    <t>⚡강세일⚡디자인 선택: 그레이캔버스 / 두께(폭): 9mm(폭120cm) / 길이(수량추가): 50cm</t>
  </si>
  <si>
    <t>⚡강세일⚡디자인 선택: 그레이캔버스 / 두께(폭): 9mm(폭140cm) / 길이(수량추가): 50cm</t>
  </si>
  <si>
    <t>⚡강세일⚡디자인 선택: 비글퍼피 / 두께(폭): 12mm(폭110cm) / 길이(수량추가): 50cm</t>
  </si>
  <si>
    <t>⚡강세일⚡디자인 선택: 비글퍼피 / 두께(폭): 12mm(폭120cm) / 길이(수량추가): 50cm</t>
  </si>
  <si>
    <t>⚡강세일⚡디자인 선택: 비글퍼피 / 두께(폭): 12mm(폭140cm) / 길이(수량추가): 50cm</t>
  </si>
  <si>
    <t>⚡강세일⚡디자인 선택: 비글퍼피 / 두께(폭): 6mm(폭120cm) / 길이(수량추가): 50cm</t>
  </si>
  <si>
    <t>⚡강세일⚡디자인 선택: 비글퍼피 / 두께(폭): 6mm(폭140cm) / 길이(수량추가): 50cm</t>
  </si>
  <si>
    <t>⚡강세일⚡디자인 선택: 비글퍼피 / 두께(폭): 9mm(폭110cm) / 길이(수량추가): 50cm</t>
  </si>
  <si>
    <t>⚡강세일⚡디자인 선택: 비글퍼피 / 두께(폭): 9mm(폭120cm) / 길이(수량추가): 50cm</t>
  </si>
  <si>
    <t>⚡강세일⚡디자인 선택: 비글퍼피 / 두께(폭): 9mm(폭140cm) / 길이(수량추가): 50cm</t>
  </si>
  <si>
    <t>⚡강세일⚡디자인 선택: 퓨어아이보리 / 두께(폭): 6mm(폭110cm) / 길이(수량추가): 50cm</t>
  </si>
  <si>
    <t>⚡강세일⚡디자인 선택: 퓨어아이보리 / 두께(폭): 6mm(폭120cm) / 길이(수량추가): 50cm</t>
  </si>
  <si>
    <t>⚡강세일⚡디자인 선택: 퓨어아이보리 / 두께(폭): 9mm(폭110cm) / 길이(수량추가): 50cm</t>
  </si>
  <si>
    <t>⚡강세일⚡디자인 선택: 퓨어아이보리 / 두께(폭): 12mm(폭110cm) / 길이(수량추가): 50cm</t>
  </si>
  <si>
    <t>⚡강세일⚡디자인 선택: 퓨어아이보리 / 두께(폭): 12mm(폭120cm) / 길이(수량추가): 50cm</t>
  </si>
  <si>
    <t>⚡강세일⚡디자인 선택: 퓨어아이보리 / 두께(폭): 12mm(폭140cm) / 길이(수량추가): 50cm</t>
  </si>
  <si>
    <t>⚡강세일⚡디자인: 딜라이트우드 / 두께 / 폭: 1.2cm/110cm / 길이: 1000cm</t>
  </si>
  <si>
    <t>⚡강세일⚡디자인: 딜라이트우드 / 두께 / 폭: 1.2cm/110cm / 길이: 100cm</t>
  </si>
  <si>
    <t>⚡강세일⚡디자인: 딜라이트우드 / 두께 / 폭: 1.2cm/110cm / 길이: 1050cm</t>
  </si>
  <si>
    <t>⚡강세일⚡디자인: 딜라이트우드 / 두께 / 폭: 1.2cm/110cm / 길이: 1100cm</t>
  </si>
  <si>
    <t>⚡강세일⚡디자인: 딜라이트우드 / 두께 / 폭: 1.2cm/110cm / 길이: 1150cm</t>
  </si>
  <si>
    <t>⚡강세일⚡디자인: 딜라이트우드 / 두께 / 폭: 1.2cm/110cm / 길이: 1200cm</t>
  </si>
  <si>
    <t>⚡강세일⚡디자인: 딜라이트우드 / 두께 / 폭: 1.2cm/110cm / 길이: 150cm</t>
  </si>
  <si>
    <t>⚡강세일⚡디자인: 딜라이트우드 / 두께 / 폭: 1.2cm/110cm / 길이: 200cm</t>
  </si>
  <si>
    <t>⚡강세일⚡디자인: 딜라이트우드 / 두께 / 폭: 1.2cm/110cm / 길이: 250cm</t>
  </si>
  <si>
    <t>⚡강세일⚡디자인: 딜라이트우드 / 두께 / 폭: 1.2cm/110cm / 길이: 300cm</t>
  </si>
  <si>
    <t>⚡강세일⚡디자인: 딜라이트우드 / 두께 / 폭: 1.2cm/110cm / 길이: 350cm</t>
  </si>
  <si>
    <t>⚡강세일⚡디자인: 딜라이트우드 / 두께 / 폭: 1.2cm/110cm / 길이: 400cm</t>
  </si>
  <si>
    <t>⚡강세일⚡디자인: 딜라이트우드 / 두께 / 폭: 1.2cm/110cm / 길이: 450cm</t>
  </si>
  <si>
    <t>⚡강세일⚡디자인: 딜라이트우드 / 두께 / 폭: 1.2cm/110cm / 길이: 500cm</t>
  </si>
  <si>
    <t>⚡강세일⚡디자인: 딜라이트우드 / 두께 / 폭: 1.2cm/110cm / 길이: 550cm</t>
  </si>
  <si>
    <t>⚡강세일⚡디자인: 딜라이트우드 / 두께 / 폭: 1.2cm/110cm / 길이: 600cm</t>
  </si>
  <si>
    <t>⚡강세일⚡디자인: 딜라이트우드 / 두께 / 폭: 1.2cm/110cm / 길이: 650cm</t>
  </si>
  <si>
    <t>⚡강세일⚡디자인: 딜라이트우드 / 두께 / 폭: 1.2cm/110cm / 길이: 700cm</t>
  </si>
  <si>
    <t>⚡강세일⚡디자인: 딜라이트우드 / 두께 / 폭: 1.2cm/110cm / 길이: 750cm</t>
  </si>
  <si>
    <t>⚡강세일⚡디자인: 딜라이트우드 / 두께 / 폭: 1.2cm/110cm / 길이: 800cm</t>
  </si>
  <si>
    <t>⚡강세일⚡디자인: 딜라이트우드 / 두께 / 폭: 1.2cm/110cm / 길이: 850cm</t>
  </si>
  <si>
    <t>⚡강세일⚡디자인: 딜라이트우드 / 두께 / 폭: 1.2cm/110cm / 길이: 900cm</t>
  </si>
  <si>
    <t>⚡강세일⚡디자인: 딜라이트우드 / 두께 / 폭: 1.2cm/110cm / 길이: 950cm</t>
  </si>
  <si>
    <t>⚡강세일⚡디자인: 딜라이트우드 / 두께 / 폭: 1.2cm/120cm / 길이: 1000cm</t>
  </si>
  <si>
    <t>⚡강세일⚡디자인: 딜라이트우드 / 두께 / 폭: 1.2cm/120cm / 길이: 100cm</t>
  </si>
  <si>
    <t>⚡강세일⚡디자인: 딜라이트우드 / 두께 / 폭: 1.2cm/120cm / 길이: 1050cm</t>
  </si>
  <si>
    <t>⚡강세일⚡디자인: 딜라이트우드 / 두께 / 폭: 1.2cm/120cm / 길이: 1100cm</t>
  </si>
  <si>
    <t>⚡강세일⚡디자인: 딜라이트우드 / 두께 / 폭: 1.2cm/120cm / 길이: 1150cm</t>
  </si>
  <si>
    <t>⚡강세일⚡디자인: 딜라이트우드 / 두께 / 폭: 1.2cm/120cm / 길이: 1200cm</t>
  </si>
  <si>
    <t>⚡강세일⚡디자인: 딜라이트우드 / 두께 / 폭: 1.2cm/120cm / 길이: 150cm</t>
  </si>
  <si>
    <t>⚡강세일⚡디자인: 딜라이트우드 / 두께 / 폭: 1.2cm/120cm / 길이: 200cm</t>
  </si>
  <si>
    <t>⚡강세일⚡디자인: 딜라이트우드 / 두께 / 폭: 1.2cm/120cm / 길이: 250cm</t>
  </si>
  <si>
    <t>⚡강세일⚡디자인: 딜라이트우드 / 두께 / 폭: 1.2cm/120cm / 길이: 300cm</t>
  </si>
  <si>
    <t>⚡강세일⚡디자인: 딜라이트우드 / 두께 / 폭: 1.2cm/120cm / 길이: 350cm</t>
  </si>
  <si>
    <t>⚡강세일⚡디자인: 딜라이트우드 / 두께 / 폭: 1.2cm/120cm / 길이: 400cm</t>
  </si>
  <si>
    <t>⚡강세일⚡디자인: 딜라이트우드 / 두께 / 폭: 1.2cm/120cm / 길이: 450cm</t>
  </si>
  <si>
    <t>⚡강세일⚡디자인: 딜라이트우드 / 두께 / 폭: 1.2cm/120cm / 길이: 500cm</t>
  </si>
  <si>
    <t>⚡강세일⚡디자인: 딜라이트우드 / 두께 / 폭: 1.2cm/120cm / 길이: 550cm</t>
  </si>
  <si>
    <t>⚡강세일⚡디자인: 딜라이트우드 / 두께 / 폭: 1.2cm/120cm / 길이: 600cm</t>
  </si>
  <si>
    <t>⚡강세일⚡디자인: 딜라이트우드 / 두께 / 폭: 1.2cm/120cm / 길이: 650cm</t>
  </si>
  <si>
    <t>⚡강세일⚡디자인: 딜라이트우드 / 두께 / 폭: 1.2cm/120cm / 길이: 700cm</t>
  </si>
  <si>
    <t>⚡강세일⚡디자인: 딜라이트우드 / 두께 / 폭: 1.2cm/120cm / 길이: 750cm</t>
  </si>
  <si>
    <t>⚡강세일⚡디자인: 딜라이트우드 / 두께 / 폭: 1.2cm/120cm / 길이: 800cm</t>
  </si>
  <si>
    <t>⚡강세일⚡디자인: 딜라이트우드 / 두께 / 폭: 1.2cm/120cm / 길이: 850cm</t>
  </si>
  <si>
    <t>⚡강세일⚡디자인: 딜라이트우드 / 두께 / 폭: 1.2cm/120cm / 길이: 900cm</t>
  </si>
  <si>
    <t>⚡강세일⚡디자인: 딜라이트우드 / 두께 / 폭: 1.2cm/120cm / 길이: 950cm</t>
  </si>
  <si>
    <t>⚡강세일⚡디자인: 딜라이트우드 / 두께 / 폭: 1.2cm/140cm / 길이: 1000cm</t>
  </si>
  <si>
    <t>⚡강세일⚡디자인: 딜라이트우드 / 두께 / 폭: 1.2cm/140cm / 길이: 100cm</t>
  </si>
  <si>
    <t>⚡강세일⚡디자인: 딜라이트우드 / 두께 / 폭: 1.2cm/140cm / 길이: 1050cm</t>
  </si>
  <si>
    <t>⚡강세일⚡디자인: 딜라이트우드 / 두께 / 폭: 1.2cm/140cm / 길이: 1100cm</t>
  </si>
  <si>
    <t>⚡강세일⚡디자인: 딜라이트우드 / 두께 / 폭: 1.2cm/140cm / 길이: 1150cm</t>
  </si>
  <si>
    <t>⚡강세일⚡디자인: 딜라이트우드 / 두께 / 폭: 1.2cm/140cm / 길이: 1200cm</t>
  </si>
  <si>
    <t>⚡강세일⚡디자인: 딜라이트우드 / 두께 / 폭: 1.2cm/140cm / 길이: 150cm</t>
  </si>
  <si>
    <t>⚡강세일⚡디자인: 딜라이트우드 / 두께 / 폭: 1.2cm/140cm / 길이: 200cm</t>
  </si>
  <si>
    <t>⚡강세일⚡디자인: 딜라이트우드 / 두께 / 폭: 1.2cm/140cm / 길이: 250cm</t>
  </si>
  <si>
    <t>⚡강세일⚡디자인: 딜라이트우드 / 두께 / 폭: 1.2cm/140cm / 길이: 300cm</t>
  </si>
  <si>
    <t>⚡강세일⚡디자인: 딜라이트우드 / 두께 / 폭: 1.2cm/140cm / 길이: 350cm</t>
  </si>
  <si>
    <t>⚡강세일⚡디자인: 딜라이트우드 / 두께 / 폭: 1.2cm/140cm / 길이: 400cm</t>
  </si>
  <si>
    <t>⚡강세일⚡디자인: 딜라이트우드 / 두께 / 폭: 1.2cm/140cm / 길이: 450cm</t>
  </si>
  <si>
    <t>⚡강세일⚡디자인: 딜라이트우드 / 두께 / 폭: 1.2cm/140cm / 길이: 500cm</t>
  </si>
  <si>
    <t>⚡강세일⚡디자인: 딜라이트우드 / 두께 / 폭: 1.2cm/140cm / 길이: 550cm</t>
  </si>
  <si>
    <t>⚡강세일⚡디자인: 딜라이트우드 / 두께 / 폭: 1.2cm/140cm / 길이: 600cm</t>
  </si>
  <si>
    <t>⚡강세일⚡디자인: 딜라이트우드 / 두께 / 폭: 1.2cm/140cm / 길이: 650cm</t>
  </si>
  <si>
    <t>⚡강세일⚡디자인: 딜라이트우드 / 두께 / 폭: 1.2cm/140cm / 길이: 700cm</t>
  </si>
  <si>
    <t>⚡강세일⚡디자인: 딜라이트우드 / 두께 / 폭: 1.2cm/140cm / 길이: 750cm</t>
  </si>
  <si>
    <t>⚡강세일⚡디자인: 딜라이트우드 / 두께 / 폭: 1.2cm/140cm / 길이: 800cm</t>
  </si>
  <si>
    <t>⚡강세일⚡디자인: 딜라이트우드 / 두께 / 폭: 1.2cm/140cm / 길이: 850cm</t>
  </si>
  <si>
    <t>⚡강세일⚡디자인: 딜라이트우드 / 두께 / 폭: 1.2cm/140cm / 길이: 900cm</t>
  </si>
  <si>
    <t>⚡강세일⚡디자인: 딜라이트우드 / 두께 / 폭: 1.2cm/140cm / 길이: 950cm</t>
  </si>
  <si>
    <t>⚡강세일⚡디자인: 딜라이트우드 / 두께 / 폭: 1.4cm/110cm / 길이: 1000cm</t>
  </si>
  <si>
    <t>⚡강세일⚡디자인: 딜라이트우드 / 두께 / 폭: 1.4cm/110cm / 길이: 100cm</t>
  </si>
  <si>
    <t>⚡강세일⚡디자인: 딜라이트우드 / 두께 / 폭: 1.4cm/110cm / 길이: 1050cm</t>
  </si>
  <si>
    <t>⚡강세일⚡디자인: 딜라이트우드 / 두께 / 폭: 1.4cm/110cm / 길이: 1100cm</t>
  </si>
  <si>
    <t>⚡강세일⚡디자인: 딜라이트우드 / 두께 / 폭: 1.4cm/110cm / 길이: 1150cm</t>
  </si>
  <si>
    <t>⚡강세일⚡디자인: 딜라이트우드 / 두께 / 폭: 1.4cm/110cm / 길이: 1200cm</t>
  </si>
  <si>
    <t>⚡강세일⚡디자인: 딜라이트우드 / 두께 / 폭: 1.4cm/110cm / 길이: 150cm</t>
  </si>
  <si>
    <t>⚡강세일⚡디자인: 딜라이트우드 / 두께 / 폭: 1.4cm/110cm / 길이: 200cm</t>
  </si>
  <si>
    <t>⚡강세일⚡디자인: 딜라이트우드 / 두께 / 폭: 1.4cm/110cm / 길이: 250cm</t>
  </si>
  <si>
    <t>⚡강세일⚡디자인: 딜라이트우드 / 두께 / 폭: 1.4cm/110cm / 길이: 300cm</t>
  </si>
  <si>
    <t>⚡강세일⚡디자인: 딜라이트우드 / 두께 / 폭: 1.4cm/110cm / 길이: 350cm</t>
  </si>
  <si>
    <t>⚡강세일⚡디자인: 딜라이트우드 / 두께 / 폭: 1.4cm/110cm / 길이: 400cm</t>
  </si>
  <si>
    <t>⚡강세일⚡디자인: 딜라이트우드 / 두께 / 폭: 1.4cm/110cm / 길이: 450cm</t>
  </si>
  <si>
    <t>⚡강세일⚡디자인: 딜라이트우드 / 두께 / 폭: 1.4cm/110cm / 길이: 500cm</t>
  </si>
  <si>
    <t>⚡강세일⚡디자인: 딜라이트우드 / 두께 / 폭: 1.4cm/110cm / 길이: 550cm</t>
  </si>
  <si>
    <t>⚡강세일⚡디자인: 딜라이트우드 / 두께 / 폭: 1.4cm/110cm / 길이: 600cm</t>
  </si>
  <si>
    <t>⚡강세일⚡디자인: 딜라이트우드 / 두께 / 폭: 1.4cm/110cm / 길이: 650cm</t>
  </si>
  <si>
    <t>⚡강세일⚡디자인: 딜라이트우드 / 두께 / 폭: 1.4cm/110cm / 길이: 700cm</t>
  </si>
  <si>
    <t>⚡강세일⚡디자인: 딜라이트우드 / 두께 / 폭: 1.4cm/110cm / 길이: 750cm</t>
  </si>
  <si>
    <t>⚡강세일⚡디자인: 딜라이트우드 / 두께 / 폭: 1.4cm/110cm / 길이: 800cm</t>
  </si>
  <si>
    <t>⚡강세일⚡디자인: 딜라이트우드 / 두께 / 폭: 1.4cm/110cm / 길이: 850cm</t>
  </si>
  <si>
    <t>⚡강세일⚡디자인: 딜라이트우드 / 두께 / 폭: 1.4cm/110cm / 길이: 900cm</t>
  </si>
  <si>
    <t>⚡강세일⚡디자인: 딜라이트우드 / 두께 / 폭: 1.4cm/110cm / 길이: 950cm</t>
  </si>
  <si>
    <t>⚡강세일⚡디자인: 딜라이트우드 / 두께 / 폭: 1.4cm/120cm / 길이: 1000cm</t>
  </si>
  <si>
    <t>⚡강세일⚡디자인: 딜라이트우드 / 두께 / 폭: 1.4cm/120cm / 길이: 100cm</t>
  </si>
  <si>
    <t>⚡강세일⚡디자인: 딜라이트우드 / 두께 / 폭: 1.4cm/120cm / 길이: 150cm</t>
  </si>
  <si>
    <t>⚡강세일⚡디자인: 딜라이트우드 / 두께 / 폭: 1.4cm/120cm / 길이: 200cm</t>
  </si>
  <si>
    <t>⚡강세일⚡디자인: 딜라이트우드 / 두께 / 폭: 1.4cm/120cm / 길이: 250cm</t>
  </si>
  <si>
    <t>⚡강세일⚡디자인: 딜라이트우드 / 두께 / 폭: 1.4cm/120cm / 길이: 300cm</t>
  </si>
  <si>
    <t>⚡강세일⚡디자인: 딜라이트우드 / 두께 / 폭: 1.4cm/120cm / 길이: 350cm</t>
  </si>
  <si>
    <t>⚡강세일⚡디자인: 딜라이트우드 / 두께 / 폭: 1.4cm/120cm / 길이: 400cm</t>
  </si>
  <si>
    <t>⚡강세일⚡디자인: 딜라이트우드 / 두께 / 폭: 1.4cm/120cm / 길이: 450cm</t>
  </si>
  <si>
    <t>⚡강세일⚡디자인: 딜라이트우드 / 두께 / 폭: 1.4cm/120cm / 길이: 500cm</t>
  </si>
  <si>
    <t>⚡강세일⚡디자인: 딜라이트우드 / 두께 / 폭: 1.4cm/120cm / 길이: 550cm</t>
  </si>
  <si>
    <t>⚡강세일⚡디자인: 딜라이트우드 / 두께 / 폭: 1.4cm/120cm / 길이: 600cm</t>
  </si>
  <si>
    <t>⚡강세일⚡디자인: 딜라이트우드 / 두께 / 폭: 1.4cm/120cm / 길이: 650cm</t>
  </si>
  <si>
    <t>⚡강세일⚡디자인: 딜라이트우드 / 두께 / 폭: 1.4cm/120cm / 길이: 700cm</t>
  </si>
  <si>
    <t>⚡강세일⚡디자인: 딜라이트우드 / 두께 / 폭: 1.4cm/120cm / 길이: 750cm</t>
  </si>
  <si>
    <t>⚡강세일⚡디자인: 딜라이트우드 / 두께 / 폭: 1.4cm/120cm / 길이: 800cm</t>
  </si>
  <si>
    <t>⚡강세일⚡디자인: 딜라이트우드 / 두께 / 폭: 1.4cm/120cm / 길이: 850cm</t>
  </si>
  <si>
    <t>⚡강세일⚡디자인: 딜라이트우드 / 두께 / 폭: 1.4cm/120cm / 길이: 900cm</t>
  </si>
  <si>
    <t>⚡강세일⚡디자인: 딜라이트우드 / 두께 / 폭: 1.4cm/120cm / 길이: 950cm</t>
  </si>
  <si>
    <t>⚡강세일⚡디자인: 딜라이트우드 / 두께 / 폭: 1.4cm/140cm / 길이: 1000cm</t>
  </si>
  <si>
    <t>⚡강세일⚡디자인: 딜라이트우드 / 두께 / 폭: 1.4cm/140cm / 길이: 100cm</t>
  </si>
  <si>
    <t>⚡강세일⚡디자인: 딜라이트우드 / 두께 / 폭: 1.4cm/140cm / 길이: 1050cm</t>
  </si>
  <si>
    <t>⚡강세일⚡디자인: 딜라이트우드 / 두께 / 폭: 1.4cm/140cm / 길이: 1100cm</t>
  </si>
  <si>
    <t>⚡강세일⚡디자인: 딜라이트우드 / 두께 / 폭: 1.4cm/140cm / 길이: 1150cm</t>
  </si>
  <si>
    <t>⚡강세일⚡디자인: 딜라이트우드 / 두께 / 폭: 1.4cm/140cm / 길이: 1200cm</t>
  </si>
  <si>
    <t>⚡강세일⚡디자인: 딜라이트우드 / 두께 / 폭: 1.4cm/140cm / 길이: 150cm</t>
  </si>
  <si>
    <t>⚡강세일⚡디자인: 딜라이트우드 / 두께 / 폭: 1.4cm/140cm / 길이: 200cm</t>
  </si>
  <si>
    <t>⚡강세일⚡디자인: 딜라이트우드 / 두께 / 폭: 1.4cm/140cm / 길이: 250cm</t>
  </si>
  <si>
    <t>⚡강세일⚡디자인: 딜라이트우드 / 두께 / 폭: 1.4cm/140cm / 길이: 300cm</t>
  </si>
  <si>
    <t>⚡강세일⚡디자인: 딜라이트우드 / 두께 / 폭: 1.4cm/140cm / 길이: 350cm</t>
  </si>
  <si>
    <t>⚡강세일⚡디자인: 딜라이트우드 / 두께 / 폭: 1.4cm/140cm / 길이: 400cm</t>
  </si>
  <si>
    <t>⚡강세일⚡디자인: 딜라이트우드 / 두께 / 폭: 1.4cm/140cm / 길이: 450cm</t>
  </si>
  <si>
    <t>⚡강세일⚡디자인: 딜라이트우드 / 두께 / 폭: 1.4cm/140cm / 길이: 500cm</t>
  </si>
  <si>
    <t>⚡강세일⚡디자인: 딜라이트우드 / 두께 / 폭: 1.4cm/140cm / 길이: 550cm</t>
  </si>
  <si>
    <t>⚡강세일⚡디자인: 딜라이트우드 / 두께 / 폭: 1.4cm/140cm / 길이: 600cm</t>
  </si>
  <si>
    <t>⚡강세일⚡디자인: 딜라이트우드 / 두께 / 폭: 1.4cm/140cm / 길이: 650cm</t>
  </si>
  <si>
    <t>⚡강세일⚡디자인: 딜라이트우드 / 두께 / 폭: 1.4cm/140cm / 길이: 700cm</t>
  </si>
  <si>
    <t>⚡강세일⚡디자인: 딜라이트우드 / 두께 / 폭: 1.4cm/140cm / 길이: 750cm</t>
  </si>
  <si>
    <t>⚡강세일⚡디자인: 딜라이트우드 / 두께 / 폭: 1.4cm/140cm / 길이: 800cm</t>
  </si>
  <si>
    <t>⚡강세일⚡디자인: 딜라이트우드 / 두께 / 폭: 1.4cm/140cm / 길이: 850cm</t>
  </si>
  <si>
    <t>⚡강세일⚡디자인: 딜라이트우드 / 두께 / 폭: 1.4cm/140cm / 길이: 900cm</t>
  </si>
  <si>
    <t>⚡강세일⚡디자인: 딜라이트우드 / 두께 / 폭: 1.4cm/140cm / 길이: 950cm</t>
  </si>
  <si>
    <t>⚡강세일⚡디자인: 딜라이트우드 / 두께 / 폭: 1.7cm/110cm / 길이: 1000cm</t>
  </si>
  <si>
    <t>⚡강세일⚡디자인: 딜라이트우드 / 두께 / 폭: 1.7cm/110cm / 길이: 100cm</t>
  </si>
  <si>
    <t>⚡강세일⚡디자인: 딜라이트우드 / 두께 / 폭: 1.7cm/110cm / 길이: 1050cm</t>
  </si>
  <si>
    <t>⚡강세일⚡디자인: 딜라이트우드 / 두께 / 폭: 1.7cm/110cm / 길이: 1100cm</t>
  </si>
  <si>
    <t>⚡강세일⚡디자인: 딜라이트우드 / 두께 / 폭: 1.7cm/110cm / 길이: 1150cm</t>
  </si>
  <si>
    <t>⚡강세일⚡디자인: 딜라이트우드 / 두께 / 폭: 1.7cm/110cm / 길이: 1200cm</t>
  </si>
  <si>
    <t>⚡강세일⚡디자인: 딜라이트우드 / 두께 / 폭: 1.7cm/110cm / 길이: 150cm</t>
  </si>
  <si>
    <t>⚡강세일⚡디자인: 딜라이트우드 / 두께 / 폭: 1.7cm/110cm / 길이: 200cm</t>
  </si>
  <si>
    <t>⚡강세일⚡디자인: 딜라이트우드 / 두께 / 폭: 1.7cm/110cm / 길이: 250cm</t>
  </si>
  <si>
    <t>⚡강세일⚡디자인: 딜라이트우드 / 두께 / 폭: 1.7cm/110cm / 길이: 300cm</t>
  </si>
  <si>
    <t>⚡강세일⚡디자인: 딜라이트우드 / 두께 / 폭: 1.7cm/110cm / 길이: 350cm</t>
  </si>
  <si>
    <t>⚡강세일⚡디자인: 딜라이트우드 / 두께 / 폭: 1.7cm/110cm / 길이: 450cm</t>
  </si>
  <si>
    <t>⚡강세일⚡디자인: 딜라이트우드 / 두께 / 폭: 1.7cm/110cm / 길이: 500cm</t>
  </si>
  <si>
    <t>⚡강세일⚡디자인: 딜라이트우드 / 두께 / 폭: 1.7cm/110cm / 길이: 550cm</t>
  </si>
  <si>
    <t>⚡강세일⚡디자인: 딜라이트우드 / 두께 / 폭: 1.7cm/110cm / 길이: 600cm</t>
  </si>
  <si>
    <t>⚡강세일⚡디자인: 딜라이트우드 / 두께 / 폭: 1.7cm/110cm / 길이: 650cm</t>
  </si>
  <si>
    <t>⚡강세일⚡디자인: 딜라이트우드 / 두께 / 폭: 1.7cm/110cm / 길이: 700cm</t>
  </si>
  <si>
    <t>⚡강세일⚡디자인: 딜라이트우드 / 두께 / 폭: 1.7cm/110cm / 길이: 750cm</t>
  </si>
  <si>
    <t>⚡강세일⚡디자인: 딜라이트우드 / 두께 / 폭: 1.7cm/110cm / 길이: 800cm</t>
  </si>
  <si>
    <t>⚡강세일⚡디자인: 딜라이트우드 / 두께 / 폭: 1.7cm/110cm / 길이: 850cm</t>
  </si>
  <si>
    <t>⚡강세일⚡디자인: 딜라이트우드 / 두께 / 폭: 1.7cm/110cm / 길이: 900cm</t>
  </si>
  <si>
    <t>⚡강세일⚡디자인: 딜라이트우드 / 두께 / 폭: 1.7cm/110cm / 길이: 950cm</t>
  </si>
  <si>
    <t>⚡강세일⚡디자인: 딜라이트우드 / 두께 / 폭: 1.7cm/120cm / 길이: 1000cm</t>
  </si>
  <si>
    <t>⚡강세일⚡디자인: 딜라이트우드 / 두께 / 폭: 1.7cm/120cm / 길이: 100cm</t>
  </si>
  <si>
    <t>⚡강세일⚡디자인: 딜라이트우드 / 두께 / 폭: 1.7cm/120cm / 길이: 1050cm</t>
  </si>
  <si>
    <t>⚡강세일⚡디자인: 딜라이트우드 / 두께 / 폭: 1.7cm/120cm / 길이: 1100cm</t>
  </si>
  <si>
    <t>⚡강세일⚡디자인: 딜라이트우드 / 두께 / 폭: 1.7cm/120cm / 길이: 1150cm</t>
  </si>
  <si>
    <t>⚡강세일⚡디자인: 딜라이트우드 / 두께 / 폭: 1.7cm/120cm / 길이: 1200cm</t>
  </si>
  <si>
    <t>⚡강세일⚡디자인: 딜라이트우드 / 두께 / 폭: 1.7cm/120cm / 길이: 150cm</t>
  </si>
  <si>
    <t>⚡강세일⚡디자인: 딜라이트우드 / 두께 / 폭: 1.7cm/120cm / 길이: 200cm</t>
  </si>
  <si>
    <t>⚡강세일⚡디자인: 딜라이트우드 / 두께 / 폭: 1.7cm/120cm / 길이: 250cm</t>
  </si>
  <si>
    <t>⚡강세일⚡디자인: 딜라이트우드 / 두께 / 폭: 1.7cm/120cm / 길이: 300cm</t>
  </si>
  <si>
    <t>⚡강세일⚡디자인: 딜라이트우드 / 두께 / 폭: 1.7cm/120cm / 길이: 350cm</t>
  </si>
  <si>
    <t>⚡강세일⚡디자인: 딜라이트우드 / 두께 / 폭: 1.7cm/120cm / 길이: 400cm</t>
  </si>
  <si>
    <t>⚡강세일⚡디자인: 딜라이트우드 / 두께 / 폭: 1.7cm/120cm / 길이: 450cm</t>
  </si>
  <si>
    <t>⚡강세일⚡디자인: 딜라이트우드 / 두께 / 폭: 1.7cm/120cm / 길이: 500cm</t>
  </si>
  <si>
    <t>⚡강세일⚡디자인: 딜라이트우드 / 두께 / 폭: 1.7cm/120cm / 길이: 550cm</t>
  </si>
  <si>
    <t>⚡강세일⚡디자인: 딜라이트우드 / 두께 / 폭: 1.7cm/120cm / 길이: 600cm</t>
  </si>
  <si>
    <t>⚡강세일⚡디자인: 딜라이트우드 / 두께 / 폭: 1.7cm/120cm / 길이: 650cm</t>
  </si>
  <si>
    <t>⚡강세일⚡디자인: 딜라이트우드 / 두께 / 폭: 1.7cm/120cm / 길이: 700cm</t>
  </si>
  <si>
    <t>⚡강세일⚡디자인: 딜라이트우드 / 두께 / 폭: 1.7cm/120cm / 길이: 750cm</t>
  </si>
  <si>
    <t>⚡강세일⚡디자인: 딜라이트우드 / 두께 / 폭: 1.7cm/120cm / 길이: 800cm</t>
  </si>
  <si>
    <t>⚡강세일⚡디자인: 딜라이트우드 / 두께 / 폭: 1.7cm/120cm / 길이: 850cm</t>
  </si>
  <si>
    <t>⚡강세일⚡디자인: 딜라이트우드 / 두께 / 폭: 1.7cm/120cm / 길이: 900cm</t>
  </si>
  <si>
    <t>⚡강세일⚡디자인: 딜라이트우드 / 두께 / 폭: 1.7cm/120cm / 길이: 950cm</t>
  </si>
  <si>
    <t>⚡강세일⚡디자인: 딜라이트우드 / 두께 / 폭: 1.7cm/140cm / 길이: 1000cm</t>
  </si>
  <si>
    <t>⚡강세일⚡디자인: 딜라이트우드 / 두께 / 폭: 1.7cm/140cm / 길이: 100cm</t>
  </si>
  <si>
    <t>⚡강세일⚡디자인: 딜라이트우드 / 두께 / 폭: 1.7cm/140cm / 길이: 1050cm</t>
  </si>
  <si>
    <t>⚡강세일⚡디자인: 딜라이트우드 / 두께 / 폭: 1.7cm/140cm / 길이: 1100cm</t>
  </si>
  <si>
    <t>⚡강세일⚡디자인: 딜라이트우드 / 두께 / 폭: 1.7cm/140cm / 길이: 1150cm</t>
  </si>
  <si>
    <t>⚡강세일⚡디자인: 딜라이트우드 / 두께 / 폭: 1.7cm/140cm / 길이: 1200cm</t>
  </si>
  <si>
    <t>⚡강세일⚡디자인: 딜라이트우드 / 두께 / 폭: 1.7cm/140cm / 길이: 150cm</t>
  </si>
  <si>
    <t>⚡강세일⚡디자인: 딜라이트우드 / 두께 / 폭: 1.7cm/140cm / 길이: 200cm</t>
  </si>
  <si>
    <t>⚡강세일⚡디자인: 딜라이트우드 / 두께 / 폭: 1.7cm/140cm / 길이: 250cm</t>
  </si>
  <si>
    <t>⚡강세일⚡디자인: 딜라이트우드 / 두께 / 폭: 1.7cm/140cm / 길이: 300cm</t>
  </si>
  <si>
    <t>⚡강세일⚡디자인: 딜라이트우드 / 두께 / 폭: 1.7cm/140cm / 길이: 350cm</t>
  </si>
  <si>
    <t>⚡강세일⚡디자인: 딜라이트우드 / 두께 / 폭: 1.7cm/140cm / 길이: 450cm</t>
  </si>
  <si>
    <t>⚡강세일⚡디자인: 딜라이트우드 / 두께 / 폭: 1.7cm/140cm / 길이: 500cm</t>
  </si>
  <si>
    <t>⚡강세일⚡디자인: 딜라이트우드 / 두께 / 폭: 1.7cm/140cm / 길이: 550cm</t>
  </si>
  <si>
    <t>⚡강세일⚡디자인: 딜라이트우드 / 두께 / 폭: 1.7cm/140cm / 길이: 600cm</t>
  </si>
  <si>
    <t>⚡강세일⚡디자인: 딜라이트우드 / 두께 / 폭: 1.7cm/140cm / 길이: 650cm</t>
  </si>
  <si>
    <t>⚡강세일⚡디자인: 딜라이트우드 / 두께 / 폭: 1.7cm/140cm / 길이: 700cm</t>
  </si>
  <si>
    <t>⚡강세일⚡디자인: 딜라이트우드 / 두께 / 폭: 1.7cm/140cm / 길이: 750cm</t>
  </si>
  <si>
    <t>⚡강세일⚡디자인: 딜라이트우드 / 두께 / 폭: 1.7cm/140cm / 길이: 800cm</t>
  </si>
  <si>
    <t>⚡강세일⚡디자인: 딜라이트우드 / 두께 / 폭: 1.7cm/140cm / 길이: 850cm</t>
  </si>
  <si>
    <t>⚡강세일⚡디자인: 딜라이트우드 / 두께 / 폭: 1.7cm/140cm / 길이: 900cm</t>
  </si>
  <si>
    <t>⚡강세일⚡디자인: 딜라이트우드 / 두께 / 폭: 1.7cm/140cm / 길이: 950cm</t>
  </si>
  <si>
    <t>⚡강세일⚡디자인: 딜라이트우드 / 두께 / 폭: 2.2cm/110cm / 길이: 1000cm</t>
  </si>
  <si>
    <t>⚡강세일⚡디자인: 딜라이트우드 / 두께 / 폭: 2.2cm/110cm / 길이: 100cm</t>
  </si>
  <si>
    <t>⚡강세일⚡디자인: 딜라이트우드 / 두께 / 폭: 2.2cm/110cm / 길이: 1050cm</t>
  </si>
  <si>
    <t>⚡강세일⚡디자인: 딜라이트우드 / 두께 / 폭: 2.3cm/110cm / 길이: 1100cm</t>
  </si>
  <si>
    <t>⚡강세일⚡디자인: 딜라이트우드 / 두께 / 폭: 2.3cm/110cm / 길이: 1150cm</t>
  </si>
  <si>
    <t>⚡강세일⚡디자인: 딜라이트우드 / 두께 / 폭: 2.3cm/110cm / 길이: 1200cm</t>
  </si>
  <si>
    <t>⚡강세일⚡디자인: 딜라이트우드 / 두께 / 폭: 2.2cm/110cm / 길이: 150cm</t>
  </si>
  <si>
    <t>⚡강세일⚡디자인: 딜라이트우드 / 두께 / 폭: 2.2cm/110cm / 길이: 200cm</t>
  </si>
  <si>
    <t>⚡강세일⚡디자인: 딜라이트우드 / 두께 / 폭: 2.2cm/110cm / 길이: 250cm</t>
  </si>
  <si>
    <t>⚡강세일⚡디자인: 딜라이트우드 / 두께 / 폭: 2.2cm/110cm / 길이: 300cm</t>
  </si>
  <si>
    <t>⚡강세일⚡디자인: 딜라이트우드 / 두께 / 폭: 2.2cm/110cm / 길이: 350cm</t>
  </si>
  <si>
    <t>⚡강세일⚡디자인: 딜라이트우드 / 두께 / 폭: 2.2cm/110cm / 길이: 400cm</t>
  </si>
  <si>
    <t>⚡강세일⚡디자인: 딜라이트우드 / 두께 / 폭: 2.2cm/110cm / 길이: 450cm</t>
  </si>
  <si>
    <t>⚡강세일⚡디자인: 딜라이트우드 / 두께 / 폭: 2.2cm/110cm / 길이: 500cm</t>
  </si>
  <si>
    <t>⚡강세일⚡디자인: 딜라이트우드 / 두께 / 폭: 2.2cm/110cm / 길이: 550cm</t>
  </si>
  <si>
    <t>⚡강세일⚡디자인: 딜라이트우드 / 두께 / 폭: 2.2cm/110cm / 길이: 600cm</t>
  </si>
  <si>
    <t>⚡강세일⚡디자인: 딜라이트우드 / 두께 / 폭: 2.3cm/110cm / 길이: 650cm</t>
  </si>
  <si>
    <t>⚡강세일⚡디자인: 딜라이트우드 / 두께 / 폭: 2.3cm/110cm / 길이: 700cm</t>
  </si>
  <si>
    <t>⚡강세일⚡디자인: 딜라이트우드 / 두께 / 폭: 2.3cm/110cm / 길이: 750cm</t>
  </si>
  <si>
    <t>⚡강세일⚡디자인: 딜라이트우드 / 두께 / 폭: 2.3cm/110cm / 길이: 800cm</t>
  </si>
  <si>
    <t>⚡강세일⚡디자인: 딜라이트우드 / 두께 / 폭: 2.3cm/110cm / 길이: 850cm</t>
  </si>
  <si>
    <t>⚡강세일⚡디자인: 딜라이트우드 / 두께 / 폭: 2.3cm/110cm / 길이: 900cm</t>
  </si>
  <si>
    <t>⚡강세일⚡디자인: 딜라이트우드 / 두께 / 폭: 2.3cm/110cm / 길이: 950cm</t>
  </si>
  <si>
    <t>⚡강세일⚡디자인: 딜라이트우드 / 두께 / 폭: 2.3cm/120cm / 길이: 1000cm</t>
  </si>
  <si>
    <t>⚡강세일⚡디자인: 딜라이트우드 / 두께 / 폭: 2.3cm/120cm / 길이: 100cm</t>
  </si>
  <si>
    <t>⚡강세일⚡디자인: 딜라이트우드 / 두께 / 폭: 2.3cm/120cm / 길이: 1050cm</t>
  </si>
  <si>
    <t>⚡강세일⚡디자인: 딜라이트우드 / 두께 / 폭: 2.3cm/120cm / 길이: 1100cm</t>
  </si>
  <si>
    <t>⚡강세일⚡디자인: 딜라이트우드 / 두께 / 폭: 2.3cm/120cm / 길이: 1150cm</t>
  </si>
  <si>
    <t>⚡강세일⚡디자인: 딜라이트우드 / 두께 / 폭: 2.3cm/120cm / 길이: 1200cm</t>
  </si>
  <si>
    <t>⚡강세일⚡디자인: 딜라이트우드 / 두께 / 폭: 2.2cm/120cm / 길이: 150cm</t>
  </si>
  <si>
    <t>⚡강세일⚡디자인: 딜라이트우드 / 두께 / 폭: 2.2cm/120cm / 길이: 200cm</t>
  </si>
  <si>
    <t>⚡강세일⚡디자인: 딜라이트우드 / 두께 / 폭: 2.2cm/120cm / 길이: 250cm</t>
  </si>
  <si>
    <t>⚡강세일⚡디자인: 딜라이트우드 / 두께 / 폭: 2.2cm/120cm / 길이: 300cm</t>
  </si>
  <si>
    <t>⚡강세일⚡디자인: 딜라이트우드 / 두께 / 폭: 2.2cm/120cm / 길이: 350cm</t>
  </si>
  <si>
    <t>⚡강세일⚡디자인: 딜라이트우드 / 두께 / 폭: 2.2cm/120cm / 길이: 400cm</t>
  </si>
  <si>
    <t>⚡강세일⚡디자인: 딜라이트우드 / 두께 / 폭: 2.2cm/120cm / 길이: 450cm</t>
  </si>
  <si>
    <t>⚡강세일⚡디자인: 딜라이트우드 / 두께 / 폭: 2.2cm/120cm / 길이: 500cm</t>
  </si>
  <si>
    <t>⚡강세일⚡디자인: 딜라이트우드 / 두께 / 폭: 2.2cm/120cm / 길이: 550cm</t>
  </si>
  <si>
    <t>⚡강세일⚡디자인: 딜라이트우드 / 두께 / 폭: 2.2cm/120cm / 길이: 600cm</t>
  </si>
  <si>
    <t>⚡강세일⚡디자인: 딜라이트우드 / 두께 / 폭: 2.3cm/120cm / 길이: 650cm</t>
  </si>
  <si>
    <t>⚡강세일⚡디자인: 딜라이트우드 / 두께 / 폭: 2.3cm/120cm / 길이: 700cm</t>
  </si>
  <si>
    <t>⚡강세일⚡디자인: 딜라이트우드 / 두께 / 폭: 2.3cm/120cm / 길이: 750cm</t>
  </si>
  <si>
    <t>⚡강세일⚡디자인: 딜라이트우드 / 두께 / 폭: 2.3cm/120cm / 길이: 800cm</t>
  </si>
  <si>
    <t>⚡강세일⚡디자인: 딜라이트우드 / 두께 / 폭: 2.3cm/120cm / 길이: 850cm</t>
  </si>
  <si>
    <t>⚡강세일⚡디자인: 딜라이트우드 / 두께 / 폭: 2.3cm/120cm / 길이: 900cm</t>
  </si>
  <si>
    <t>⚡강세일⚡디자인: 딜라이트우드 / 두께 / 폭: 2.3cm/120cm / 길이: 950cm</t>
  </si>
  <si>
    <t>⚡강세일⚡디자인: 딜라이트우드 / 두께 / 폭: 두께1.2cm / 폭110cm / 길이(수량추가): 50cm</t>
  </si>
  <si>
    <t>⚡강세일⚡디자인: 딜라이트우드 / 두께 / 폭: 두께1.2cm / 폭120cm / 길이(수량추가): 50cm</t>
  </si>
  <si>
    <t>⚡강세일⚡디자인: 딜라이트우드 / 두께 / 폭: 두께1.2cm / 폭140cm / 길이(수량추가): 50cm</t>
  </si>
  <si>
    <t>⚡강세일⚡디자인: 딜라이트우드 / 두께 / 폭: 두께1.4cm / 폭110cm / 길이(수량추가): 50cm</t>
  </si>
  <si>
    <t>⚡강세일⚡디자인: 딜라이트우드 / 두께 / 폭: 두께1.4cm / 폭120cm / 길이(수량추가): 50cm</t>
  </si>
  <si>
    <t>⚡강세일⚡디자인: 딜라이트우드 / 두께 / 폭: 두께1.4cm / 폭140cm / 길이(수량추가): 50cm</t>
  </si>
  <si>
    <t>⚡강세일⚡디자인: 딜라이트우드 / 두께 / 폭: 두께1.8cm / 폭110cm / 길이(수량추가): 50cm</t>
  </si>
  <si>
    <t>⚡강세일⚡디자인: 딜라이트우드 / 두께 / 폭: 두께1.8cm / 폭120cm / 길이(수량추가): 50cm</t>
  </si>
  <si>
    <t>⚡강세일⚡디자인: 딜라이트우드 / 두께 / 폭: 두께1.8cm / 폭140cm / 길이(수량추가): 50cm</t>
  </si>
  <si>
    <t>⚡강세일⚡디자인: 딜라이트우드 / 두께 / 폭: 두께2.3cm / 폭110cm / 길이(수량추가): 50cm</t>
  </si>
  <si>
    <t>⚡강세일⚡디자인: 딜라이트우드 / 두께 / 폭: 두께2.3cm / 폭120cm / 길이(수량추가): 50cm</t>
  </si>
  <si>
    <t>🌠넾다세일🌠⚡강세일⚡디자인: 딜라이트우드 / 두께 / 폭: 1.2cm/110cm / 길이: 1000cm</t>
  </si>
  <si>
    <t>🌠넾다세일🌠⚡강세일⚡디자인: 딜라이트우드 / 두께 / 폭: 1.2cm/110cm / 길이: 100cm</t>
  </si>
  <si>
    <t>🌠넾다세일🌠⚡강세일⚡디자인: 딜라이트우드 / 두께 / 폭: 1.2cm/110cm / 길이: 1050cm</t>
  </si>
  <si>
    <t>🌠넾다세일🌠⚡강세일⚡디자인: 딜라이트우드 / 두께 / 폭: 1.2cm/110cm / 길이: 1100cm</t>
  </si>
  <si>
    <t>🌠넾다세일🌠⚡강세일⚡디자인: 딜라이트우드 / 두께 / 폭: 1.2cm/110cm / 길이: 1150cm</t>
  </si>
  <si>
    <t>🌠넾다세일🌠⚡강세일⚡디자인: 딜라이트우드 / 두께 / 폭: 1.2cm/110cm / 길이: 1200cm</t>
  </si>
  <si>
    <t>🌠넾다세일🌠⚡강세일⚡디자인: 딜라이트우드 / 두께 / 폭: 1.2cm/110cm / 길이: 150cm</t>
  </si>
  <si>
    <t>🌠넾다세일🌠⚡강세일⚡디자인: 딜라이트우드 / 두께 / 폭: 1.2cm/110cm / 길이: 200cm</t>
  </si>
  <si>
    <t>🌠넾다세일🌠⚡강세일⚡디자인: 딜라이트우드 / 두께 / 폭: 1.2cm/110cm / 길이: 250cm</t>
  </si>
  <si>
    <t>🌠넾다세일🌠⚡강세일⚡디자인: 딜라이트우드 / 두께 / 폭: 1.2cm/110cm / 길이: 300cm</t>
  </si>
  <si>
    <t>🌠넾다세일🌠⚡강세일⚡디자인: 딜라이트우드 / 두께 / 폭: 1.2cm/110cm / 길이: 350cm</t>
  </si>
  <si>
    <t>🌠넾다세일🌠⚡강세일⚡디자인: 딜라이트우드 / 두께 / 폭: 1.2cm/110cm / 길이: 400cm</t>
  </si>
  <si>
    <t>🌠넾다세일🌠⚡강세일⚡디자인: 딜라이트우드 / 두께 / 폭: 1.2cm/110cm / 길이: 450cm</t>
  </si>
  <si>
    <t>🌠넾다세일🌠⚡강세일⚡디자인: 딜라이트우드 / 두께 / 폭: 1.2cm/110cm / 길이: 500cm</t>
  </si>
  <si>
    <t>🌠넾다세일🌠⚡강세일⚡디자인: 딜라이트우드 / 두께 / 폭: 1.2cm/110cm / 길이: 550cm</t>
  </si>
  <si>
    <t>🌠넾다세일🌠⚡강세일⚡디자인: 딜라이트우드 / 두께 / 폭: 1.2cm/110cm / 길이: 600cm</t>
  </si>
  <si>
    <t>🌠넾다세일🌠⚡강세일⚡디자인: 딜라이트우드 / 두께 / 폭: 1.2cm/110cm / 길이: 650cm</t>
  </si>
  <si>
    <t>🌠넾다세일🌠⚡강세일⚡디자인: 딜라이트우드 / 두께 / 폭: 1.2cm/110cm / 길이: 700cm</t>
  </si>
  <si>
    <t>🌠넾다세일🌠⚡강세일⚡디자인: 딜라이트우드 / 두께 / 폭: 1.2cm/110cm / 길이: 750cm</t>
  </si>
  <si>
    <t>🌠넾다세일🌠⚡강세일⚡디자인: 딜라이트우드 / 두께 / 폭: 1.2cm/110cm / 길이: 800cm</t>
  </si>
  <si>
    <t>🌠넾다세일🌠⚡강세일⚡디자인: 딜라이트우드 / 두께 / 폭: 1.2cm/110cm / 길이: 850cm</t>
  </si>
  <si>
    <t>🌠넾다세일🌠⚡강세일⚡디자인: 딜라이트우드 / 두께 / 폭: 1.2cm/110cm / 길이: 900cm</t>
  </si>
  <si>
    <t>🌠넾다세일🌠⚡강세일⚡디자인: 딜라이트우드 / 두께 / 폭: 1.2cm/110cm / 길이: 950cm</t>
  </si>
  <si>
    <t>🌠넾다세일🌠⚡강세일⚡디자인: 딜라이트우드 / 두께 / 폭: 1.2cm/120cm / 길이: 1000cm</t>
  </si>
  <si>
    <t>🌠넾다세일🌠⚡강세일⚡디자인: 딜라이트우드 / 두께 / 폭: 1.2cm/120cm / 길이: 100cm</t>
  </si>
  <si>
    <t>🌠넾다세일🌠⚡강세일⚡디자인: 딜라이트우드 / 두께 / 폭: 1.2cm/120cm / 길이: 1050cm</t>
  </si>
  <si>
    <t>🌠넾다세일🌠⚡강세일⚡디자인: 딜라이트우드 / 두께 / 폭: 1.2cm/120cm / 길이: 1100cm</t>
  </si>
  <si>
    <t>🌠넾다세일🌠⚡강세일⚡디자인: 딜라이트우드 / 두께 / 폭: 1.2cm/120cm / 길이: 1150cm</t>
  </si>
  <si>
    <t>🌠넾다세일🌠⚡강세일⚡디자인: 딜라이트우드 / 두께 / 폭: 1.2cm/120cm / 길이: 1200cm</t>
  </si>
  <si>
    <t>🌠넾다세일🌠⚡강세일⚡디자인: 딜라이트우드 / 두께 / 폭: 1.2cm/120cm / 길이: 150cm</t>
  </si>
  <si>
    <t>🌠넾다세일🌠⚡강세일⚡디자인: 딜라이트우드 / 두께 / 폭: 1.2cm/120cm / 길이: 200cm</t>
  </si>
  <si>
    <t>🌠넾다세일🌠⚡강세일⚡디자인: 딜라이트우드 / 두께 / 폭: 1.2cm/120cm / 길이: 250cm</t>
  </si>
  <si>
    <t>🌠넾다세일🌠⚡강세일⚡디자인: 딜라이트우드 / 두께 / 폭: 1.2cm/120cm / 길이: 300cm</t>
  </si>
  <si>
    <t>🌠넾다세일🌠⚡강세일⚡디자인: 딜라이트우드 / 두께 / 폭: 1.2cm/120cm / 길이: 350cm</t>
  </si>
  <si>
    <t>🌠넾다세일🌠⚡강세일⚡디자인: 딜라이트우드 / 두께 / 폭: 1.2cm/120cm / 길이: 400cm</t>
  </si>
  <si>
    <t>🌠넾다세일🌠⚡강세일⚡디자인: 딜라이트우드 / 두께 / 폭: 1.2cm/120cm / 길이: 450cm</t>
  </si>
  <si>
    <t>🌠넾다세일🌠⚡강세일⚡디자인: 딜라이트우드 / 두께 / 폭: 1.2cm/120cm / 길이: 500cm</t>
  </si>
  <si>
    <t>🌠넾다세일🌠⚡강세일⚡디자인: 딜라이트우드 / 두께 / 폭: 1.2cm/120cm / 길이: 550cm</t>
  </si>
  <si>
    <t>🌠넾다세일🌠⚡강세일⚡디자인: 딜라이트우드 / 두께 / 폭: 1.2cm/120cm / 길이: 600cm</t>
  </si>
  <si>
    <t>🌠넾다세일🌠⚡강세일⚡디자인: 딜라이트우드 / 두께 / 폭: 1.2cm/120cm / 길이: 650cm</t>
  </si>
  <si>
    <t>🌠넾다세일🌠⚡강세일⚡디자인: 딜라이트우드 / 두께 / 폭: 1.2cm/120cm / 길이: 700cm</t>
  </si>
  <si>
    <t>🌠넾다세일🌠⚡강세일⚡디자인: 딜라이트우드 / 두께 / 폭: 1.2cm/120cm / 길이: 750cm</t>
  </si>
  <si>
    <t>🌠넾다세일🌠⚡강세일⚡디자인: 딜라이트우드 / 두께 / 폭: 1.2cm/120cm / 길이: 800cm</t>
  </si>
  <si>
    <t>🌠넾다세일🌠⚡강세일⚡디자인: 딜라이트우드 / 두께 / 폭: 1.2cm/120cm / 길이: 850cm</t>
  </si>
  <si>
    <t>🌠넾다세일🌠⚡강세일⚡디자인: 딜라이트우드 / 두께 / 폭: 1.2cm/120cm / 길이: 900cm</t>
  </si>
  <si>
    <t>🌠넾다세일🌠⚡강세일⚡디자인: 딜라이트우드 / 두께 / 폭: 1.2cm/120cm / 길이: 950cm</t>
  </si>
  <si>
    <t>🌠넾다세일🌠⚡강세일⚡디자인: 딜라이트우드 / 두께 / 폭: 1.2cm/140cm / 길이: 1000cm</t>
  </si>
  <si>
    <t>🌠넾다세일🌠⚡강세일⚡디자인: 딜라이트우드 / 두께 / 폭: 1.2cm/140cm / 길이: 100cm</t>
  </si>
  <si>
    <t>🌠넾다세일🌠⚡강세일⚡디자인: 딜라이트우드 / 두께 / 폭: 1.2cm/140cm / 길이: 1050cm</t>
  </si>
  <si>
    <t>🌠넾다세일🌠⚡강세일⚡디자인: 딜라이트우드 / 두께 / 폭: 1.2cm/140cm / 길이: 1100cm</t>
  </si>
  <si>
    <t>🌠넾다세일🌠⚡강세일⚡디자인: 딜라이트우드 / 두께 / 폭: 1.2cm/140cm / 길이: 1150cm</t>
  </si>
  <si>
    <t>🌠넾다세일🌠⚡강세일⚡디자인: 딜라이트우드 / 두께 / 폭: 1.2cm/140cm / 길이: 1200cm</t>
  </si>
  <si>
    <t>🌠넾다세일🌠⚡강세일⚡디자인: 딜라이트우드 / 두께 / 폭: 1.2cm/140cm / 길이: 150cm</t>
  </si>
  <si>
    <t>🌠넾다세일🌠⚡강세일⚡디자인: 딜라이트우드 / 두께 / 폭: 1.2cm/140cm / 길이: 200cm</t>
  </si>
  <si>
    <t>🌠넾다세일🌠⚡강세일⚡디자인: 딜라이트우드 / 두께 / 폭: 1.2cm/140cm / 길이: 250cm</t>
  </si>
  <si>
    <t>🌠넾다세일🌠⚡강세일⚡디자인: 딜라이트우드 / 두께 / 폭: 1.2cm/140cm / 길이: 300cm</t>
  </si>
  <si>
    <t>🌠넾다세일🌠⚡강세일⚡디자인: 딜라이트우드 / 두께 / 폭: 1.2cm/140cm / 길이: 350cm</t>
  </si>
  <si>
    <t>🌠넾다세일🌠⚡강세일⚡디자인: 딜라이트우드 / 두께 / 폭: 1.2cm/140cm / 길이: 400cm</t>
  </si>
  <si>
    <t>🌠넾다세일🌠⚡강세일⚡디자인: 딜라이트우드 / 두께 / 폭: 1.2cm/140cm / 길이: 450cm</t>
  </si>
  <si>
    <t>🌠넾다세일🌠⚡강세일⚡디자인: 딜라이트우드 / 두께 / 폭: 1.2cm/140cm / 길이: 500cm</t>
  </si>
  <si>
    <t>🌠넾다세일🌠⚡강세일⚡디자인: 딜라이트우드 / 두께 / 폭: 1.2cm/140cm / 길이: 550cm</t>
  </si>
  <si>
    <t>🌠넾다세일🌠⚡강세일⚡디자인: 딜라이트우드 / 두께 / 폭: 1.2cm/140cm / 길이: 600cm</t>
  </si>
  <si>
    <t>🌠넾다세일🌠⚡강세일⚡디자인: 딜라이트우드 / 두께 / 폭: 1.2cm/140cm / 길이: 650cm</t>
  </si>
  <si>
    <t>🌠넾다세일🌠⚡강세일⚡디자인: 딜라이트우드 / 두께 / 폭: 1.2cm/140cm / 길이: 700cm</t>
  </si>
  <si>
    <t>🌠넾다세일🌠⚡강세일⚡디자인: 딜라이트우드 / 두께 / 폭: 1.2cm/140cm / 길이: 750cm</t>
  </si>
  <si>
    <t>🌠넾다세일🌠⚡강세일⚡디자인: 딜라이트우드 / 두께 / 폭: 1.2cm/140cm / 길이: 800cm</t>
  </si>
  <si>
    <t>🌠넾다세일🌠⚡강세일⚡디자인: 딜라이트우드 / 두께 / 폭: 1.2cm/140cm / 길이: 850cm</t>
  </si>
  <si>
    <t>🌠넾다세일🌠⚡강세일⚡디자인: 딜라이트우드 / 두께 / 폭: 1.2cm/140cm / 길이: 900cm</t>
  </si>
  <si>
    <t>🌠넾다세일🌠⚡강세일⚡디자인: 딜라이트우드 / 두께 / 폭: 1.2cm/140cm / 길이: 950cm</t>
  </si>
  <si>
    <t>🌠넾다세일🌠⚡강세일⚡디자인: 딜라이트우드 / 두께 / 폭: 1.4cm/110cm / 길이: 1000cm</t>
  </si>
  <si>
    <t>🌠넾다세일🌠⚡강세일⚡디자인: 딜라이트우드 / 두께 / 폭: 1.4cm/110cm / 길이: 100cm</t>
  </si>
  <si>
    <t>🌠넾다세일🌠⚡강세일⚡디자인: 딜라이트우드 / 두께 / 폭: 1.4cm/110cm / 길이: 1050cm</t>
  </si>
  <si>
    <t>🌠넾다세일🌠⚡강세일⚡디자인: 딜라이트우드 / 두께 / 폭: 1.4cm/110cm / 길이: 1100cm</t>
  </si>
  <si>
    <t>🌠넾다세일🌠⚡강세일⚡디자인: 딜라이트우드 / 두께 / 폭: 1.4cm/110cm / 길이: 1150cm</t>
  </si>
  <si>
    <t>🌠넾다세일🌠⚡강세일⚡디자인: 딜라이트우드 / 두께 / 폭: 1.4cm/110cm / 길이: 1200cm</t>
  </si>
  <si>
    <t>🌠넾다세일🌠⚡강세일⚡디자인: 딜라이트우드 / 두께 / 폭: 1.4cm/110cm / 길이: 150cm</t>
  </si>
  <si>
    <t>🌠넾다세일🌠⚡강세일⚡디자인: 딜라이트우드 / 두께 / 폭: 1.4cm/110cm / 길이: 200cm</t>
  </si>
  <si>
    <t>🌠넾다세일🌠⚡강세일⚡디자인: 딜라이트우드 / 두께 / 폭: 1.4cm/110cm / 길이: 250cm</t>
  </si>
  <si>
    <t>🌠넾다세일🌠⚡강세일⚡디자인: 딜라이트우드 / 두께 / 폭: 1.4cm/110cm / 길이: 300cm</t>
  </si>
  <si>
    <t>🌠넾다세일🌠⚡강세일⚡디자인: 딜라이트우드 / 두께 / 폭: 1.4cm/110cm / 길이: 350cm</t>
  </si>
  <si>
    <t>🌠넾다세일🌠⚡강세일⚡디자인: 딜라이트우드 / 두께 / 폭: 1.4cm/110cm / 길이: 400cm</t>
  </si>
  <si>
    <t>🌠넾다세일🌠⚡강세일⚡디자인: 딜라이트우드 / 두께 / 폭: 1.4cm/110cm / 길이: 450cm</t>
  </si>
  <si>
    <t>🌠넾다세일🌠⚡강세일⚡디자인: 딜라이트우드 / 두께 / 폭: 1.4cm/110cm / 길이: 500cm</t>
  </si>
  <si>
    <t>🌠넾다세일🌠⚡강세일⚡디자인: 딜라이트우드 / 두께 / 폭: 1.4cm/110cm / 길이: 550cm</t>
  </si>
  <si>
    <t>🌠넾다세일🌠⚡강세일⚡디자인: 딜라이트우드 / 두께 / 폭: 1.4cm/110cm / 길이: 600cm</t>
  </si>
  <si>
    <t>🌠넾다세일🌠⚡강세일⚡디자인: 딜라이트우드 / 두께 / 폭: 1.4cm/110cm / 길이: 650cm</t>
  </si>
  <si>
    <t>🌠넾다세일🌠⚡강세일⚡디자인: 딜라이트우드 / 두께 / 폭: 1.4cm/110cm / 길이: 700cm</t>
  </si>
  <si>
    <t>🌠넾다세일🌠⚡강세일⚡디자인: 딜라이트우드 / 두께 / 폭: 1.4cm/110cm / 길이: 750cm</t>
  </si>
  <si>
    <t>🌠넾다세일🌠⚡강세일⚡디자인: 딜라이트우드 / 두께 / 폭: 1.4cm/110cm / 길이: 800cm</t>
  </si>
  <si>
    <t>🌠넾다세일🌠⚡강세일⚡디자인: 딜라이트우드 / 두께 / 폭: 1.4cm/110cm / 길이: 850cm</t>
  </si>
  <si>
    <t>🌠넾다세일🌠⚡강세일⚡디자인: 딜라이트우드 / 두께 / 폭: 1.4cm/110cm / 길이: 900cm</t>
  </si>
  <si>
    <t>🌠넾다세일🌠⚡강세일⚡디자인: 딜라이트우드 / 두께 / 폭: 1.4cm/110cm / 길이: 950cm</t>
  </si>
  <si>
    <t>🌠넾다세일🌠⚡강세일⚡디자인: 딜라이트우드 / 두께 / 폭: 1.4cm/120cm / 길이: 1000cm</t>
  </si>
  <si>
    <t>🌠넾다세일🌠⚡강세일⚡디자인: 딜라이트우드 / 두께 / 폭: 1.4cm/120cm / 길이: 100cm</t>
  </si>
  <si>
    <t>🌠넾다세일🌠⚡강세일⚡디자인: 딜라이트우드 / 두께 / 폭: 1.4cm/120cm / 길이: 150cm</t>
  </si>
  <si>
    <t>🌠넾다세일🌠⚡강세일⚡디자인: 딜라이트우드 / 두께 / 폭: 1.4cm/120cm / 길이: 200cm</t>
  </si>
  <si>
    <t>🌠넾다세일🌠⚡강세일⚡디자인: 딜라이트우드 / 두께 / 폭: 1.4cm/120cm / 길이: 250cm</t>
  </si>
  <si>
    <t>🌠넾다세일🌠⚡강세일⚡디자인: 딜라이트우드 / 두께 / 폭: 1.4cm/120cm / 길이: 300cm</t>
  </si>
  <si>
    <t>🌠넾다세일🌠⚡강세일⚡디자인: 딜라이트우드 / 두께 / 폭: 1.4cm/120cm / 길이: 350cm</t>
  </si>
  <si>
    <t>🌠넾다세일🌠⚡강세일⚡디자인: 딜라이트우드 / 두께 / 폭: 1.4cm/120cm / 길이: 400cm</t>
  </si>
  <si>
    <t>🌠넾다세일🌠⚡강세일⚡디자인: 딜라이트우드 / 두께 / 폭: 1.4cm/120cm / 길이: 450cm</t>
  </si>
  <si>
    <t>🌠넾다세일🌠⚡강세일⚡디자인: 딜라이트우드 / 두께 / 폭: 1.4cm/120cm / 길이: 500cm</t>
  </si>
  <si>
    <t>🌠넾다세일🌠⚡강세일⚡디자인: 딜라이트우드 / 두께 / 폭: 1.4cm/120cm / 길이: 550cm</t>
  </si>
  <si>
    <t>🌠넾다세일🌠⚡강세일⚡디자인: 딜라이트우드 / 두께 / 폭: 1.4cm/120cm / 길이: 600cm</t>
  </si>
  <si>
    <t>🌠넾다세일🌠⚡강세일⚡디자인: 딜라이트우드 / 두께 / 폭: 1.4cm/120cm / 길이: 650cm</t>
  </si>
  <si>
    <t>🌠넾다세일🌠⚡강세일⚡디자인: 딜라이트우드 / 두께 / 폭: 1.4cm/120cm / 길이: 700cm</t>
  </si>
  <si>
    <t>🌠넾다세일🌠⚡강세일⚡디자인: 딜라이트우드 / 두께 / 폭: 1.4cm/120cm / 길이: 750cm</t>
  </si>
  <si>
    <t>🌠넾다세일🌠⚡강세일⚡디자인: 딜라이트우드 / 두께 / 폭: 1.4cm/120cm / 길이: 800cm</t>
  </si>
  <si>
    <t>🌠넾다세일🌠⚡강세일⚡디자인: 딜라이트우드 / 두께 / 폭: 1.4cm/120cm / 길이: 850cm</t>
  </si>
  <si>
    <t>🌠넾다세일🌠⚡강세일⚡디자인: 딜라이트우드 / 두께 / 폭: 1.4cm/120cm / 길이: 900cm</t>
  </si>
  <si>
    <t>🌠넾다세일🌠⚡강세일⚡디자인: 딜라이트우드 / 두께 / 폭: 1.4cm/120cm / 길이: 950cm</t>
  </si>
  <si>
    <t>🌠넾다세일🌠⚡강세일⚡디자인: 딜라이트우드 / 두께 / 폭: 1.4cm/140cm / 길이: 1000cm</t>
  </si>
  <si>
    <t>🌠넾다세일🌠⚡강세일⚡디자인: 딜라이트우드 / 두께 / 폭: 1.4cm/140cm / 길이: 100cm</t>
  </si>
  <si>
    <t>🌠넾다세일🌠⚡강세일⚡디자인: 딜라이트우드 / 두께 / 폭: 1.4cm/140cm / 길이: 1050cm</t>
  </si>
  <si>
    <t>🌠넾다세일🌠⚡강세일⚡디자인: 딜라이트우드 / 두께 / 폭: 1.4cm/140cm / 길이: 1100cm</t>
  </si>
  <si>
    <t>🌠넾다세일🌠⚡강세일⚡디자인: 딜라이트우드 / 두께 / 폭: 1.4cm/140cm / 길이: 1150cm</t>
  </si>
  <si>
    <t>🌠넾다세일🌠⚡강세일⚡디자인: 딜라이트우드 / 두께 / 폭: 1.4cm/140cm / 길이: 1200cm</t>
  </si>
  <si>
    <t>🌠넾다세일🌠⚡강세일⚡디자인: 딜라이트우드 / 두께 / 폭: 1.4cm/140cm / 길이: 150cm</t>
  </si>
  <si>
    <t>🌠넾다세일🌠⚡강세일⚡디자인: 딜라이트우드 / 두께 / 폭: 1.4cm/140cm / 길이: 200cm</t>
  </si>
  <si>
    <t>🌠넾다세일🌠⚡강세일⚡디자인: 딜라이트우드 / 두께 / 폭: 1.4cm/140cm / 길이: 250cm</t>
  </si>
  <si>
    <t>🌠넾다세일🌠⚡강세일⚡디자인: 딜라이트우드 / 두께 / 폭: 1.4cm/140cm / 길이: 300cm</t>
  </si>
  <si>
    <t>🌠넾다세일🌠⚡강세일⚡디자인: 딜라이트우드 / 두께 / 폭: 1.4cm/140cm / 길이: 350cm</t>
  </si>
  <si>
    <t>🌠넾다세일🌠⚡강세일⚡디자인: 딜라이트우드 / 두께 / 폭: 1.4cm/140cm / 길이: 400cm</t>
  </si>
  <si>
    <t>🌠넾다세일🌠⚡강세일⚡디자인: 딜라이트우드 / 두께 / 폭: 1.4cm/140cm / 길이: 450cm</t>
  </si>
  <si>
    <t>🌠넾다세일🌠⚡강세일⚡디자인: 딜라이트우드 / 두께 / 폭: 1.4cm/140cm / 길이: 500cm</t>
  </si>
  <si>
    <t>🌠넾다세일🌠⚡강세일⚡디자인: 딜라이트우드 / 두께 / 폭: 1.4cm/140cm / 길이: 550cm</t>
  </si>
  <si>
    <t>🌠넾다세일🌠⚡강세일⚡디자인: 딜라이트우드 / 두께 / 폭: 1.4cm/140cm / 길이: 600cm</t>
  </si>
  <si>
    <t>🌠넾다세일🌠⚡강세일⚡디자인: 딜라이트우드 / 두께 / 폭: 1.4cm/140cm / 길이: 650cm</t>
  </si>
  <si>
    <t>🌠넾다세일🌠⚡강세일⚡디자인: 딜라이트우드 / 두께 / 폭: 1.4cm/140cm / 길이: 700cm</t>
  </si>
  <si>
    <t>🌠넾다세일🌠⚡강세일⚡디자인: 딜라이트우드 / 두께 / 폭: 1.4cm/140cm / 길이: 750cm</t>
  </si>
  <si>
    <t>🌠넾다세일🌠⚡강세일⚡디자인: 딜라이트우드 / 두께 / 폭: 1.4cm/140cm / 길이: 800cm</t>
  </si>
  <si>
    <t>🌠넾다세일🌠⚡강세일⚡디자인: 딜라이트우드 / 두께 / 폭: 1.4cm/140cm / 길이: 850cm</t>
  </si>
  <si>
    <t>🌠넾다세일🌠⚡강세일⚡디자인: 딜라이트우드 / 두께 / 폭: 1.4cm/140cm / 길이: 900cm</t>
  </si>
  <si>
    <t>🌠넾다세일🌠⚡강세일⚡디자인: 딜라이트우드 / 두께 / 폭: 1.4cm/140cm / 길이: 950cm</t>
  </si>
  <si>
    <t>🌠넾다세일🌠⚡강세일⚡디자인: 딜라이트우드 / 두께 / 폭: 1.7cm/110cm / 길이: 1000cm</t>
  </si>
  <si>
    <t>🌠넾다세일🌠⚡강세일⚡디자인: 딜라이트우드 / 두께 / 폭: 1.7cm/110cm / 길이: 100cm</t>
  </si>
  <si>
    <t>🌠넾다세일🌠⚡강세일⚡디자인: 딜라이트우드 / 두께 / 폭: 1.7cm/110cm / 길이: 1050cm</t>
  </si>
  <si>
    <t>🌠넾다세일🌠⚡강세일⚡디자인: 딜라이트우드 / 두께 / 폭: 1.7cm/110cm / 길이: 1100cm</t>
  </si>
  <si>
    <t>🌠넾다세일🌠⚡강세일⚡디자인: 딜라이트우드 / 두께 / 폭: 1.7cm/110cm / 길이: 1150cm</t>
  </si>
  <si>
    <t>🌠넾다세일🌠⚡강세일⚡디자인: 딜라이트우드 / 두께 / 폭: 1.7cm/110cm / 길이: 1200cm</t>
  </si>
  <si>
    <t>🌠넾다세일🌠⚡강세일⚡디자인: 딜라이트우드 / 두께 / 폭: 1.7cm/110cm / 길이: 150cm</t>
  </si>
  <si>
    <t>🌠넾다세일🌠⚡강세일⚡디자인: 딜라이트우드 / 두께 / 폭: 1.7cm/110cm / 길이: 200cm</t>
  </si>
  <si>
    <t>🌠넾다세일🌠⚡강세일⚡디자인: 딜라이트우드 / 두께 / 폭: 1.7cm/110cm / 길이: 250cm</t>
  </si>
  <si>
    <t>🌠넾다세일🌠⚡강세일⚡디자인: 딜라이트우드 / 두께 / 폭: 1.7cm/110cm / 길이: 300cm</t>
  </si>
  <si>
    <t>🌠넾다세일🌠⚡강세일⚡디자인: 딜라이트우드 / 두께 / 폭: 1.7cm/110cm / 길이: 350cm</t>
  </si>
  <si>
    <t>🌠넾다세일🌠⚡강세일⚡디자인: 딜라이트우드 / 두께 / 폭: 1.7cm/110cm / 길이: 400cm</t>
  </si>
  <si>
    <t>🌠넾다세일🌠⚡강세일⚡디자인: 딜라이트우드 / 두께 / 폭: 1.7cm/110cm / 길이: 450cm</t>
  </si>
  <si>
    <t>🌠넾다세일🌠⚡강세일⚡디자인: 딜라이트우드 / 두께 / 폭: 1.7cm/110cm / 길이: 500cm</t>
  </si>
  <si>
    <t>🌠넾다세일🌠⚡강세일⚡디자인: 딜라이트우드 / 두께 / 폭: 1.7cm/110cm / 길이: 550cm</t>
  </si>
  <si>
    <t>🌠넾다세일🌠⚡강세일⚡디자인: 딜라이트우드 / 두께 / 폭: 1.7cm/110cm / 길이: 600cm</t>
  </si>
  <si>
    <t>🌠넾다세일🌠⚡강세일⚡디자인: 딜라이트우드 / 두께 / 폭: 1.7cm/110cm / 길이: 650cm</t>
  </si>
  <si>
    <t>🌠넾다세일🌠⚡강세일⚡디자인: 딜라이트우드 / 두께 / 폭: 1.7cm/110cm / 길이: 700cm</t>
  </si>
  <si>
    <t>🌠넾다세일🌠⚡강세일⚡디자인: 딜라이트우드 / 두께 / 폭: 1.7cm/110cm / 길이: 750cm</t>
  </si>
  <si>
    <t>🌠넾다세일🌠⚡강세일⚡디자인: 딜라이트우드 / 두께 / 폭: 1.7cm/110cm / 길이: 800cm</t>
  </si>
  <si>
    <t>🌠넾다세일🌠⚡강세일⚡디자인: 딜라이트우드 / 두께 / 폭: 1.7cm/110cm / 길이: 850cm</t>
  </si>
  <si>
    <t>🌠넾다세일🌠⚡강세일⚡디자인: 딜라이트우드 / 두께 / 폭: 1.7cm/110cm / 길이: 900cm</t>
  </si>
  <si>
    <t>🌠넾다세일🌠⚡강세일⚡디자인: 딜라이트우드 / 두께 / 폭: 1.7cm/110cm / 길이: 950cm</t>
  </si>
  <si>
    <t>🌠넾다세일🌠⚡강세일⚡디자인: 딜라이트우드 / 두께 / 폭: 1.7cm/120cm / 길이: 1000cm</t>
  </si>
  <si>
    <t>🌠넾다세일🌠⚡강세일⚡디자인: 딜라이트우드 / 두께 / 폭: 1.7cm/120cm / 길이: 100cm</t>
  </si>
  <si>
    <t>🌠넾다세일🌠⚡강세일⚡디자인: 딜라이트우드 / 두께 / 폭: 1.7cm/120cm / 길이: 1050cm</t>
  </si>
  <si>
    <t>🌠넾다세일🌠⚡강세일⚡디자인: 딜라이트우드 / 두께 / 폭: 1.7cm/120cm / 길이: 1100cm</t>
  </si>
  <si>
    <t>🌠넾다세일🌠⚡강세일⚡디자인: 딜라이트우드 / 두께 / 폭: 1.7cm/120cm / 길이: 1150cm</t>
  </si>
  <si>
    <t>🌠넾다세일🌠⚡강세일⚡디자인: 딜라이트우드 / 두께 / 폭: 1.7cm/120cm / 길이: 1200cm</t>
  </si>
  <si>
    <t>🌠넾다세일🌠⚡강세일⚡디자인: 딜라이트우드 / 두께 / 폭: 1.7cm/120cm / 길이: 150cm</t>
  </si>
  <si>
    <t>🌠넾다세일🌠⚡강세일⚡디자인: 딜라이트우드 / 두께 / 폭: 1.7cm/120cm / 길이: 200cm</t>
  </si>
  <si>
    <t>🌠넾다세일🌠⚡강세일⚡디자인: 딜라이트우드 / 두께 / 폭: 1.7cm/120cm / 길이: 250cm</t>
  </si>
  <si>
    <t>🌠넾다세일🌠⚡강세일⚡디자인: 딜라이트우드 / 두께 / 폭: 1.7cm/120cm / 길이: 300cm</t>
  </si>
  <si>
    <t>🌠넾다세일🌠⚡강세일⚡디자인: 딜라이트우드 / 두께 / 폭: 1.7cm/120cm / 길이: 350cm</t>
  </si>
  <si>
    <t>🌠넾다세일🌠⚡강세일⚡디자인: 딜라이트우드 / 두께 / 폭: 1.7cm/120cm / 길이: 400cm</t>
  </si>
  <si>
    <t>🌠넾다세일🌠⚡강세일⚡디자인: 딜라이트우드 / 두께 / 폭: 1.7cm/120cm / 길이: 450cm</t>
  </si>
  <si>
    <t>🌠넾다세일🌠⚡강세일⚡디자인: 딜라이트우드 / 두께 / 폭: 1.7cm/120cm / 길이: 500cm</t>
  </si>
  <si>
    <t>🌠넾다세일🌠⚡강세일⚡디자인: 딜라이트우드 / 두께 / 폭: 1.7cm/120cm / 길이: 550cm</t>
  </si>
  <si>
    <t>🌠넾다세일🌠⚡강세일⚡디자인: 딜라이트우드 / 두께 / 폭: 1.7cm/120cm / 길이: 600cm</t>
  </si>
  <si>
    <t>🌠넾다세일🌠⚡강세일⚡디자인: 딜라이트우드 / 두께 / 폭: 1.7cm/120cm / 길이: 650cm</t>
  </si>
  <si>
    <t>🌠넾다세일🌠⚡강세일⚡디자인: 딜라이트우드 / 두께 / 폭: 1.7cm/120cm / 길이: 700cm</t>
  </si>
  <si>
    <t>🌠넾다세일🌠⚡강세일⚡디자인: 딜라이트우드 / 두께 / 폭: 1.7cm/120cm / 길이: 750cm</t>
  </si>
  <si>
    <t>🌠넾다세일🌠⚡강세일⚡디자인: 딜라이트우드 / 두께 / 폭: 1.7cm/120cm / 길이: 800cm</t>
  </si>
  <si>
    <t>🌠넾다세일🌠⚡강세일⚡디자인: 딜라이트우드 / 두께 / 폭: 1.7cm/120cm / 길이: 850cm</t>
  </si>
  <si>
    <t>🌠넾다세일🌠⚡강세일⚡디자인: 딜라이트우드 / 두께 / 폭: 1.7cm/120cm / 길이: 900cm</t>
  </si>
  <si>
    <t>🌠넾다세일🌠⚡강세일⚡디자인: 딜라이트우드 / 두께 / 폭: 1.7cm/120cm / 길이: 950cm</t>
  </si>
  <si>
    <t>🌠넾다세일🌠⚡강세일⚡디자인: 딜라이트우드 / 두께 / 폭: 1.7cm/140cm / 길이: 1000cm</t>
  </si>
  <si>
    <t>🌠넾다세일🌠⚡강세일⚡디자인: 딜라이트우드 / 두께 / 폭: 1.7cm/140cm / 길이: 100cm</t>
  </si>
  <si>
    <t>🌠넾다세일🌠⚡강세일⚡디자인: 딜라이트우드 / 두께 / 폭: 1.7cm/140cm / 길이: 1050cm</t>
  </si>
  <si>
    <t>🌠넾다세일🌠⚡강세일⚡디자인: 딜라이트우드 / 두께 / 폭: 1.7cm/140cm / 길이: 1100cm</t>
  </si>
  <si>
    <t>🌠넾다세일🌠⚡강세일⚡디자인: 딜라이트우드 / 두께 / 폭: 1.7cm/140cm / 길이: 1150cm</t>
  </si>
  <si>
    <t>🌠넾다세일🌠⚡강세일⚡디자인: 딜라이트우드 / 두께 / 폭: 1.7cm/140cm / 길이: 1200cm</t>
  </si>
  <si>
    <t>🌠넾다세일🌠⚡강세일⚡디자인: 딜라이트우드 / 두께 / 폭: 1.7cm/140cm / 길이: 150cm</t>
  </si>
  <si>
    <t>🌠넾다세일🌠⚡강세일⚡디자인: 딜라이트우드 / 두께 / 폭: 1.7cm/140cm / 길이: 200cm</t>
  </si>
  <si>
    <t>🌠넾다세일🌠⚡강세일⚡디자인: 딜라이트우드 / 두께 / 폭: 1.7cm/140cm / 길이: 250cm</t>
  </si>
  <si>
    <t>🌠넾다세일🌠⚡강세일⚡디자인: 딜라이트우드 / 두께 / 폭: 1.7cm/140cm / 길이: 300cm</t>
  </si>
  <si>
    <t>🌠넾다세일🌠⚡강세일⚡디자인: 딜라이트우드 / 두께 / 폭: 1.7cm/140cm / 길이: 350cm</t>
  </si>
  <si>
    <t>🌠넾다세일🌠⚡강세일⚡디자인: 딜라이트우드 / 두께 / 폭: 1.7cm/140cm / 길이: 400cm</t>
  </si>
  <si>
    <t>🌠넾다세일🌠⚡강세일⚡디자인: 딜라이트우드 / 두께 / 폭: 1.7cm/140cm / 길이: 450cm</t>
  </si>
  <si>
    <t>🌠넾다세일🌠⚡강세일⚡디자인: 딜라이트우드 / 두께 / 폭: 1.7cm/140cm / 길이: 500cm</t>
  </si>
  <si>
    <t>🌠넾다세일🌠⚡강세일⚡디자인: 딜라이트우드 / 두께 / 폭: 1.7cm/140cm / 길이: 550cm</t>
  </si>
  <si>
    <t>🌠넾다세일🌠⚡강세일⚡디자인: 딜라이트우드 / 두께 / 폭: 1.7cm/140cm / 길이: 600cm</t>
  </si>
  <si>
    <t>🌠넾다세일🌠⚡강세일⚡디자인: 딜라이트우드 / 두께 / 폭: 1.7cm/140cm / 길이: 650cm</t>
  </si>
  <si>
    <t>🌠넾다세일🌠⚡강세일⚡디자인: 딜라이트우드 / 두께 / 폭: 1.7cm/140cm / 길이: 700cm</t>
  </si>
  <si>
    <t>🌠넾다세일🌠⚡강세일⚡디자인: 딜라이트우드 / 두께 / 폭: 1.7cm/140cm / 길이: 750cm</t>
  </si>
  <si>
    <t>🌠넾다세일🌠⚡강세일⚡디자인: 딜라이트우드 / 두께 / 폭: 1.7cm/140cm / 길이: 800cm</t>
  </si>
  <si>
    <t>🌠넾다세일🌠⚡강세일⚡디자인: 딜라이트우드 / 두께 / 폭: 1.7cm/140cm / 길이: 850cm</t>
  </si>
  <si>
    <t>🌠넾다세일🌠⚡강세일⚡디자인: 딜라이트우드 / 두께 / 폭: 1.7cm/140cm / 길이: 900cm</t>
  </si>
  <si>
    <t>🌠넾다세일🌠⚡강세일⚡디자인: 딜라이트우드 / 두께 / 폭: 1.7cm/140cm / 길이: 950cm</t>
  </si>
  <si>
    <t>🌠넾다세일🌠⚡강세일⚡디자인: 딜라이트우드 / 두께 / 폭: 2.3cm/110cm / 길이: 1000cm</t>
  </si>
  <si>
    <t>🌠넾다세일🌠⚡강세일⚡디자인: 딜라이트우드 / 두께 / 폭: 2.3cm/110cm / 길이: 100cm</t>
  </si>
  <si>
    <t>🌠넾다세일🌠⚡강세일⚡디자인: 딜라이트우드 / 두께 / 폭: 2.3cm/110cm / 길이: 1050cm</t>
  </si>
  <si>
    <t>🌠넾다세일🌠⚡강세일⚡디자인: 딜라이트우드 / 두께 / 폭: 2.3cm/110cm / 길이: 1100cm</t>
  </si>
  <si>
    <t>🌠넾다세일🌠⚡강세일⚡디자인: 딜라이트우드 / 두께 / 폭: 2.3cm/110cm / 길이: 1150cm</t>
  </si>
  <si>
    <t>🌠넾다세일🌠⚡강세일⚡디자인: 딜라이트우드 / 두께 / 폭: 2.3cm/110cm / 길이: 1200cm</t>
  </si>
  <si>
    <t>🌠넾다세일🌠⚡강세일⚡디자인: 딜라이트우드 / 두께 / 폭: 2.3cm/110cm / 길이: 150cm</t>
  </si>
  <si>
    <t>🌠넾다세일🌠⚡강세일⚡디자인: 딜라이트우드 / 두께 / 폭: 2.3cm/110cm / 길이: 200cm</t>
  </si>
  <si>
    <t>🌠넾다세일🌠⚡강세일⚡디자인: 딜라이트우드 / 두께 / 폭: 2.3cm/110cm / 길이: 250cm</t>
  </si>
  <si>
    <t>🌠넾다세일🌠⚡강세일⚡디자인: 딜라이트우드 / 두께 / 폭: 2.3cm/110cm / 길이: 300cm</t>
  </si>
  <si>
    <t>🌠넾다세일🌠⚡강세일⚡디자인: 딜라이트우드 / 두께 / 폭: 2.3cm/110cm / 길이: 350cm</t>
  </si>
  <si>
    <t>🌠넾다세일🌠⚡강세일⚡디자인: 딜라이트우드 / 두께 / 폭: 2.3cm/110cm / 길이: 400cm</t>
  </si>
  <si>
    <t>🌠넾다세일🌠⚡강세일⚡디자인: 딜라이트우드 / 두께 / 폭: 2.3cm/110cm / 길이: 450cm</t>
  </si>
  <si>
    <t>🌠넾다세일🌠⚡강세일⚡디자인: 딜라이트우드 / 두께 / 폭: 2.3cm/110cm / 길이: 500cm</t>
  </si>
  <si>
    <t>🌠넾다세일🌠⚡강세일⚡디자인: 딜라이트우드 / 두께 / 폭: 2.3cm/110cm / 길이: 550cm</t>
  </si>
  <si>
    <t>🌠넾다세일🌠⚡강세일⚡디자인: 딜라이트우드 / 두께 / 폭: 2.3cm/110cm / 길이: 600cm</t>
  </si>
  <si>
    <t>🌠넾다세일🌠⚡강세일⚡디자인: 딜라이트우드 / 두께 / 폭: 2.3cm/110cm / 길이: 650cm</t>
  </si>
  <si>
    <t>🌠넾다세일🌠⚡강세일⚡디자인: 딜라이트우드 / 두께 / 폭: 2.3cm/110cm / 길이: 700cm</t>
  </si>
  <si>
    <t>🌠넾다세일🌠⚡강세일⚡디자인: 딜라이트우드 / 두께 / 폭: 2.3cm/110cm / 길이: 750cm</t>
  </si>
  <si>
    <t>🌠넾다세일🌠⚡강세일⚡디자인: 딜라이트우드 / 두께 / 폭: 2.3cm/110cm / 길이: 800cm</t>
  </si>
  <si>
    <t>🌠넾다세일🌠⚡강세일⚡디자인: 딜라이트우드 / 두께 / 폭: 2.3cm/110cm / 길이: 850cm</t>
  </si>
  <si>
    <t>🌠넾다세일🌠⚡강세일⚡디자인: 딜라이트우드 / 두께 / 폭: 2.3cm/110cm / 길이: 900cm</t>
  </si>
  <si>
    <t>🌠넾다세일🌠⚡강세일⚡디자인: 딜라이트우드 / 두께 / 폭: 2.3cm/110cm / 길이: 950cm</t>
  </si>
  <si>
    <t>🌠넾다세일🌠⚡강세일⚡디자인: 딜라이트우드 / 두께 / 폭: 2.3cm/120cm / 길이: 1000cm</t>
  </si>
  <si>
    <t>🌠넾다세일🌠⚡강세일⚡디자인: 딜라이트우드 / 두께 / 폭: 2.3cm/120cm / 길이: 100cm</t>
  </si>
  <si>
    <t>🌠넾다세일🌠⚡강세일⚡디자인: 딜라이트우드 / 두께 / 폭: 2.3cm/120cm / 길이: 1050cm</t>
  </si>
  <si>
    <t>🌠넾다세일🌠⚡강세일⚡디자인: 딜라이트우드 / 두께 / 폭: 2.3cm/120cm / 길이: 1100cm</t>
  </si>
  <si>
    <t>🌠넾다세일🌠⚡강세일⚡디자인: 딜라이트우드 / 두께 / 폭: 2.3cm/120cm / 길이: 1150cm</t>
  </si>
  <si>
    <t>🌠넾다세일🌠⚡강세일⚡디자인: 딜라이트우드 / 두께 / 폭: 2.3cm/120cm / 길이: 1200cm</t>
  </si>
  <si>
    <t>🌠넾다세일🌠⚡강세일⚡디자인: 딜라이트우드 / 두께 / 폭: 2.3cm/120cm / 길이: 150cm</t>
  </si>
  <si>
    <t>🌠넾다세일🌠⚡강세일⚡디자인: 딜라이트우드 / 두께 / 폭: 2.3cm/120cm / 길이: 200cm</t>
  </si>
  <si>
    <t>🌠넾다세일🌠⚡강세일⚡디자인: 딜라이트우드 / 두께 / 폭: 2.3cm/120cm / 길이: 250cm</t>
  </si>
  <si>
    <t>🌠넾다세일🌠⚡강세일⚡디자인: 딜라이트우드 / 두께 / 폭: 2.3cm/120cm / 길이: 300cm</t>
  </si>
  <si>
    <t>🌠넾다세일🌠⚡강세일⚡디자인: 딜라이트우드 / 두께 / 폭: 2.3cm/120cm / 길이: 350cm</t>
  </si>
  <si>
    <t>🌠넾다세일🌠⚡강세일⚡디자인: 딜라이트우드 / 두께 / 폭: 2.3cm/120cm / 길이: 400cm</t>
  </si>
  <si>
    <t>🌠넾다세일🌠⚡강세일⚡디자인: 딜라이트우드 / 두께 / 폭: 2.3cm/120cm / 길이: 450cm</t>
  </si>
  <si>
    <t>🌠넾다세일🌠⚡강세일⚡디자인: 딜라이트우드 / 두께 / 폭: 2.3cm/120cm / 길이: 500cm</t>
  </si>
  <si>
    <t>🌠넾다세일🌠⚡강세일⚡디자인: 딜라이트우드 / 두께 / 폭: 2.3cm/120cm / 길이: 550cm</t>
  </si>
  <si>
    <t>🌠넾다세일🌠⚡강세일⚡디자인: 딜라이트우드 / 두께 / 폭: 2.3cm/120cm / 길이: 600cm</t>
  </si>
  <si>
    <t>🌠넾다세일🌠⚡강세일⚡디자인: 딜라이트우드 / 두께 / 폭: 2.3cm/120cm / 길이: 650cm</t>
  </si>
  <si>
    <t>🌠넾다세일🌠⚡강세일⚡디자인: 딜라이트우드 / 두께 / 폭: 2.3cm/120cm / 길이: 700cm</t>
  </si>
  <si>
    <t>🌠넾다세일🌠⚡강세일⚡디자인: 딜라이트우드 / 두께 / 폭: 2.3cm/120cm / 길이: 750cm</t>
  </si>
  <si>
    <t>🌠넾다세일🌠⚡강세일⚡디자인: 딜라이트우드 / 두께 / 폭: 2.3cm/120cm / 길이: 800cm</t>
  </si>
  <si>
    <t>🌠넾다세일🌠⚡강세일⚡디자인: 딜라이트우드 / 두께 / 폭: 2.3cm/120cm / 길이: 850cm</t>
  </si>
  <si>
    <t>🌠넾다세일🌠⚡강세일⚡디자인: 딜라이트우드 / 두께 / 폭: 2.3cm/120cm / 길이: 900cm</t>
  </si>
  <si>
    <t>🌠넾다세일🌠⚡강세일⚡디자인: 딜라이트우드 / 두께 / 폭: 2.3cm/120cm / 길이: 950cm</t>
  </si>
  <si>
    <t>디자인선택: 공룡 / 두께선택: 10T / 길이선택: 140x100</t>
    <phoneticPr fontId="1" type="noConversion"/>
  </si>
  <si>
    <t>(140)10TPE공룡</t>
    <phoneticPr fontId="1" type="noConversion"/>
  </si>
  <si>
    <t>디자인선택: 공룡 / 두께선택: 10T / 길이선택: 140x1000</t>
    <phoneticPr fontId="1" type="noConversion"/>
  </si>
  <si>
    <t>디자인선택: 공룡 / 두께선택: 10T / 길이선택: 140x200</t>
    <phoneticPr fontId="1" type="noConversion"/>
  </si>
  <si>
    <t>디자인선택: 공룡 / 두께선택: 10T / 길이선택: 140x300</t>
    <phoneticPr fontId="1" type="noConversion"/>
  </si>
  <si>
    <t>디자인선택: 공룡 / 두께선택: 10T / 길이선택: 140x400</t>
  </si>
  <si>
    <t>디자인선택: 공룡 / 두께선택: 10T / 길이선택: 140x500</t>
  </si>
  <si>
    <t>디자인선택: 공룡 / 두께선택: 10T / 길이선택: 140x600</t>
  </si>
  <si>
    <t>디자인선택: 공룡 / 두께선택: 10T / 길이선택: 140x700</t>
  </si>
  <si>
    <t>디자인선택: 공룡 / 두께선택: 10T / 길이선택: 140x800</t>
  </si>
  <si>
    <t>디자인선택: 공룡 / 두께선택: 10T / 길이선택: 140x900</t>
  </si>
  <si>
    <t>(140)15TPE공룡</t>
    <phoneticPr fontId="1" type="noConversion"/>
  </si>
  <si>
    <t>디자인선택: 공룡 / 두께선택: 15T / 길이선택: 140x100</t>
    <phoneticPr fontId="1" type="noConversion"/>
  </si>
  <si>
    <t>디자인선택: 공룡 / 두께선택: 15T / 길이선택: 140x200</t>
    <phoneticPr fontId="1" type="noConversion"/>
  </si>
  <si>
    <t>디자인선택: 공룡 / 두께선택: 15T / 길이선택: 140x400</t>
  </si>
  <si>
    <t>디자인선택: 공룡 / 두께선택: 15T / 길이선택: 140x500</t>
  </si>
  <si>
    <t>디자인선택: 공룡 / 두께선택: 15T / 길이선택: 140x600</t>
  </si>
  <si>
    <t>디자인선택: 공룡 / 두께선택: 15T / 길이선택: 140x700</t>
  </si>
  <si>
    <t>⚡강세일⚡디자인: 그레이캔버스 / 두께 / 폭: 1.2cm/110cm / 길이: 1000cm</t>
  </si>
  <si>
    <t>⚡강세일⚡디자인: 그레이캔버스 / 두께 / 폭: 1.2cm/110cm / 길이: 100cm</t>
  </si>
  <si>
    <t>⚡강세일⚡디자인: 그레이캔버스 / 두께 / 폭: 1.2cm/110cm / 길이: 1050cm</t>
  </si>
  <si>
    <t>⚡강세일⚡디자인: 그레이캔버스 / 두께 / 폭: 1.2cm/110cm / 길이: 1100cm</t>
  </si>
  <si>
    <t>⚡강세일⚡디자인: 그레이캔버스 / 두께 / 폭: 1.2cm/110cm / 길이: 1150cm</t>
  </si>
  <si>
    <t>⚡강세일⚡디자인: 그레이캔버스 / 두께 / 폭: 1.2cm/110cm / 길이: 1200cm</t>
  </si>
  <si>
    <t>⚡강세일⚡디자인: 그레이캔버스 / 두께 / 폭: 1.2cm/110cm / 길이: 150cm</t>
  </si>
  <si>
    <t>⚡강세일⚡디자인: 그레이캔버스 / 두께 / 폭: 1.2cm/110cm / 길이: 200cm</t>
  </si>
  <si>
    <t>⚡강세일⚡디자인: 그레이캔버스 / 두께 / 폭: 1.2cm/110cm / 길이: 250cm</t>
  </si>
  <si>
    <t>⚡강세일⚡디자인: 그레이캔버스 / 두께 / 폭: 1.2cm/110cm / 길이: 300cm</t>
  </si>
  <si>
    <t>⚡강세일⚡디자인: 그레이캔버스 / 두께 / 폭: 1.2cm/110cm / 길이: 350cm</t>
  </si>
  <si>
    <t>⚡강세일⚡디자인: 그레이캔버스 / 두께 / 폭: 1.2cm/110cm / 길이: 400cm</t>
  </si>
  <si>
    <t>⚡강세일⚡디자인: 그레이캔버스 / 두께 / 폭: 1.2cm/110cm / 길이: 450cm</t>
  </si>
  <si>
    <t>⚡강세일⚡디자인: 그레이캔버스 / 두께 / 폭: 1.2cm/110cm / 길이: 500cm</t>
  </si>
  <si>
    <t>⚡강세일⚡디자인: 그레이캔버스 / 두께 / 폭: 1.2cm/110cm / 길이: 550cm</t>
  </si>
  <si>
    <t>⚡강세일⚡디자인: 그레이캔버스 / 두께 / 폭: 1.2cm/110cm / 길이: 600cm</t>
  </si>
  <si>
    <t>⚡강세일⚡디자인: 그레이캔버스 / 두께 / 폭: 1.2cm/110cm / 길이: 650cm</t>
  </si>
  <si>
    <t>⚡강세일⚡디자인: 그레이캔버스 / 두께 / 폭: 1.2cm/110cm / 길이: 700cm</t>
  </si>
  <si>
    <t>⚡강세일⚡디자인: 그레이캔버스 / 두께 / 폭: 1.2cm/110cm / 길이: 750cm</t>
  </si>
  <si>
    <t>⚡강세일⚡디자인: 그레이캔버스 / 두께 / 폭: 1.2cm/110cm / 길이: 800cm</t>
  </si>
  <si>
    <t>⚡강세일⚡디자인: 그레이캔버스 / 두께 / 폭: 1.2cm/110cm / 길이: 850cm</t>
  </si>
  <si>
    <t>⚡강세일⚡디자인: 그레이캔버스 / 두께 / 폭: 1.2cm/110cm / 길이: 900cm</t>
  </si>
  <si>
    <t>⚡강세일⚡디자인: 그레이캔버스 / 두께 / 폭: 1.2cm/110cm / 길이: 950cm</t>
  </si>
  <si>
    <t>⚡강세일⚡디자인: 그레이캔버스 / 두께 / 폭: 1.2cm/120cm / 길이: 1000cm</t>
  </si>
  <si>
    <t>⚡강세일⚡디자인: 그레이캔버스 / 두께 / 폭: 1.2cm/120cm / 길이: 100cm</t>
  </si>
  <si>
    <t>⚡강세일⚡디자인: 그레이캔버스 / 두께 / 폭: 1.2cm/120cm / 길이: 1050cm</t>
  </si>
  <si>
    <t>⚡강세일⚡디자인: 그레이캔버스 / 두께 / 폭: 1.2cm/120cm / 길이: 1100cm</t>
  </si>
  <si>
    <t>⚡강세일⚡디자인: 그레이캔버스 / 두께 / 폭: 1.2cm/120cm / 길이: 1150cm</t>
  </si>
  <si>
    <t>⚡강세일⚡디자인: 그레이캔버스 / 두께 / 폭: 1.2cm/120cm / 길이: 1200cm</t>
  </si>
  <si>
    <t>⚡강세일⚡디자인: 그레이캔버스 / 두께 / 폭: 1.2cm/120cm / 길이: 150cm</t>
  </si>
  <si>
    <t>⚡강세일⚡디자인: 그레이캔버스 / 두께 / 폭: 1.2cm/120cm / 길이: 200cm</t>
  </si>
  <si>
    <t>⚡강세일⚡디자인: 그레이캔버스 / 두께 / 폭: 1.2cm/120cm / 길이: 250cm</t>
  </si>
  <si>
    <t>⚡강세일⚡디자인: 그레이캔버스 / 두께 / 폭: 1.2cm/120cm / 길이: 300cm</t>
  </si>
  <si>
    <t>⚡강세일⚡디자인: 그레이캔버스 / 두께 / 폭: 1.2cm/120cm / 길이: 350cm</t>
  </si>
  <si>
    <t>⚡강세일⚡디자인: 그레이캔버스 / 두께 / 폭: 1.2cm/120cm / 길이: 400cm</t>
  </si>
  <si>
    <t>⚡강세일⚡디자인: 그레이캔버스 / 두께 / 폭: 1.2cm/120cm / 길이: 450cm</t>
  </si>
  <si>
    <t>⚡강세일⚡디자인: 그레이캔버스 / 두께 / 폭: 1.2cm/120cm / 길이: 500cm</t>
  </si>
  <si>
    <t>⚡강세일⚡디자인: 그레이캔버스 / 두께 / 폭: 1.2cm/120cm / 길이: 550cm</t>
  </si>
  <si>
    <t>⚡강세일⚡디자인: 그레이캔버스 / 두께 / 폭: 1.2cm/120cm / 길이: 600cm</t>
  </si>
  <si>
    <t>⚡강세일⚡디자인: 그레이캔버스 / 두께 / 폭: 1.2cm/120cm / 길이: 650cm</t>
  </si>
  <si>
    <t>⚡강세일⚡디자인: 그레이캔버스 / 두께 / 폭: 1.2cm/120cm / 길이: 700cm</t>
  </si>
  <si>
    <t>⚡강세일⚡디자인: 그레이캔버스 / 두께 / 폭: 1.2cm/120cm / 길이: 750cm</t>
  </si>
  <si>
    <t>⚡강세일⚡디자인: 그레이캔버스 / 두께 / 폭: 1.2cm/120cm / 길이: 800cm</t>
  </si>
  <si>
    <t>⚡강세일⚡디자인: 그레이캔버스 / 두께 / 폭: 1.2cm/120cm / 길이: 850cm</t>
  </si>
  <si>
    <t>⚡강세일⚡디자인: 그레이캔버스 / 두께 / 폭: 1.2cm/120cm / 길이: 900cm</t>
  </si>
  <si>
    <t>⚡강세일⚡디자인: 그레이캔버스 / 두께 / 폭: 1.2cm/120cm / 길이: 950cm</t>
  </si>
  <si>
    <t>⚡강세일⚡디자인: 그레이캔버스 / 두께 / 폭: 1.2cm/140cm / 길이: 1000cm</t>
  </si>
  <si>
    <t>⚡강세일⚡디자인: 그레이캔버스 / 두께 / 폭: 1.2cm/140cm / 길이: 100cm</t>
  </si>
  <si>
    <t>⚡강세일⚡디자인: 그레이캔버스 / 두께 / 폭: 1.2cm/140cm / 길이: 1050cm</t>
  </si>
  <si>
    <t>⚡강세일⚡디자인: 그레이캔버스 / 두께 / 폭: 1.2cm/140cm / 길이: 1100cm</t>
  </si>
  <si>
    <t>⚡강세일⚡디자인: 그레이캔버스 / 두께 / 폭: 1.2cm/140cm / 길이: 1150cm</t>
  </si>
  <si>
    <t>⚡강세일⚡디자인: 그레이캔버스 / 두께 / 폭: 1.2cm/140cm / 길이: 1200cm</t>
  </si>
  <si>
    <t>⚡강세일⚡디자인: 그레이캔버스 / 두께 / 폭: 1.2cm/140cm / 길이: 150cm</t>
  </si>
  <si>
    <t>⚡강세일⚡디자인: 그레이캔버스 / 두께 / 폭: 1.2cm/140cm / 길이: 200cm</t>
  </si>
  <si>
    <t>⚡강세일⚡디자인: 그레이캔버스 / 두께 / 폭: 1.2cm/140cm / 길이: 250cm</t>
  </si>
  <si>
    <t>⚡강세일⚡디자인: 그레이캔버스 / 두께 / 폭: 1.2cm/140cm / 길이: 300cm</t>
  </si>
  <si>
    <t>⚡강세일⚡디자인: 그레이캔버스 / 두께 / 폭: 1.2cm/140cm / 길이: 350cm</t>
  </si>
  <si>
    <t>⚡강세일⚡디자인: 그레이캔버스 / 두께 / 폭: 1.2cm/140cm / 길이: 400cm</t>
  </si>
  <si>
    <t>⚡강세일⚡디자인: 그레이캔버스 / 두께 / 폭: 1.2cm/140cm / 길이: 450cm</t>
  </si>
  <si>
    <t>⚡강세일⚡디자인: 그레이캔버스 / 두께 / 폭: 1.2cm/140cm / 길이: 500cm</t>
  </si>
  <si>
    <t>⚡강세일⚡디자인: 그레이캔버스 / 두께 / 폭: 1.2cm/140cm / 길이: 550cm</t>
  </si>
  <si>
    <t>⚡강세일⚡디자인: 그레이캔버스 / 두께 / 폭: 1.2cm/140cm / 길이: 600cm</t>
  </si>
  <si>
    <t>⚡강세일⚡디자인: 그레이캔버스 / 두께 / 폭: 1.2cm/140cm / 길이: 650cm</t>
  </si>
  <si>
    <t>⚡강세일⚡디자인: 그레이캔버스 / 두께 / 폭: 1.2cm/140cm / 길이: 700cm</t>
  </si>
  <si>
    <t>⚡강세일⚡디자인: 그레이캔버스 / 두께 / 폭: 1.2cm/140cm / 길이: 750cm</t>
  </si>
  <si>
    <t>⚡강세일⚡디자인: 그레이캔버스 / 두께 / 폭: 1.2cm/140cm / 길이: 800cm</t>
  </si>
  <si>
    <t>⚡강세일⚡디자인: 그레이캔버스 / 두께 / 폭: 1.2cm/140cm / 길이: 850cm</t>
  </si>
  <si>
    <t>⚡강세일⚡디자인: 그레이캔버스 / 두께 / 폭: 1.2cm/140cm / 길이: 900cm</t>
  </si>
  <si>
    <t>⚡강세일⚡디자인: 그레이캔버스 / 두께 / 폭: 1.2cm/140cm / 길이: 950cm</t>
  </si>
  <si>
    <t>⚡강세일⚡디자인: 그레이캔버스 / 두께 / 폭: 1.4cm/110cm / 길이: 1000cm</t>
  </si>
  <si>
    <t>⚡강세일⚡디자인: 그레이캔버스 / 두께 / 폭: 1.4cm/110cm / 길이: 100cm</t>
  </si>
  <si>
    <t>⚡강세일⚡디자인: 그레이캔버스 / 두께 / 폭: 1.4cm/110cm / 길이: 1050cm</t>
  </si>
  <si>
    <t>⚡강세일⚡디자인: 그레이캔버스 / 두께 / 폭: 1.4cm/110cm / 길이: 1100cm</t>
  </si>
  <si>
    <t>⚡강세일⚡디자인: 그레이캔버스 / 두께 / 폭: 1.4cm/110cm / 길이: 1150cm</t>
  </si>
  <si>
    <t>⚡강세일⚡디자인: 그레이캔버스 / 두께 / 폭: 1.4cm/110cm / 길이: 1200cm</t>
  </si>
  <si>
    <t>⚡강세일⚡디자인: 그레이캔버스 / 두께 / 폭: 1.4cm/110cm / 길이: 150cm</t>
  </si>
  <si>
    <t>⚡강세일⚡디자인: 그레이캔버스 / 두께 / 폭: 1.4cm/110cm / 길이: 200cm</t>
  </si>
  <si>
    <t>⚡강세일⚡디자인: 그레이캔버스 / 두께 / 폭: 1.4cm/110cm / 길이: 250cm</t>
  </si>
  <si>
    <t>⚡강세일⚡디자인: 그레이캔버스 / 두께 / 폭: 1.4cm/110cm / 길이: 300cm</t>
  </si>
  <si>
    <t>⚡강세일⚡디자인: 그레이캔버스 / 두께 / 폭: 1.4cm/110cm / 길이: 350cm</t>
  </si>
  <si>
    <t>⚡강세일⚡디자인: 그레이캔버스 / 두께 / 폭: 1.4cm/110cm / 길이: 400cm</t>
  </si>
  <si>
    <t>⚡강세일⚡디자인: 그레이캔버스 / 두께 / 폭: 1.4cm/110cm / 길이: 450cm</t>
  </si>
  <si>
    <t>⚡강세일⚡디자인: 그레이캔버스 / 두께 / 폭: 1.4cm/110cm / 길이: 500cm</t>
  </si>
  <si>
    <t>⚡강세일⚡디자인: 그레이캔버스 / 두께 / 폭: 1.4cm/110cm / 길이: 550cm</t>
  </si>
  <si>
    <t>⚡강세일⚡디자인: 그레이캔버스 / 두께 / 폭: 1.4cm/110cm / 길이: 600cm</t>
  </si>
  <si>
    <t>⚡강세일⚡디자인: 그레이캔버스 / 두께 / 폭: 1.4cm/110cm / 길이: 650cm</t>
  </si>
  <si>
    <t>⚡강세일⚡디자인: 그레이캔버스 / 두께 / 폭: 1.4cm/110cm / 길이: 700cm</t>
  </si>
  <si>
    <t>⚡강세일⚡디자인: 그레이캔버스 / 두께 / 폭: 1.4cm/110cm / 길이: 750cm</t>
  </si>
  <si>
    <t>⚡강세일⚡디자인: 그레이캔버스 / 두께 / 폭: 1.4cm/110cm / 길이: 800cm</t>
  </si>
  <si>
    <t>⚡강세일⚡디자인: 그레이캔버스 / 두께 / 폭: 1.4cm/110cm / 길이: 850cm</t>
  </si>
  <si>
    <t>⚡강세일⚡디자인: 그레이캔버스 / 두께 / 폭: 1.4cm/110cm / 길이: 900cm</t>
  </si>
  <si>
    <t>⚡강세일⚡디자인: 그레이캔버스 / 두께 / 폭: 1.4cm/110cm / 길이: 950cm</t>
  </si>
  <si>
    <t>⚡강세일⚡디자인: 그레이캔버스 / 두께 / 폭: 1.4cm/120cm / 길이: 1000cm</t>
  </si>
  <si>
    <t>⚡강세일⚡디자인: 그레이캔버스 / 두께 / 폭: 1.4cm/120cm / 길이: 100cm</t>
  </si>
  <si>
    <t>⚡강세일⚡디자인: 그레이캔버스 / 두께 / 폭: 1.4cm/120cm / 길이: 150cm</t>
  </si>
  <si>
    <t>⚡강세일⚡디자인: 그레이캔버스 / 두께 / 폭: 1.4cm/120cm / 길이: 200cm</t>
  </si>
  <si>
    <t>⚡강세일⚡디자인: 그레이캔버스 / 두께 / 폭: 1.4cm/120cm / 길이: 250cm</t>
  </si>
  <si>
    <t>⚡강세일⚡디자인: 그레이캔버스 / 두께 / 폭: 1.4cm/120cm / 길이: 300cm</t>
  </si>
  <si>
    <t>⚡강세일⚡디자인: 그레이캔버스 / 두께 / 폭: 1.4cm/120cm / 길이: 350cm</t>
  </si>
  <si>
    <t>⚡강세일⚡디자인: 그레이캔버스 / 두께 / 폭: 1.4cm/120cm / 길이: 400cm</t>
  </si>
  <si>
    <t>⚡강세일⚡디자인: 그레이캔버스 / 두께 / 폭: 1.4cm/120cm / 길이: 450cm</t>
  </si>
  <si>
    <t>⚡강세일⚡디자인: 그레이캔버스 / 두께 / 폭: 1.4cm/120cm / 길이: 500cm</t>
  </si>
  <si>
    <t>⚡강세일⚡디자인: 그레이캔버스 / 두께 / 폭: 1.4cm/120cm / 길이: 550cm</t>
  </si>
  <si>
    <t>⚡강세일⚡디자인: 그레이캔버스 / 두께 / 폭: 1.4cm/120cm / 길이: 600cm</t>
  </si>
  <si>
    <t>⚡강세일⚡디자인: 그레이캔버스 / 두께 / 폭: 1.4cm/120cm / 길이: 650cm</t>
  </si>
  <si>
    <t>⚡강세일⚡디자인: 그레이캔버스 / 두께 / 폭: 1.4cm/120cm / 길이: 700cm</t>
  </si>
  <si>
    <t>⚡강세일⚡디자인: 그레이캔버스 / 두께 / 폭: 1.4cm/120cm / 길이: 750cm</t>
  </si>
  <si>
    <t>⚡강세일⚡디자인: 그레이캔버스 / 두께 / 폭: 1.4cm/120cm / 길이: 800cm</t>
  </si>
  <si>
    <t>⚡강세일⚡디자인: 그레이캔버스 / 두께 / 폭: 1.4cm/120cm / 길이: 850cm</t>
  </si>
  <si>
    <t>⚡강세일⚡디자인: 그레이캔버스 / 두께 / 폭: 1.4cm/120cm / 길이: 900cm</t>
  </si>
  <si>
    <t>⚡강세일⚡디자인: 그레이캔버스 / 두께 / 폭: 1.4cm/120cm / 길이: 950cm</t>
  </si>
  <si>
    <t>⚡강세일⚡디자인: 그레이캔버스 / 두께 / 폭: 1.4cm/140cm / 길이: 1000cm</t>
  </si>
  <si>
    <t>⚡강세일⚡디자인: 그레이캔버스 / 두께 / 폭: 1.4cm/140cm / 길이: 100cm</t>
  </si>
  <si>
    <t>⚡강세일⚡디자인: 그레이캔버스 / 두께 / 폭: 1.4cm/140cm / 길이: 1050cm</t>
  </si>
  <si>
    <t>⚡강세일⚡디자인: 그레이캔버스 / 두께 / 폭: 1.4cm/140cm / 길이: 1100cm</t>
  </si>
  <si>
    <t>⚡강세일⚡디자인: 그레이캔버스 / 두께 / 폭: 1.4cm/140cm / 길이: 1150cm</t>
  </si>
  <si>
    <t>⚡강세일⚡디자인: 그레이캔버스 / 두께 / 폭: 1.4cm/140cm / 길이: 1200cm</t>
  </si>
  <si>
    <t>⚡강세일⚡디자인: 그레이캔버스 / 두께 / 폭: 1.4cm/140cm / 길이: 150cm</t>
  </si>
  <si>
    <t>⚡강세일⚡디자인: 그레이캔버스 / 두께 / 폭: 1.4cm/140cm / 길이: 200cm</t>
  </si>
  <si>
    <t>⚡강세일⚡디자인: 그레이캔버스 / 두께 / 폭: 1.4cm/140cm / 길이: 250cm</t>
  </si>
  <si>
    <t>⚡강세일⚡디자인: 그레이캔버스 / 두께 / 폭: 1.4cm/140cm / 길이: 300cm</t>
  </si>
  <si>
    <t>⚡강세일⚡디자인: 그레이캔버스 / 두께 / 폭: 1.4cm/140cm / 길이: 350cm</t>
  </si>
  <si>
    <t>⚡강세일⚡디자인: 그레이캔버스 / 두께 / 폭: 1.4cm/140cm / 길이: 400cm</t>
  </si>
  <si>
    <t>⚡강세일⚡디자인: 그레이캔버스 / 두께 / 폭: 1.4cm/140cm / 길이: 450cm</t>
  </si>
  <si>
    <t>⚡강세일⚡디자인: 그레이캔버스 / 두께 / 폭: 1.4cm/140cm / 길이: 500cm</t>
  </si>
  <si>
    <t>⚡강세일⚡디자인: 그레이캔버스 / 두께 / 폭: 1.4cm/140cm / 길이: 550cm</t>
  </si>
  <si>
    <t>⚡강세일⚡디자인: 그레이캔버스 / 두께 / 폭: 1.4cm/140cm / 길이: 600cm</t>
  </si>
  <si>
    <t>⚡강세일⚡디자인: 그레이캔버스 / 두께 / 폭: 1.4cm/140cm / 길이: 650cm</t>
  </si>
  <si>
    <t>⚡강세일⚡디자인: 그레이캔버스 / 두께 / 폭: 1.4cm/140cm / 길이: 700cm</t>
  </si>
  <si>
    <t>⚡강세일⚡디자인: 그레이캔버스 / 두께 / 폭: 1.4cm/140cm / 길이: 750cm</t>
  </si>
  <si>
    <t>⚡강세일⚡디자인: 그레이캔버스 / 두께 / 폭: 1.4cm/140cm / 길이: 800cm</t>
  </si>
  <si>
    <t>⚡강세일⚡디자인: 그레이캔버스 / 두께 / 폭: 1.4cm/140cm / 길이: 850cm</t>
  </si>
  <si>
    <t>⚡강세일⚡디자인: 그레이캔버스 / 두께 / 폭: 1.4cm/140cm / 길이: 900cm</t>
  </si>
  <si>
    <t>⚡강세일⚡디자인: 그레이캔버스 / 두께 / 폭: 1.4cm/140cm / 길이: 950cm</t>
  </si>
  <si>
    <t>⚡강세일⚡디자인: 그레이캔버스 / 두께 / 폭: 1.7cm/110cm / 길이: 1000cm</t>
  </si>
  <si>
    <t>⚡강세일⚡디자인: 그레이캔버스 / 두께 / 폭: 1.7cm/110cm / 길이: 100cm</t>
  </si>
  <si>
    <t>⚡강세일⚡디자인: 그레이캔버스 / 두께 / 폭: 1.7cm/110cm / 길이: 1050cm</t>
  </si>
  <si>
    <t>⚡강세일⚡디자인: 그레이캔버스 / 두께 / 폭: 1.7cm/110cm / 길이: 1100cm</t>
  </si>
  <si>
    <t>⚡강세일⚡디자인: 그레이캔버스 / 두께 / 폭: 1.7cm/110cm / 길이: 1150cm</t>
  </si>
  <si>
    <t>⚡강세일⚡디자인: 그레이캔버스 / 두께 / 폭: 1.7cm/110cm / 길이: 1200cm</t>
  </si>
  <si>
    <t>⚡강세일⚡디자인: 그레이캔버스 / 두께 / 폭: 1.7cm/110cm / 길이: 150cm</t>
  </si>
  <si>
    <t>⚡강세일⚡디자인: 그레이캔버스 / 두께 / 폭: 1.7cm/110cm / 길이: 200cm</t>
  </si>
  <si>
    <t>⚡강세일⚡디자인: 그레이캔버스 / 두께 / 폭: 1.7cm/110cm / 길이: 250cm</t>
  </si>
  <si>
    <t>⚡강세일⚡디자인: 그레이캔버스 / 두께 / 폭: 1.7cm/110cm / 길이: 300cm</t>
  </si>
  <si>
    <t>⚡강세일⚡디자인: 그레이캔버스 / 두께 / 폭: 1.7cm/110cm / 길이: 350cm</t>
  </si>
  <si>
    <t>⚡강세일⚡디자인: 그레이캔버스 / 두께 / 폭: 1.7cm/110cm / 길이: 400cm</t>
  </si>
  <si>
    <t>⚡강세일⚡디자인: 그레이캔버스 / 두께 / 폭: 1.7cm/110cm / 길이: 450cm</t>
  </si>
  <si>
    <t>⚡강세일⚡디자인: 그레이캔버스 / 두께 / 폭: 1.7cm/110cm / 길이: 500cm</t>
  </si>
  <si>
    <t>⚡강세일⚡디자인: 그레이캔버스 / 두께 / 폭: 1.7cm/110cm / 길이: 550cm</t>
  </si>
  <si>
    <t>⚡강세일⚡디자인: 그레이캔버스 / 두께 / 폭: 1.7cm/110cm / 길이: 600cm</t>
  </si>
  <si>
    <t>⚡강세일⚡디자인: 그레이캔버스 / 두께 / 폭: 1.7cm/110cm / 길이: 650cm</t>
  </si>
  <si>
    <t>⚡강세일⚡디자인: 그레이캔버스 / 두께 / 폭: 1.7cm/110cm / 길이: 700cm</t>
  </si>
  <si>
    <t>⚡강세일⚡디자인: 그레이캔버스 / 두께 / 폭: 1.7cm/110cm / 길이: 750cm</t>
  </si>
  <si>
    <t>⚡강세일⚡디자인: 그레이캔버스 / 두께 / 폭: 1.7cm/110cm / 길이: 800cm</t>
  </si>
  <si>
    <t>⚡강세일⚡디자인: 그레이캔버스 / 두께 / 폭: 1.7cm/110cm / 길이: 850cm</t>
  </si>
  <si>
    <t>⚡강세일⚡디자인: 그레이캔버스 / 두께 / 폭: 1.7cm/110cm / 길이: 900cm</t>
  </si>
  <si>
    <t>⚡강세일⚡디자인: 그레이캔버스 / 두께 / 폭: 1.7cm/110cm / 길이: 950cm</t>
  </si>
  <si>
    <t>⚡강세일⚡디자인: 그레이캔버스 / 두께 / 폭: 1.7cm/120cm / 길이: 1000cm</t>
  </si>
  <si>
    <t>⚡강세일⚡디자인: 그레이캔버스 / 두께 / 폭: 1.7cm/120cm / 길이: 100cm</t>
  </si>
  <si>
    <t>⚡강세일⚡디자인: 그레이캔버스 / 두께 / 폭: 1.7cm/120cm / 길이: 1050cm</t>
  </si>
  <si>
    <t>⚡강세일⚡디자인: 그레이캔버스 / 두께 / 폭: 1.7cm/120cm / 길이: 1100cm</t>
  </si>
  <si>
    <t>⚡강세일⚡디자인: 그레이캔버스 / 두께 / 폭: 1.7cm/120cm / 길이: 1150cm</t>
  </si>
  <si>
    <t>⚡강세일⚡디자인: 그레이캔버스 / 두께 / 폭: 1.7cm/120cm / 길이: 1200cm</t>
  </si>
  <si>
    <t>⚡강세일⚡디자인: 그레이캔버스 / 두께 / 폭: 1.7cm/120cm / 길이: 150cm</t>
  </si>
  <si>
    <t>⚡강세일⚡디자인: 그레이캔버스 / 두께 / 폭: 1.7cm/120cm / 길이: 200cm</t>
  </si>
  <si>
    <t>⚡강세일⚡디자인: 그레이캔버스 / 두께 / 폭: 1.7cm/120cm / 길이: 250cm</t>
  </si>
  <si>
    <t>⚡강세일⚡디자인: 그레이캔버스 / 두께 / 폭: 1.7cm/120cm / 길이: 300cm</t>
  </si>
  <si>
    <t>⚡강세일⚡디자인: 그레이캔버스 / 두께 / 폭: 1.7cm/120cm / 길이: 350cm</t>
  </si>
  <si>
    <t>⚡강세일⚡디자인: 그레이캔버스 / 두께 / 폭: 1.7cm/120cm / 길이: 400cm</t>
  </si>
  <si>
    <t>⚡강세일⚡디자인: 그레이캔버스 / 두께 / 폭: 1.7cm/120cm / 길이: 450cm</t>
  </si>
  <si>
    <t>⚡강세일⚡디자인: 그레이캔버스 / 두께 / 폭: 1.7cm/120cm / 길이: 500cm</t>
  </si>
  <si>
    <t>⚡강세일⚡디자인: 그레이캔버스 / 두께 / 폭: 1.7cm/120cm / 길이: 550cm</t>
  </si>
  <si>
    <t>⚡강세일⚡디자인: 그레이캔버스 / 두께 / 폭: 1.7cm/120cm / 길이: 600cm</t>
  </si>
  <si>
    <t>⚡강세일⚡디자인: 그레이캔버스 / 두께 / 폭: 1.7cm/120cm / 길이: 650cm</t>
  </si>
  <si>
    <t>⚡강세일⚡디자인: 그레이캔버스 / 두께 / 폭: 1.7cm/120cm / 길이: 700cm</t>
  </si>
  <si>
    <t>⚡강세일⚡디자인: 그레이캔버스 / 두께 / 폭: 1.7cm/120cm / 길이: 750cm</t>
  </si>
  <si>
    <t>⚡강세일⚡디자인: 그레이캔버스 / 두께 / 폭: 1.7cm/120cm / 길이: 800cm</t>
  </si>
  <si>
    <t>⚡강세일⚡디자인: 그레이캔버스 / 두께 / 폭: 1.7cm/120cm / 길이: 850cm</t>
  </si>
  <si>
    <t>⚡강세일⚡디자인: 그레이캔버스 / 두께 / 폭: 1.7cm/120cm / 길이: 900cm</t>
  </si>
  <si>
    <t>⚡강세일⚡디자인: 그레이캔버스 / 두께 / 폭: 1.7cm/120cm / 길이: 950cm</t>
  </si>
  <si>
    <t>⚡강세일⚡디자인: 그레이캔버스 / 두께 / 폭: 1.7cm/140cm / 길이: 1000cm</t>
  </si>
  <si>
    <t>⚡강세일⚡디자인: 그레이캔버스 / 두께 / 폭: 1.7cm/140cm / 길이: 100cm</t>
  </si>
  <si>
    <t>⚡강세일⚡디자인: 그레이캔버스 / 두께 / 폭: 1.7cm/140cm / 길이: 1050cm</t>
  </si>
  <si>
    <t>⚡강세일⚡디자인: 그레이캔버스 / 두께 / 폭: 1.7cm/140cm / 길이: 1100cm</t>
  </si>
  <si>
    <t>⚡강세일⚡디자인: 그레이캔버스 / 두께 / 폭: 1.7cm/140cm / 길이: 1150cm</t>
  </si>
  <si>
    <t>⚡강세일⚡디자인: 그레이캔버스 / 두께 / 폭: 1.7cm/140cm / 길이: 1200cm</t>
  </si>
  <si>
    <t>⚡강세일⚡디자인: 그레이캔버스 / 두께 / 폭: 1.7cm/140cm / 길이: 150cm</t>
  </si>
  <si>
    <t>⚡강세일⚡디자인: 그레이캔버스 / 두께 / 폭: 1.7cm/140cm / 길이: 200cm</t>
  </si>
  <si>
    <t>⚡강세일⚡디자인: 그레이캔버스 / 두께 / 폭: 1.7cm/140cm / 길이: 250cm</t>
  </si>
  <si>
    <t>⚡강세일⚡디자인: 그레이캔버스 / 두께 / 폭: 1.7cm/140cm / 길이: 300cm</t>
  </si>
  <si>
    <t>⚡강세일⚡디자인: 그레이캔버스 / 두께 / 폭: 1.7cm/140cm / 길이: 350cm</t>
  </si>
  <si>
    <t>⚡강세일⚡디자인: 그레이캔버스 / 두께 / 폭: 1.7cm/140cm / 길이: 400cm</t>
  </si>
  <si>
    <t>⚡강세일⚡디자인: 그레이캔버스 / 두께 / 폭: 1.7cm/140cm / 길이: 450cm</t>
  </si>
  <si>
    <t>⚡강세일⚡디자인: 그레이캔버스 / 두께 / 폭: 1.7cm/140cm / 길이: 500cm</t>
  </si>
  <si>
    <t>⚡강세일⚡디자인: 그레이캔버스 / 두께 / 폭: 1.7cm/140cm / 길이: 550cm</t>
  </si>
  <si>
    <t>⚡강세일⚡디자인: 그레이캔버스 / 두께 / 폭: 1.7cm/140cm / 길이: 600cm</t>
  </si>
  <si>
    <t>⚡강세일⚡디자인: 그레이캔버스 / 두께 / 폭: 1.7cm/140cm / 길이: 650cm</t>
  </si>
  <si>
    <t>⚡강세일⚡디자인: 그레이캔버스 / 두께 / 폭: 1.7cm/140cm / 길이: 700cm</t>
  </si>
  <si>
    <t>⚡강세일⚡디자인: 그레이캔버스 / 두께 / 폭: 1.7cm/140cm / 길이: 750cm</t>
  </si>
  <si>
    <t>⚡강세일⚡디자인: 그레이캔버스 / 두께 / 폭: 1.7cm/140cm / 길이: 800cm</t>
  </si>
  <si>
    <t>⚡강세일⚡디자인: 그레이캔버스 / 두께 / 폭: 1.7cm/140cm / 길이: 850cm</t>
  </si>
  <si>
    <t>⚡강세일⚡디자인: 그레이캔버스 / 두께 / 폭: 1.7cm/140cm / 길이: 900cm</t>
  </si>
  <si>
    <t>⚡강세일⚡디자인: 그레이캔버스 / 두께 / 폭: 1.7cm/140cm / 길이: 950cm</t>
  </si>
  <si>
    <t>⚡강세일⚡디자인: 그레이캔버스 / 두께 / 폭: 2.3cm/110cm / 길이: 1000cm</t>
  </si>
  <si>
    <t>⚡강세일⚡디자인: 그레이캔버스 / 두께 / 폭: 2.3cm/110cm / 길이: 100cm</t>
  </si>
  <si>
    <t>⚡강세일⚡디자인: 그레이캔버스 / 두께 / 폭: 2.3cm/110cm / 길이: 1050cm</t>
  </si>
  <si>
    <t>⚡강세일⚡디자인: 그레이캔버스 / 두께 / 폭: 2.3cm/110cm / 길이: 1100cm</t>
  </si>
  <si>
    <t>⚡강세일⚡디자인: 그레이캔버스 / 두께 / 폭: 2.3cm/110cm / 길이: 1150cm</t>
  </si>
  <si>
    <t>⚡강세일⚡디자인: 그레이캔버스 / 두께 / 폭: 2.3cm/110cm / 길이: 1200cm</t>
  </si>
  <si>
    <t>⚡강세일⚡디자인: 그레이캔버스 / 두께 / 폭: 2.3cm/110cm / 길이: 150cm</t>
  </si>
  <si>
    <t>⚡강세일⚡디자인: 그레이캔버스 / 두께 / 폭: 2.3cm/110cm / 길이: 200cm</t>
  </si>
  <si>
    <t>⚡강세일⚡디자인: 그레이캔버스 / 두께 / 폭: 2.3cm/110cm / 길이: 250cm</t>
  </si>
  <si>
    <t>⚡강세일⚡디자인: 그레이캔버스 / 두께 / 폭: 2.3cm/110cm / 길이: 300cm</t>
  </si>
  <si>
    <t>⚡강세일⚡디자인: 그레이캔버스 / 두께 / 폭: 2.3cm/110cm / 길이: 350cm</t>
  </si>
  <si>
    <t>⚡강세일⚡디자인: 그레이캔버스 / 두께 / 폭: 2.3cm/110cm / 길이: 400cm</t>
  </si>
  <si>
    <t>⚡강세일⚡디자인: 그레이캔버스 / 두께 / 폭: 2.3cm/110cm / 길이: 450cm</t>
  </si>
  <si>
    <t>⚡강세일⚡디자인: 그레이캔버스 / 두께 / 폭: 2.3cm/110cm / 길이: 500cm</t>
  </si>
  <si>
    <t>⚡강세일⚡디자인: 그레이캔버스 / 두께 / 폭: 2.3cm/110cm / 길이: 550cm</t>
  </si>
  <si>
    <t>⚡강세일⚡디자인: 그레이캔버스 / 두께 / 폭: 2.3cm/110cm / 길이: 600cm</t>
  </si>
  <si>
    <t>⚡강세일⚡디자인: 그레이캔버스 / 두께 / 폭: 2.3cm/110cm / 길이: 650cm</t>
  </si>
  <si>
    <t>⚡강세일⚡디자인: 그레이캔버스 / 두께 / 폭: 2.3cm/110cm / 길이: 700cm</t>
  </si>
  <si>
    <t>⚡강세일⚡디자인: 그레이캔버스 / 두께 / 폭: 2.3cm/110cm / 길이: 750cm</t>
  </si>
  <si>
    <t>⚡강세일⚡디자인: 그레이캔버스 / 두께 / 폭: 2.3cm/110cm / 길이: 800cm</t>
  </si>
  <si>
    <t>⚡강세일⚡디자인: 그레이캔버스 / 두께 / 폭: 2.3cm/110cm / 길이: 850cm</t>
  </si>
  <si>
    <t>⚡강세일⚡디자인: 그레이캔버스 / 두께 / 폭: 2.3cm/110cm / 길이: 900cm</t>
  </si>
  <si>
    <t>⚡강세일⚡디자인: 그레이캔버스 / 두께 / 폭: 2.3cm/110cm / 길이: 950cm</t>
  </si>
  <si>
    <t>⚡강세일⚡디자인: 그레이캔버스 / 두께 / 폭: 2.3cm/120cm / 길이: 1000cm</t>
  </si>
  <si>
    <t>⚡강세일⚡디자인: 그레이캔버스 / 두께 / 폭: 2.3cm/120cm / 길이: 100cm</t>
  </si>
  <si>
    <t>⚡강세일⚡디자인: 그레이캔버스 / 두께 / 폭: 2.3cm/120cm / 길이: 1050cm</t>
  </si>
  <si>
    <t>⚡강세일⚡디자인: 그레이캔버스 / 두께 / 폭: 2.3cm/120cm / 길이: 1100cm</t>
  </si>
  <si>
    <t>⚡강세일⚡디자인: 그레이캔버스 / 두께 / 폭: 2.3cm/120cm / 길이: 1150cm</t>
  </si>
  <si>
    <t>⚡강세일⚡디자인: 그레이캔버스 / 두께 / 폭: 2.3cm/120cm / 길이: 1200cm</t>
  </si>
  <si>
    <t>⚡강세일⚡디자인: 그레이캔버스 / 두께 / 폭: 2.3cm/120cm / 길이: 150cm</t>
  </si>
  <si>
    <t>⚡강세일⚡디자인: 그레이캔버스 / 두께 / 폭: 2.3cm/120cm / 길이: 200cm</t>
  </si>
  <si>
    <t>⚡강세일⚡디자인: 그레이캔버스 / 두께 / 폭: 2.3cm/120cm / 길이: 250cm</t>
  </si>
  <si>
    <t>⚡강세일⚡디자인: 그레이캔버스 / 두께 / 폭: 2.3cm/120cm / 길이: 300cm</t>
  </si>
  <si>
    <t>⚡강세일⚡디자인: 그레이캔버스 / 두께 / 폭: 2.3cm/120cm / 길이: 350cm</t>
  </si>
  <si>
    <t>⚡강세일⚡디자인: 그레이캔버스 / 두께 / 폭: 2.3cm/120cm / 길이: 400cm</t>
  </si>
  <si>
    <t>⚡강세일⚡디자인: 그레이캔버스 / 두께 / 폭: 2.3cm/120cm / 길이: 450cm</t>
  </si>
  <si>
    <t>⚡강세일⚡디자인: 그레이캔버스 / 두께 / 폭: 2.3cm/120cm / 길이: 500cm</t>
  </si>
  <si>
    <t>⚡강세일⚡디자인: 그레이캔버스 / 두께 / 폭: 2.3cm/120cm / 길이: 550cm</t>
  </si>
  <si>
    <t>⚡강세일⚡디자인: 그레이캔버스 / 두께 / 폭: 2.3cm/120cm / 길이: 600cm</t>
  </si>
  <si>
    <t>⚡강세일⚡디자인: 그레이캔버스 / 두께 / 폭: 2.3cm/120cm / 길이: 650cm</t>
  </si>
  <si>
    <t>⚡강세일⚡디자인: 그레이캔버스 / 두께 / 폭: 2.3cm/120cm / 길이: 700cm</t>
  </si>
  <si>
    <t>⚡강세일⚡디자인: 그레이캔버스 / 두께 / 폭: 2.3cm/120cm / 길이: 750cm</t>
  </si>
  <si>
    <t>⚡강세일⚡디자인: 그레이캔버스 / 두께 / 폭: 2.3cm/120cm / 길이: 800cm</t>
  </si>
  <si>
    <t>⚡강세일⚡디자인: 그레이캔버스 / 두께 / 폭: 2.3cm/120cm / 길이: 850cm</t>
  </si>
  <si>
    <t>⚡강세일⚡디자인: 그레이캔버스 / 두께 / 폭: 2.3cm/120cm / 길이: 900cm</t>
  </si>
  <si>
    <t>⚡강세일⚡디자인: 그레이캔버스 / 두께 / 폭: 2.3cm/120cm / 길이: 950cm</t>
  </si>
  <si>
    <t>⚡강세일⚡디자인: 그레이캔버스 / 두께 / 폭: 두께1.2cm / 폭110cm / 길이(수량추가): 50cm</t>
  </si>
  <si>
    <t>⚡강세일⚡디자인: 그레이캔버스 / 두께 / 폭: 두께1.2cm / 폭120cm / 길이(수량추가): 50cm</t>
  </si>
  <si>
    <t>⚡강세일⚡디자인: 그레이캔버스 / 두께 / 폭: 두께1.2cm / 폭140cm / 길이(수량추가): 50cm</t>
  </si>
  <si>
    <t>⚡강세일⚡디자인: 그레이캔버스 / 두께 / 폭: 두께1.4cm / 폭110cm / 길이(수량추가): 50cm</t>
  </si>
  <si>
    <t>⚡강세일⚡디자인: 그레이캔버스 / 두께 / 폭: 두께1.4cm / 폭120cm / 길이(수량추가): 50cm</t>
  </si>
  <si>
    <t>⚡강세일⚡디자인: 그레이캔버스 / 두께 / 폭: 두께1.4cm / 폭140cm / 길이(수량추가): 50cm</t>
  </si>
  <si>
    <t>⚡강세일⚡디자인: 그레이캔버스 / 두께 / 폭: 두께1.8cm / 폭110cm / 길이(수량추가): 50cm</t>
  </si>
  <si>
    <t>⚡강세일⚡디자인: 그레이캔버스 / 두께 / 폭: 두께1.8cm / 폭120cm / 길이(수량추가): 50cm</t>
  </si>
  <si>
    <t>⚡강세일⚡디자인: 그레이캔버스 / 두께 / 폭: 두께1.8cm / 폭140cm / 길이(수량추가): 50cm</t>
  </si>
  <si>
    <t>(70)17T퓨어아이보리</t>
  </si>
  <si>
    <t>1.5m</t>
    <phoneticPr fontId="1" type="noConversion"/>
  </si>
  <si>
    <t>2.5m</t>
    <phoneticPr fontId="1" type="noConversion"/>
  </si>
  <si>
    <t>3m</t>
    <phoneticPr fontId="1" type="noConversion"/>
  </si>
  <si>
    <t>3.5m</t>
    <phoneticPr fontId="1" type="noConversion"/>
  </si>
  <si>
    <t>4m</t>
    <phoneticPr fontId="1" type="noConversion"/>
  </si>
  <si>
    <t>4.5m</t>
    <phoneticPr fontId="1" type="noConversion"/>
  </si>
  <si>
    <t>⛄홀리데이⛄제품 타입: 퍼즐매트 / 색상: 라이트그레이 / (두께)사이즈: (25mm) 100x100 1장</t>
  </si>
  <si>
    <t>⛄홀리데이⛄제품 타입: 퍼즐매트 / 색상: 라이트그레이 / (두께)사이즈: (25mm) 50x50 4장</t>
  </si>
  <si>
    <t>⛄홀리데이⛄제품 타입: 퍼즐매트 / 색상: 바닐라아이보리 / (두께)사이즈: (25mm) 100x100 1장</t>
  </si>
  <si>
    <t>⛄홀리데이⛄제품 타입: 퍼즐매트 / 색상: 바닐라아이보리 / (두께)사이즈: (25mm) 50x50 4장</t>
  </si>
  <si>
    <t>⛄홀리데이⛄제품 타입: 퍼즐매트 / 색상: 바닐라아이보리 / (두께)사이즈: (40mm) 100x100 1장</t>
  </si>
  <si>
    <t>⛄홀리데이⛄제품 타입: 퍼즐매트 / 색상: 바닐라아이보리 / (두께)사이즈: (40mm) 50x50 4장</t>
  </si>
  <si>
    <t>⛄홀리데이⛄제품 타입: 퍼즐매트 / 색상: 스카이블루 / (두께)사이즈: (25mm) 100x100 1장</t>
  </si>
  <si>
    <t>⛄홀리데이⛄제품 타입: 퍼즐매트 / 색상: 스카이블루 / (두께)사이즈: (25mm) 50x50 4장</t>
  </si>
  <si>
    <t>⛄홀리데이⛄제품 타입: 퍼즐매트 / 색상: 파스텔핑크 / (두께)사이즈: (25mm) 100x100 1장</t>
  </si>
  <si>
    <t>⛄홀리데이⛄제품 타입: 퍼즐매트 / 색상: 파스텔핑크 / (두께)사이즈: (25mm) 50x50 4장</t>
  </si>
  <si>
    <t>⛄홀리데이⛄제품 타입: ✨퍼즐매트 PLUS+✨ / 색상: 바닐라아이보리 / (두께)사이즈: (25mm) 100x100 1장</t>
  </si>
  <si>
    <t>⛄홀리데이⛄제품 타입: ✨퍼즐매트 PLUS+✨ / 색상: 바닐라아이보리 / (두께)사이즈: (25mm) 50x50 4장</t>
  </si>
  <si>
    <t>⛄홀리데이⛄제품 타입: ✨퍼즐매트 PLUS+✨ / 색상: 크림그레이 / (두께)사이즈: (25mm) 100x100 1장</t>
  </si>
  <si>
    <t>⛄홀리데이⛄제품 타입: ✨퍼즐매트 PLUS+✨ / 색상: 크림그레이 / (두께)사이즈: (25mm) 50x50 4장</t>
  </si>
  <si>
    <t>⛄홀리데이⛄디자인: 🔥HOT🔥퓨어아이보리 / 두께 / 폭: 1.7cm/140cm / 길이: 400cm</t>
  </si>
  <si>
    <t>⛄홀리데이⛄디자인: 🔥HOT🔥퓨어아이보리 / 두께 / 폭: 1.7cm/140cm / 길이: 250cm</t>
  </si>
  <si>
    <t>⛄홀리데이⛄디자인: 🔥HOT🔥퓨어아이보리 / 두께 / 폭: 1.7cm/120cm / 길이: 800cm</t>
  </si>
  <si>
    <t>⛄홀리데이⛄디자인: 🔥HOT🔥퓨어아이보리 / 두께 / 폭: 2.2cm/120cm / 길이: 250cm</t>
  </si>
  <si>
    <t>⛄홀리데이⛄디자인: 🔥HOT🔥퓨어아이보리 / 두께 / 폭: 2.2cm/110cm / 길이: 250cm</t>
  </si>
  <si>
    <t>⛄홀리데이⛄디자인: 🏆BEST🏆마블아이보리 / 두께 / 폭: 1.7cm/120cm / 길이: 500cm</t>
  </si>
  <si>
    <t>⛄홀리데이⛄디자인: 🔥HOT🔥퓨어아이보리 / 두께 / 폭: 1.7cm/140cm / 길이: 700cm</t>
  </si>
  <si>
    <t>⛄홀리데이⛄디자인: 🔥HOT🔥퓨어아이보리 / 두께 / 폭: 1.2cm/110cm / 길이: 1000cm</t>
  </si>
  <si>
    <t>⛄홀리데이⛄디자인: 🔥HOT🔥퓨어아이보리 / 두께 / 폭: 1.2cm/110cm / 길이: 100cm</t>
  </si>
  <si>
    <t>⛄홀리데이⛄디자인: 🔥HOT🔥퓨어아이보리 / 두께 / 폭: 1.2cm/110cm / 길이: 1050cm</t>
  </si>
  <si>
    <t>⛄홀리데이⛄디자인: 🔥HOT🔥퓨어아이보리 / 두께 / 폭: 1.2cm/110cm / 길이: 1100cm</t>
  </si>
  <si>
    <t>⛄홀리데이⛄디자인: 🔥HOT🔥퓨어아이보리 / 두께 / 폭: 1.2cm/110cm / 길이: 1150cm</t>
  </si>
  <si>
    <t>⛄홀리데이⛄디자인: 🔥HOT🔥퓨어아이보리 / 두께 / 폭: 1.2cm/110cm / 길이: 1200cm</t>
  </si>
  <si>
    <t>⛄홀리데이⛄디자인: 🔥HOT🔥퓨어아이보리 / 두께 / 폭: 1.2cm/110cm / 길이: 150cm</t>
  </si>
  <si>
    <t>⛄홀리데이⛄디자인: 🔥HOT🔥퓨어아이보리 / 두께 / 폭: 1.2cm/110cm / 길이: 200cm</t>
  </si>
  <si>
    <t>⛄홀리데이⛄디자인: 🔥HOT🔥퓨어아이보리 / 두께 / 폭: 1.2cm/110cm / 길이: 250cm</t>
  </si>
  <si>
    <t>⛄홀리데이⛄디자인: 🔥HOT🔥퓨어아이보리 / 두께 / 폭: 1.2cm/110cm / 길이: 300cm</t>
  </si>
  <si>
    <t>⛄홀리데이⛄디자인: 🔥HOT🔥퓨어아이보리 / 두께 / 폭: 1.2cm/110cm / 길이: 350cm</t>
  </si>
  <si>
    <t>⛄홀리데이⛄디자인: 🔥HOT🔥퓨어아이보리 / 두께 / 폭: 1.2cm/110cm / 길이: 400cm</t>
  </si>
  <si>
    <t>⛄홀리데이⛄디자인: 🔥HOT🔥퓨어아이보리 / 두께 / 폭: 1.2cm/110cm / 길이: 450cm</t>
  </si>
  <si>
    <t>⛄홀리데이⛄디자인: 🔥HOT🔥퓨어아이보리 / 두께 / 폭: 1.2cm/110cm / 길이: 500cm</t>
  </si>
  <si>
    <t>⛄홀리데이⛄디자인: 🔥HOT🔥퓨어아이보리 / 두께 / 폭: 1.2cm/110cm / 길이: 550cm</t>
  </si>
  <si>
    <t>⛄홀리데이⛄디자인: 🔥HOT🔥퓨어아이보리 / 두께 / 폭: 1.2cm/110cm / 길이: 600cm</t>
  </si>
  <si>
    <t>⛄홀리데이⛄디자인: 🔥HOT🔥퓨어아이보리 / 두께 / 폭: 1.2cm/110cm / 길이: 650cm</t>
  </si>
  <si>
    <t>⛄홀리데이⛄디자인: 🔥HOT🔥퓨어아이보리 / 두께 / 폭: 1.2cm/110cm / 길이: 700cm</t>
  </si>
  <si>
    <t>⛄홀리데이⛄디자인: 🔥HOT🔥퓨어아이보리 / 두께 / 폭: 1.2cm/110cm / 길이: 750cm</t>
  </si>
  <si>
    <t>⛄홀리데이⛄디자인: 🔥HOT🔥퓨어아이보리 / 두께 / 폭: 1.2cm/110cm / 길이: 800cm</t>
  </si>
  <si>
    <t>⛄홀리데이⛄디자인: 🔥HOT🔥퓨어아이보리 / 두께 / 폭: 1.2cm/110cm / 길이: 850cm</t>
  </si>
  <si>
    <t>⛄홀리데이⛄디자인: 🔥HOT🔥퓨어아이보리 / 두께 / 폭: 1.2cm/110cm / 길이: 900cm</t>
  </si>
  <si>
    <t>⛄홀리데이⛄디자인: 🔥HOT🔥퓨어아이보리 / 두께 / 폭: 1.2cm/110cm / 길이: 950cm</t>
  </si>
  <si>
    <t>⛄홀리데이⛄디자인: 🔥HOT🔥퓨어아이보리 / 두께 / 폭: 1.2cm/120cm / 길이: 100cm</t>
  </si>
  <si>
    <t>⛄홀리데이⛄디자인: 🔥HOT🔥퓨어아이보리 / 두께 / 폭: 1.2cm/120cm / 길이: 1050cm</t>
  </si>
  <si>
    <t>⛄홀리데이⛄디자인: 🔥HOT🔥퓨어아이보리 / 두께 / 폭: 1.2cm/120cm / 길이: 1100cm</t>
  </si>
  <si>
    <t>⛄홀리데이⛄디자인: 🔥HOT🔥퓨어아이보리 / 두께 / 폭: 1.2cm/120cm / 길이: 1150cm</t>
  </si>
  <si>
    <t>⛄홀리데이⛄디자인: 🔥HOT🔥퓨어아이보리 / 두께 / 폭: 1.2cm/120cm / 길이: 1200cm</t>
  </si>
  <si>
    <t>⛄홀리데이⛄디자인: 🔥HOT🔥퓨어아이보리 / 두께 / 폭: 1.2cm/120cm / 길이: 150cm</t>
  </si>
  <si>
    <t>⛄홀리데이⛄디자인: 🔥HOT🔥퓨어아이보리 / 두께 / 폭: 1.2cm/120cm / 길이: 200cm</t>
  </si>
  <si>
    <t>⛄홀리데이⛄디자인: 🔥HOT🔥퓨어아이보리 / 두께 / 폭: 1.2cm/120cm / 길이: 250cm</t>
  </si>
  <si>
    <t>⛄홀리데이⛄디자인: 🔥HOT🔥퓨어아이보리 / 두께 / 폭: 1.2cm/120cm / 길이: 300cm</t>
  </si>
  <si>
    <t>⛄홀리데이⛄디자인: 🔥HOT🔥퓨어아이보리 / 두께 / 폭: 1.2cm/120cm / 길이: 350cm</t>
  </si>
  <si>
    <t>⛄홀리데이⛄디자인: 🔥HOT🔥퓨어아이보리 / 두께 / 폭: 1.2cm/120cm / 길이: 400cm</t>
  </si>
  <si>
    <t>⛄홀리데이⛄디자인: 🔥HOT🔥퓨어아이보리 / 두께 / 폭: 1.2cm/120cm / 길이: 450cm</t>
  </si>
  <si>
    <t>⛄홀리데이⛄디자인: 🔥HOT🔥퓨어아이보리 / 두께 / 폭: 1.2cm/120cm / 길이: 500cm</t>
  </si>
  <si>
    <t>⛄홀리데이⛄디자인: 🔥HOT🔥퓨어아이보리 / 두께 / 폭: 1.2cm/120cm / 길이: 550cm</t>
  </si>
  <si>
    <t>⛄홀리데이⛄디자인: 🔥HOT🔥퓨어아이보리 / 두께 / 폭: 1.2cm/120cm / 길이: 600cm</t>
  </si>
  <si>
    <t>⛄홀리데이⛄디자인: 🔥HOT🔥퓨어아이보리 / 두께 / 폭: 1.2cm/120cm / 길이: 650cm</t>
  </si>
  <si>
    <t>⛄홀리데이⛄디자인: 🔥HOT🔥퓨어아이보리 / 두께 / 폭: 1.2cm/120cm / 길이: 700cm</t>
  </si>
  <si>
    <t>⛄홀리데이⛄디자인: 🔥HOT🔥퓨어아이보리 / 두께 / 폭: 1.2cm/120cm / 길이: 750cm</t>
  </si>
  <si>
    <t>⛄홀리데이⛄디자인: 🔥HOT🔥퓨어아이보리 / 두께 / 폭: 1.2cm/120cm / 길이: 800cm</t>
  </si>
  <si>
    <t>⛄홀리데이⛄디자인: 🔥HOT🔥퓨어아이보리 / 두께 / 폭: 1.2cm/120cm / 길이: 850cm</t>
  </si>
  <si>
    <t>⛄홀리데이⛄디자인: 🔥HOT🔥퓨어아이보리 / 두께 / 폭: 1.2cm/120cm / 길이: 900cm</t>
  </si>
  <si>
    <t>⛄홀리데이⛄디자인: 🔥HOT🔥퓨어아이보리 / 두께 / 폭: 1.2cm/120cm / 길이: 950cm</t>
  </si>
  <si>
    <t>⛄홀리데이⛄디자인: 🔥HOT🔥퓨어아이보리 / 두께 / 폭: 1.2cm/140cm / 길이: 1000cm</t>
  </si>
  <si>
    <t>⛄홀리데이⛄디자인: 🔥HOT🔥퓨어아이보리 / 두께 / 폭: 1.2cm/140cm / 길이: 100cm</t>
  </si>
  <si>
    <t>⛄홀리데이⛄디자인: 🔥HOT🔥퓨어아이보리 / 두께 / 폭: 1.2cm/140cm / 길이: 1050cm</t>
  </si>
  <si>
    <t>⛄홀리데이⛄디자인: 🔥HOT🔥퓨어아이보리 / 두께 / 폭: 1.2cm/140cm / 길이: 1100cm</t>
  </si>
  <si>
    <t>⛄홀리데이⛄디자인: 🔥HOT🔥퓨어아이보리 / 두께 / 폭: 1.2cm/140cm / 길이: 1150cm</t>
  </si>
  <si>
    <t>⛄홀리데이⛄디자인: 🔥HOT🔥퓨어아이보리 / 두께 / 폭: 1.2cm/140cm / 길이: 1200cm</t>
  </si>
  <si>
    <t>⛄홀리데이⛄디자인: 🔥HOT🔥퓨어아이보리 / 두께 / 폭: 1.2cm/140cm / 길이: 150cm</t>
  </si>
  <si>
    <t>⛄홀리데이⛄디자인: 🔥HOT🔥퓨어아이보리 / 두께 / 폭: 1.2cm/140cm / 길이: 200cm</t>
  </si>
  <si>
    <t>⛄홀리데이⛄디자인: 🔥HOT🔥퓨어아이보리 / 두께 / 폭: 1.2cm/140cm / 길이: 250cm</t>
  </si>
  <si>
    <t>⛄홀리데이⛄디자인: 🔥HOT🔥퓨어아이보리 / 두께 / 폭: 1.2cm/140cm / 길이: 300cm</t>
  </si>
  <si>
    <t>⛄홀리데이⛄디자인: 🔥HOT🔥퓨어아이보리 / 두께 / 폭: 1.2cm/140cm / 길이: 350cm</t>
  </si>
  <si>
    <t>⛄홀리데이⛄디자인: 🔥HOT🔥퓨어아이보리 / 두께 / 폭: 1.2cm/140cm / 길이: 400cm</t>
  </si>
  <si>
    <t>⛄홀리데이⛄디자인: 🔥HOT🔥퓨어아이보리 / 두께 / 폭: 1.2cm/140cm / 길이: 450cm</t>
  </si>
  <si>
    <t>⛄홀리데이⛄디자인: 🔥HOT🔥퓨어아이보리 / 두께 / 폭: 1.2cm/140cm / 길이: 500cm</t>
  </si>
  <si>
    <t>⛄홀리데이⛄디자인: 🔥HOT🔥퓨어아이보리 / 두께 / 폭: 1.2cm/140cm / 길이: 550cm</t>
  </si>
  <si>
    <t>⛄홀리데이⛄디자인: 🔥HOT🔥퓨어아이보리 / 두께 / 폭: 1.2cm/140cm / 길이: 600cm</t>
  </si>
  <si>
    <t>⛄홀리데이⛄디자인: 🔥HOT🔥퓨어아이보리 / 두께 / 폭: 1.2cm/140cm / 길이: 650cm</t>
  </si>
  <si>
    <t>⛄홀리데이⛄디자인: 🔥HOT🔥퓨어아이보리 / 두께 / 폭: 1.2cm/140cm / 길이: 700cm</t>
  </si>
  <si>
    <t>⛄홀리데이⛄디자인: 🔥HOT🔥퓨어아이보리 / 두께 / 폭: 1.2cm/140cm / 길이: 750cm</t>
  </si>
  <si>
    <t>⛄홀리데이⛄디자인: 🔥HOT🔥퓨어아이보리 / 두께 / 폭: 1.2cm/140cm / 길이: 800cm</t>
  </si>
  <si>
    <t>⛄홀리데이⛄디자인: 🔥HOT🔥퓨어아이보리 / 두께 / 폭: 1.2cm/140cm / 길이: 850cm</t>
  </si>
  <si>
    <t>⛄홀리데이⛄디자인: 🔥HOT🔥퓨어아이보리 / 두께 / 폭: 1.2cm/140cm / 길이: 900cm</t>
  </si>
  <si>
    <t>⛄홀리데이⛄디자인: 🔥HOT🔥퓨어아이보리 / 두께 / 폭: 1.2cm/140cm / 길이: 950cm</t>
  </si>
  <si>
    <t>⛄홀리데이⛄디자인: 🔥HOT🔥퓨어아이보리 / 두께 / 폭: 1.7cm/110cm / 길이: 1000cm</t>
  </si>
  <si>
    <t>⛄홀리데이⛄디자인: 🔥HOT🔥퓨어아이보리 / 두께 / 폭: 1.7cm/110cm / 길이: 100cm</t>
  </si>
  <si>
    <t>⛄홀리데이⛄디자인: 🔥HOT🔥퓨어아이보리 / 두께 / 폭: 1.7cm/110cm / 길이: 1050cm</t>
  </si>
  <si>
    <t>⛄홀리데이⛄디자인: 🔥HOT🔥퓨어아이보리 / 두께 / 폭: 1.7cm/110cm / 길이: 1100cm</t>
  </si>
  <si>
    <t>⛄홀리데이⛄디자인: 🔥HOT🔥퓨어아이보리 / 두께 / 폭: 1.7cm/110cm / 길이: 1150cm</t>
  </si>
  <si>
    <t>⛄홀리데이⛄디자인: 🔥HOT🔥퓨어아이보리 / 두께 / 폭: 1.7cm/70cm / 길이: 100cm</t>
  </si>
  <si>
    <t>⛄홀리데이⛄디자인: 🔥HOT🔥퓨어아이보리 / 두께 / 폭: 1.7cm/70cm / 길이: 150cm</t>
  </si>
  <si>
    <t>⛄홀리데이⛄디자인: 🔥HOT🔥퓨어아이보리 / 두께 / 폭: 1.7cm/70cm / 길이: 200cm</t>
  </si>
  <si>
    <t>⛄홀리데이⛄디자인: 🔥HOT🔥퓨어아이보리 / 두께 / 폭: 1.7cm/70cm / 길이: 250cm</t>
  </si>
  <si>
    <t>⛄홀리데이⛄디자인: 🔥HOT🔥퓨어아이보리 / 두께 / 폭: 1.7cm/70cm / 길이: 300cm</t>
  </si>
  <si>
    <t>⛄홀리데이⛄디자인: 🔥HOT🔥퓨어아이보리 / 두께 / 폭: 1.7cm/70cm / 길이: 350cm</t>
  </si>
  <si>
    <t>⛄홀리데이⛄디자인: 🔥HOT🔥퓨어아이보리 / 두께 / 폭: 1.7cm/70cm / 길이: 400cm</t>
  </si>
  <si>
    <t>⛄홀리데이⛄디자인: 🔥HOT🔥퓨어아이보리 / 두께 / 폭: 1.7cm/70cm / 길이: 450cm</t>
  </si>
  <si>
    <t>⛄홀리데이⛄디자인: 🔥HOT🔥퓨어아이보리 / 두께 / 폭: 1.7cm/70cm / 길이: 500cm</t>
  </si>
  <si>
    <t>⛄홀리데이⛄디자인: 🔥HOT🔥퓨어아이보리 / 두께 / 폭: 1.7cm/110cm / 길이: 1200cm</t>
  </si>
  <si>
    <t>⛄홀리데이⛄디자인: 🔥HOT🔥퓨어아이보리 / 두께 / 폭: 1.7cm/110cm / 길이: 150cm</t>
  </si>
  <si>
    <t>⛄홀리데이⛄디자인: 🔥HOT🔥퓨어아이보리 / 두께 / 폭: 1.7cm/110cm / 길이: 200cm</t>
  </si>
  <si>
    <t>⛄홀리데이⛄디자인: 🔥HOT🔥퓨어아이보리 / 두께 / 폭: 1.7cm/110cm / 길이: 250cm</t>
  </si>
  <si>
    <t>⛄홀리데이⛄디자인: 🔥HOT🔥퓨어아이보리 / 두께 / 폭: 1.7cm/110cm / 길이: 300cm</t>
  </si>
  <si>
    <t>⛄홀리데이⛄디자인: 🔥HOT🔥퓨어아이보리 / 두께 / 폭: 1.7cm/110cm / 길이: 350cm</t>
  </si>
  <si>
    <t>⛄홀리데이⛄디자인: 🔥HOT🔥퓨어아이보리 / 두께 / 폭: 1.7cm/110cm / 길이: 400cm</t>
  </si>
  <si>
    <t>⛄홀리데이⛄디자인: 🔥HOT🔥퓨어아이보리 / 두께 / 폭: 1.7cm/110cm / 길이: 450cm</t>
  </si>
  <si>
    <t>⛄홀리데이⛄디자인: 🔥HOT🔥퓨어아이보리 / 두께 / 폭: 1.7cm/110cm / 길이: 500cm</t>
  </si>
  <si>
    <t>⛄홀리데이⛄디자인: 🔥HOT🔥퓨어아이보리 / 두께 / 폭: 1.7cm/110cm / 길이: 550cm</t>
  </si>
  <si>
    <t>⛄홀리데이⛄디자인: 🔥HOT🔥퓨어아이보리 / 두께 / 폭: 1.7cm/110cm / 길이: 600cm</t>
  </si>
  <si>
    <t>⛄홀리데이⛄디자인: 🔥HOT🔥퓨어아이보리 / 두께 / 폭: 1.7cm/110cm / 길이: 650cm</t>
  </si>
  <si>
    <t>⛄홀리데이⛄디자인: 🔥HOT🔥퓨어아이보리 / 두께 / 폭: 1.7cm/110cm / 길이: 700cm</t>
  </si>
  <si>
    <t>⛄홀리데이⛄디자인: 🔥HOT🔥퓨어아이보리 / 두께 / 폭: 1.7cm/110cm / 길이: 750cm</t>
  </si>
  <si>
    <t>⛄홀리데이⛄디자인: 🔥HOT🔥퓨어아이보리 / 두께 / 폭: 1.7cm/110cm / 길이: 800cm</t>
  </si>
  <si>
    <t>⛄홀리데이⛄디자인: 🔥HOT🔥퓨어아이보리 / 두께 / 폭: 1.7cm/110cm / 길이: 850cm</t>
  </si>
  <si>
    <t>⛄홀리데이⛄디자인: 🔥HOT🔥퓨어아이보리 / 두께 / 폭: 1.7cm/110cm / 길이: 900cm</t>
  </si>
  <si>
    <t>⛄홀리데이⛄디자인: 🔥HOT🔥퓨어아이보리 / 두께 / 폭: 1.7cm/110cm / 길이: 950cm</t>
  </si>
  <si>
    <t>⛄홀리데이⛄디자인: 🔥HOT🔥퓨어아이보리 / 두께 / 폭: 1.7cm/120cm / 길이: 100cm</t>
  </si>
  <si>
    <t>⛄홀리데이⛄디자인: 🔥HOT🔥퓨어아이보리 / 두께 / 폭: 1.7cm/120cm / 길이: 150cm</t>
  </si>
  <si>
    <t>⛄홀리데이⛄디자인: 🔥HOT🔥퓨어아이보리 / 두께 / 폭: 1.7cm/120cm / 길이: 200cm</t>
  </si>
  <si>
    <t>⛄홀리데이⛄디자인: 🔥HOT🔥퓨어아이보리 / 두께 / 폭: 1.7cm/120cm / 길이: 250cm</t>
  </si>
  <si>
    <t>⛄홀리데이⛄디자인: 🔥HOT🔥퓨어아이보리 / 두께 / 폭: 1.7cm/120cm / 길이: 300cm</t>
  </si>
  <si>
    <t>⛄홀리데이⛄디자인: 🔥HOT🔥퓨어아이보리 / 두께 / 폭: 1.7cm/120cm / 길이: 350cm</t>
  </si>
  <si>
    <t>⛄홀리데이⛄디자인: 🔥HOT🔥퓨어아이보리 / 두께 / 폭: 1.7cm/120cm / 길이: 400cm</t>
  </si>
  <si>
    <t>⛄홀리데이⛄디자인: 🔥HOT🔥퓨어아이보리 / 두께 / 폭: 1.7cm/120cm / 길이: 450cm</t>
  </si>
  <si>
    <t>⛄홀리데이⛄디자인: 🔥HOT🔥퓨어아이보리 / 두께 / 폭: 1.7cm/120cm / 길이: 500cm</t>
  </si>
  <si>
    <t>⛄홀리데이⛄디자인: 🔥HOT🔥퓨어아이보리 / 두께 / 폭: 1.7cm/120cm / 길이: 550cm</t>
  </si>
  <si>
    <t>⛄홀리데이⛄디자인: 🔥HOT🔥퓨어아이보리 / 두께 / 폭: 1.7cm/120cm / 길이: 600cm</t>
  </si>
  <si>
    <t>⛄홀리데이⛄디자인: 🔥HOT🔥퓨어아이보리 / 두께 / 폭: 1.7cm/120cm / 길이: 650cm</t>
  </si>
  <si>
    <t>⛄홀리데이⛄디자인: 🔥HOT🔥퓨어아이보리 / 두께 / 폭: 1.7cm/120cm / 길이: 700cm</t>
  </si>
  <si>
    <t>⛄홀리데이⛄디자인: 🔥HOT🔥퓨어아이보리 / 두께 / 폭: 1.7cm/120cm / 길이: 750cm</t>
  </si>
  <si>
    <t>⛄홀리데이⛄디자인: 🔥HOT🔥퓨어아이보리 / 두께 / 폭: 1.7cm/120cm / 길이: 850cm</t>
  </si>
  <si>
    <t>⛄홀리데이⛄디자인: 🔥HOT🔥퓨어아이보리 / 두께 / 폭: 1.7cm/120cm / 길이: 900cm</t>
  </si>
  <si>
    <t>⛄홀리데이⛄디자인: 🔥HOT🔥퓨어아이보리 / 두께 / 폭: 1.7cm/120cm / 길이: 950cm</t>
  </si>
  <si>
    <t>⛄홀리데이⛄디자인: 🔥HOT🔥퓨어아이보리 / 두께 / 폭: 2.2cm/110cm / 길이: 100cm</t>
  </si>
  <si>
    <t>⛄홀리데이⛄디자인: 🔥HOT🔥퓨어아이보리 / 두께 / 폭: 2.2cm/110cm / 길이: 150cm</t>
  </si>
  <si>
    <t>⛄홀리데이⛄디자인: 🔥HOT🔥퓨어아이보리 / 두께 / 폭: 2.2cm/110cm / 길이: 200cm</t>
  </si>
  <si>
    <t>⛄홀리데이⛄디자인: 🔥HOT🔥퓨어아이보리 / 두께 / 폭: 2.2cm/110cm / 길이: 300cm</t>
  </si>
  <si>
    <t>⛄홀리데이⛄디자인: 🔥HOT🔥퓨어아이보리 / 두께 / 폭: 2.2cm/110cm / 길이: 350cm</t>
  </si>
  <si>
    <t>⛄홀리데이⛄디자인: 🔥HOT🔥퓨어아이보리 / 두께 / 폭: 2.2cm/110cm / 길이: 400cm</t>
  </si>
  <si>
    <t>⛄홀리데이⛄디자인: 🔥HOT🔥퓨어아이보리 / 두께 / 폭: 2.2cm/110cm / 길이: 450cm</t>
  </si>
  <si>
    <t>⛄홀리데이⛄디자인: 🔥HOT🔥퓨어아이보리 / 두께 / 폭: 2.2cm/110cm / 길이: 500cm</t>
  </si>
  <si>
    <t>⛄홀리데이⛄디자인: 🔥HOT🔥퓨어아이보리 / 두께 / 폭: 2.2cm/110cm / 길이: 550cm</t>
  </si>
  <si>
    <t>⛄홀리데이⛄디자인: 🔥HOT🔥퓨어아이보리 / 두께 / 폭: 2.2cm/110cm / 길이: 600cm</t>
  </si>
  <si>
    <t>⛄홀리데이⛄디자인: 🔥HOT🔥퓨어아이보리 / 두께 / 폭: 2.2cm/120cm / 길이: 100cm</t>
  </si>
  <si>
    <t>⛄홀리데이⛄디자인: 🔥HOT🔥퓨어아이보리 / 두께 / 폭: 2.2cm/120cm / 길이: 150cm</t>
  </si>
  <si>
    <t>⛄홀리데이⛄디자인: 🔥HOT🔥퓨어아이보리 / 두께 / 폭: 2.2cm/120cm / 길이: 200cm</t>
  </si>
  <si>
    <t>⛄홀리데이⛄디자인: 🔥HOT🔥퓨어아이보리 / 두께 / 폭: 2.2cm/120cm / 길이: 300cm</t>
  </si>
  <si>
    <t>⛄홀리데이⛄디자인: 🔥HOT🔥퓨어아이보리 / 두께 / 폭: 2.2cm/120cm / 길이: 350cm</t>
  </si>
  <si>
    <t>⛄홀리데이⛄디자인: 🔥HOT🔥퓨어아이보리 / 두께 / 폭: 2.2cm/120cm / 길이: 400cm</t>
  </si>
  <si>
    <t>⛄홀리데이⛄디자인: 🔥HOT🔥퓨어아이보리 / 두께 / 폭: 2.2cm/120cm / 길이: 450cm</t>
  </si>
  <si>
    <t>⛄홀리데이⛄디자인: 🔥HOT🔥퓨어아이보리 / 두께 / 폭: 2.2cm/120cm / 길이: 500cm</t>
  </si>
  <si>
    <t>⛄홀리데이⛄디자인: 🔥HOT🔥퓨어아이보리 / 두께 / 폭: 2.2cm/120cm / 길이: 550cm</t>
  </si>
  <si>
    <t>⛄홀리데이⛄디자인: 🔥HOT🔥퓨어아이보리 / 두께 / 폭: 2.2cm/120cm / 길이: 600cm</t>
  </si>
  <si>
    <t>⛄홀리데이⛄디자인: 🔥HOT🔥퓨어아이보리 / 두께 / 폭: 1.7cm/120cm / 길이: 1000cm</t>
  </si>
  <si>
    <t>⛄홀리데이⛄디자인: 🔥HOT🔥퓨어아이보리 / 두께 / 폭: 1.7cm/120cm / 길이: 1050cm</t>
  </si>
  <si>
    <t>⛄홀리데이⛄디자인: 🔥HOT🔥퓨어아이보리 / 두께 / 폭: 1.7cm/120cm / 길이: 1100cm</t>
  </si>
  <si>
    <t>⛄홀리데이⛄디자인: 🔥HOT🔥퓨어아이보리 / 두께 / 폭: 1.7cm/120cm / 길이: 1150cm</t>
  </si>
  <si>
    <t>⛄홀리데이⛄디자인: 🔥HOT🔥퓨어아이보리 / 두께 / 폭: 1.7cm/120cm / 길이: 1200cm</t>
  </si>
  <si>
    <t>⛄홀리데이⛄디자인: 🔥HOT🔥퓨어아이보리 / 두께 / 폭: 1.7cm/140cm / 길이: 1000cm</t>
  </si>
  <si>
    <t>⛄홀리데이⛄디자인: 🔥HOT🔥퓨어아이보리 / 두께 / 폭: 1.7cm/140cm / 길이: 100cm</t>
  </si>
  <si>
    <t>⛄홀리데이⛄디자인: 🔥HOT🔥퓨어아이보리 / 두께 / 폭: 1.7cm/140cm / 길이: 1050cm</t>
  </si>
  <si>
    <t>⛄홀리데이⛄디자인: 🔥HOT🔥퓨어아이보리 / 두께 / 폭: 1.7cm/140cm / 길이: 1100cm</t>
  </si>
  <si>
    <t>⛄홀리데이⛄디자인: 🔥HOT🔥퓨어아이보리 / 두께 / 폭: 1.7cm/140cm / 길이: 1150cm</t>
  </si>
  <si>
    <t>⛄홀리데이⛄디자인: 🔥HOT🔥퓨어아이보리 / 두께 / 폭: 1.7cm/140cm / 길이: 1200cm</t>
  </si>
  <si>
    <t>⛄홀리데이⛄디자인: 🔥HOT🔥퓨어아이보리 / 두께 / 폭: 1.7cm/140cm / 길이: 150cm</t>
  </si>
  <si>
    <t>⛄홀리데이⛄디자인: 🔥HOT🔥퓨어아이보리 / 두께 / 폭: 1.7cm/140cm / 길이: 200cm</t>
  </si>
  <si>
    <t>⛄홀리데이⛄디자인: 🔥HOT🔥퓨어아이보리 / 두께 / 폭: 1.7cm/140cm / 길이: 300cm</t>
  </si>
  <si>
    <t>⛄홀리데이⛄디자인: 🔥HOT🔥퓨어아이보리 / 두께 / 폭: 1.7cm/140cm / 길이: 350cm</t>
  </si>
  <si>
    <t>⛄홀리데이⛄디자인: 🔥HOT🔥퓨어아이보리 / 두께 / 폭: 1.7cm/140cm / 길이: 450cm</t>
  </si>
  <si>
    <t>⛄홀리데이⛄디자인: 🔥HOT🔥퓨어아이보리 / 두께 / 폭: 1.7cm/140cm / 길이: 500cm</t>
  </si>
  <si>
    <t>⛄홀리데이⛄디자인: 🔥HOT🔥퓨어아이보리 / 두께 / 폭: 1.7cm/140cm / 길이: 550cm</t>
  </si>
  <si>
    <t>⛄홀리데이⛄디자인: 🔥HOT🔥퓨어아이보리 / 두께 / 폭: 1.7cm/140cm / 길이: 600cm</t>
  </si>
  <si>
    <t>⛄홀리데이⛄디자인: 🔥HOT🔥퓨어아이보리 / 두께 / 폭: 1.7cm/140cm / 길이: 650cm</t>
  </si>
  <si>
    <t>⛄홀리데이⛄디자인: 🔥HOT🔥퓨어아이보리 / 두께 / 폭: 1.7cm/140cm / 길이: 750cm</t>
  </si>
  <si>
    <t>⛄홀리데이⛄디자인: 🔥HOT🔥퓨어아이보리 / 두께 / 폭: 1.7cm/140cm / 길이: 800cm</t>
  </si>
  <si>
    <t>⛄홀리데이⛄디자인: 🔥HOT🔥퓨어아이보리 / 두께 / 폭: 1.7cm/140cm / 길이: 850cm</t>
  </si>
  <si>
    <t>⛄홀리데이⛄디자인: 🔥HOT🔥퓨어아이보리 / 두께 / 폭: 1.7cm/140cm / 길이: 900cm</t>
  </si>
  <si>
    <t>⛄홀리데이⛄디자인: 🔥HOT🔥퓨어아이보리 / 두께 / 폭: 1.7cm/140cm / 길이: 950cm</t>
  </si>
  <si>
    <t>🍁가을할인페스타🍁 ⛄홀리데이⛄디자인: 🔥HOT🔥퓨어아이보리 / 두께 / 폭: 1.2cm/110cm / 길이: 1000cm</t>
  </si>
  <si>
    <t>🍁가을할인페스타🍁 ⛄홀리데이⛄디자인: 🔥HOT🔥퓨어아이보리 / 두께 / 폭: 1.2cm/110cm / 길이: 100cm</t>
  </si>
  <si>
    <t>🍁가을할인페스타🍁 ⛄홀리데이⛄디자인: 🔥HOT🔥퓨어아이보리 / 두께 / 폭: 1.2cm/110cm / 길이: 1050cm</t>
  </si>
  <si>
    <t>🍁가을할인페스타🍁 ⛄홀리데이⛄디자인: 🔥HOT🔥퓨어아이보리 / 두께 / 폭: 1.2cm/110cm / 길이: 1100cm</t>
  </si>
  <si>
    <t>🍁가을할인페스타🍁 ⛄홀리데이⛄디자인: 🔥HOT🔥퓨어아이보리 / 두께 / 폭: 1.2cm/110cm / 길이: 1150cm</t>
  </si>
  <si>
    <t>🍁가을할인페스타🍁 ⛄홀리데이⛄디자인: 🔥HOT🔥퓨어아이보리 / 두께 / 폭: 1.2cm/110cm / 길이: 1200cm</t>
  </si>
  <si>
    <t>🍁가을할인페스타🍁 ⛄홀리데이⛄디자인: 🔥HOT🔥퓨어아이보리 / 두께 / 폭: 1.2cm/110cm / 길이: 150cm</t>
  </si>
  <si>
    <t>🍁가을할인페스타🍁 ⛄홀리데이⛄디자인: 🔥HOT🔥퓨어아이보리 / 두께 / 폭: 1.2cm/110cm / 길이: 200cm</t>
  </si>
  <si>
    <t>🍁가을할인페스타🍁 ⛄홀리데이⛄디자인: 🔥HOT🔥퓨어아이보리 / 두께 / 폭: 1.2cm/110cm / 길이: 250cm</t>
  </si>
  <si>
    <t>🍁가을할인페스타🍁 ⛄홀리데이⛄디자인: 🔥HOT🔥퓨어아이보리 / 두께 / 폭: 1.2cm/110cm / 길이: 300cm</t>
  </si>
  <si>
    <t>🍁가을할인페스타🍁 ⛄홀리데이⛄디자인: 🔥HOT🔥퓨어아이보리 / 두께 / 폭: 1.2cm/110cm / 길이: 350cm</t>
  </si>
  <si>
    <t>🍁가을할인페스타🍁 ⛄홀리데이⛄디자인: 🔥HOT🔥퓨어아이보리 / 두께 / 폭: 1.2cm/110cm / 길이: 400cm</t>
  </si>
  <si>
    <t>🍁가을할인페스타🍁 ⛄홀리데이⛄디자인: 🔥HOT🔥퓨어아이보리 / 두께 / 폭: 1.2cm/110cm / 길이: 450cm</t>
  </si>
  <si>
    <t>🍁가을할인페스타🍁 ⛄홀리데이⛄디자인: 🔥HOT🔥퓨어아이보리 / 두께 / 폭: 1.2cm/110cm / 길이: 500cm</t>
  </si>
  <si>
    <t>🍁가을할인페스타🍁 ⛄홀리데이⛄디자인: 🔥HOT🔥퓨어아이보리 / 두께 / 폭: 1.2cm/110cm / 길이: 550cm</t>
  </si>
  <si>
    <t>🍁가을할인페스타🍁 ⛄홀리데이⛄디자인: 🔥HOT🔥퓨어아이보리 / 두께 / 폭: 1.2cm/110cm / 길이: 600cm</t>
  </si>
  <si>
    <t>🍁가을할인페스타🍁 ⛄홀리데이⛄디자인: 🔥HOT🔥퓨어아이보리 / 두께 / 폭: 1.2cm/110cm / 길이: 650cm</t>
  </si>
  <si>
    <t>🍁가을할인페스타🍁 ⛄홀리데이⛄디자인: 🔥HOT🔥퓨어아이보리 / 두께 / 폭: 1.2cm/110cm / 길이: 700cm</t>
  </si>
  <si>
    <t>🍁가을할인페스타🍁 ⛄홀리데이⛄디자인: 🔥HOT🔥퓨어아이보리 / 두께 / 폭: 1.2cm/110cm / 길이: 750cm</t>
  </si>
  <si>
    <t>🍁가을할인페스타🍁 ⛄홀리데이⛄디자인: 🔥HOT🔥퓨어아이보리 / 두께 / 폭: 1.2cm/110cm / 길이: 800cm</t>
  </si>
  <si>
    <t>🍁가을할인페스타🍁 ⛄홀리데이⛄디자인: 🔥HOT🔥퓨어아이보리 / 두께 / 폭: 1.2cm/110cm / 길이: 850cm</t>
  </si>
  <si>
    <t>🍁가을할인페스타🍁 ⛄홀리데이⛄디자인: 🔥HOT🔥퓨어아이보리 / 두께 / 폭: 1.2cm/110cm / 길이: 900cm</t>
  </si>
  <si>
    <t>🍁가을할인페스타🍁 ⛄홀리데이⛄디자인: 🔥HOT🔥퓨어아이보리 / 두께 / 폭: 1.2cm/110cm / 길이: 950cm</t>
  </si>
  <si>
    <t>🍁가을할인페스타🍁 ⛄홀리데이⛄디자인: 🔥HOT🔥퓨어아이보리 / 두께 / 폭: 1.2cm/140cm / 길이: 1000cm</t>
  </si>
  <si>
    <t>🍁가을할인페스타🍁 ⛄홀리데이⛄디자인: 🔥HOT🔥퓨어아이보리 / 두께 / 폭: 1.2cm/140cm / 길이: 100cm</t>
  </si>
  <si>
    <t>🍁가을할인페스타🍁 ⛄홀리데이⛄디자인: 🔥HOT🔥퓨어아이보리 / 두께 / 폭: 1.2cm/140cm / 길이: 1050cm</t>
  </si>
  <si>
    <t>🍁가을할인페스타🍁 ⛄홀리데이⛄디자인: 🔥HOT🔥퓨어아이보리 / 두께 / 폭: 1.2cm/140cm / 길이: 1100cm</t>
  </si>
  <si>
    <t>🍁가을할인페스타🍁 ⛄홀리데이⛄디자인: 🔥HOT🔥퓨어아이보리 / 두께 / 폭: 1.2cm/140cm / 길이: 1150cm</t>
  </si>
  <si>
    <t>🍁가을할인페스타🍁 ⛄홀리데이⛄디자인: 🔥HOT🔥퓨어아이보리 / 두께 / 폭: 1.2cm/140cm / 길이: 1200cm</t>
  </si>
  <si>
    <t>🍁가을할인페스타🍁 ⛄홀리데이⛄디자인: 🔥HOT🔥퓨어아이보리 / 두께 / 폭: 1.2cm/140cm / 길이: 150cm</t>
  </si>
  <si>
    <t>🍁가을할인페스타🍁 ⛄홀리데이⛄디자인: 🔥HOT🔥퓨어아이보리 / 두께 / 폭: 1.2cm/140cm / 길이: 200cm</t>
  </si>
  <si>
    <t>🍁가을할인페스타🍁 ⛄홀리데이⛄디자인: 🔥HOT🔥퓨어아이보리 / 두께 / 폭: 1.2cm/140cm / 길이: 250cm</t>
  </si>
  <si>
    <t>🍁가을할인페스타🍁 ⛄홀리데이⛄디자인: 🔥HOT🔥퓨어아이보리 / 두께 / 폭: 1.2cm/140cm / 길이: 300cm</t>
  </si>
  <si>
    <t>🍁가을할인페스타🍁 ⛄홀리데이⛄디자인: 🔥HOT🔥퓨어아이보리 / 두께 / 폭: 1.2cm/140cm / 길이: 350cm</t>
  </si>
  <si>
    <t>🍁가을할인페스타🍁 ⛄홀리데이⛄디자인: 🔥HOT🔥퓨어아이보리 / 두께 / 폭: 1.2cm/140cm / 길이: 400cm</t>
  </si>
  <si>
    <t>🍁가을할인페스타🍁 ⛄홀리데이⛄디자인: 🔥HOT🔥퓨어아이보리 / 두께 / 폭: 1.2cm/140cm / 길이: 450cm</t>
  </si>
  <si>
    <t>🍁가을할인페스타🍁 ⛄홀리데이⛄디자인: 🔥HOT🔥퓨어아이보리 / 두께 / 폭: 1.2cm/140cm / 길이: 500cm</t>
  </si>
  <si>
    <t>🍁가을할인페스타🍁 ⛄홀리데이⛄디자인: 🔥HOT🔥퓨어아이보리 / 두께 / 폭: 1.2cm/140cm / 길이: 550cm</t>
  </si>
  <si>
    <t>🍁가을할인페스타🍁 ⛄홀리데이⛄디자인: 🔥HOT🔥퓨어아이보리 / 두께 / 폭: 1.2cm/140cm / 길이: 600cm</t>
  </si>
  <si>
    <t>🍁가을할인페스타🍁 ⛄홀리데이⛄디자인: 🔥HOT🔥퓨어아이보리 / 두께 / 폭: 1.2cm/140cm / 길이: 650cm</t>
  </si>
  <si>
    <t>🍁가을할인페스타🍁 ⛄홀리데이⛄디자인: 🔥HOT🔥퓨어아이보리 / 두께 / 폭: 1.2cm/140cm / 길이: 700cm</t>
  </si>
  <si>
    <t>🍁가을할인페스타🍁 ⛄홀리데이⛄디자인: 🔥HOT🔥퓨어아이보리 / 두께 / 폭: 1.2cm/140cm / 길이: 750cm</t>
  </si>
  <si>
    <t>🍁가을할인페스타🍁 ⛄홀리데이⛄디자인: 🔥HOT🔥퓨어아이보리 / 두께 / 폭: 1.2cm/140cm / 길이: 800cm</t>
  </si>
  <si>
    <t>🍁가을할인페스타🍁 ⛄홀리데이⛄디자인: 🔥HOT🔥퓨어아이보리 / 두께 / 폭: 1.2cm/140cm / 길이: 850cm</t>
  </si>
  <si>
    <t>🍁가을할인페스타🍁 ⛄홀리데이⛄디자인: 🔥HOT🔥퓨어아이보리 / 두께 / 폭: 1.2cm/140cm / 길이: 900cm</t>
  </si>
  <si>
    <t>🍁가을할인페스타🍁 ⛄홀리데이⛄디자인: 🔥HOT🔥퓨어아이보리 / 두께 / 폭: 1.2cm/140cm / 길이: 950cm</t>
  </si>
  <si>
    <t>🍁가을할인페스타🍁 ⛄홀리데이⛄디자인: 🔥HOT🔥퓨어아이보리 / 두께 / 폭: 1.7cm/110cm / 길이: 1000cm</t>
  </si>
  <si>
    <t>🍁가을할인페스타🍁 ⛄홀리데이⛄디자인: 🔥HOT🔥퓨어아이보리 / 두께 / 폭: 1.7cm/110cm / 길이: 100cm</t>
  </si>
  <si>
    <t>🍁가을할인페스타🍁 ⛄홀리데이⛄디자인: 🔥HOT🔥퓨어아이보리 / 두께 / 폭: 1.7cm/110cm / 길이: 1050cm</t>
  </si>
  <si>
    <t>🍁가을할인페스타🍁 ⛄홀리데이⛄디자인: 🔥HOT🔥퓨어아이보리 / 두께 / 폭: 1.7cm/110cm / 길이: 1100cm</t>
  </si>
  <si>
    <t>🍁가을할인페스타🍁 ⛄홀리데이⛄디자인: 🔥HOT🔥퓨어아이보리 / 두께 / 폭: 1.7cm/110cm / 길이: 1150cm</t>
  </si>
  <si>
    <t>🍁가을할인페스타🍁 ⛄홀리데이⛄디자인: 🔥HOT🔥퓨어아이보리 / 두께 / 폭: 1.7cm/110cm / 길이: 1200cm</t>
  </si>
  <si>
    <t>🍁가을할인페스타🍁 ⛄홀리데이⛄디자인: 🔥HOT🔥퓨어아이보리 / 두께 / 폭: 1.7cm/110cm / 길이: 150cm</t>
  </si>
  <si>
    <t>🍁가을할인페스타🍁 ⛄홀리데이⛄디자인: 🔥HOT🔥퓨어아이보리 / 두께 / 폭: 1.7cm/110cm / 길이: 200cm</t>
  </si>
  <si>
    <t>🍁가을할인페스타🍁 ⛄홀리데이⛄디자인: 🔥HOT🔥퓨어아이보리 / 두께 / 폭: 1.7cm/110cm / 길이: 250cm</t>
  </si>
  <si>
    <t>🍁가을할인페스타🍁 ⛄홀리데이⛄디자인: 🔥HOT🔥퓨어아이보리 / 두께 / 폭: 1.7cm/110cm / 길이: 300cm</t>
  </si>
  <si>
    <t>🍁가을할인페스타🍁 ⛄홀리데이⛄디자인: 🔥HOT🔥퓨어아이보리 / 두께 / 폭: 1.7cm/110cm / 길이: 350cm</t>
  </si>
  <si>
    <t>🍁가을할인페스타🍁 ⛄홀리데이⛄디자인: 🔥HOT🔥퓨어아이보리 / 두께 / 폭: 1.7cm/110cm / 길이: 400cm</t>
  </si>
  <si>
    <t>🍁가을할인페스타🍁 ⛄홀리데이⛄디자인: 🔥HOT🔥퓨어아이보리 / 두께 / 폭: 1.7cm/110cm / 길이: 450cm</t>
  </si>
  <si>
    <t>🍁가을할인페스타🍁 ⛄홀리데이⛄디자인: 🔥HOT🔥퓨어아이보리 / 두께 / 폭: 1.7cm/110cm / 길이: 500cm</t>
  </si>
  <si>
    <t>🍁가을할인페스타🍁 ⛄홀리데이⛄디자인: 🔥HOT🔥퓨어아이보리 / 두께 / 폭: 1.7cm/110cm / 길이: 550cm</t>
  </si>
  <si>
    <t>🍁가을할인페스타🍁 ⛄홀리데이⛄디자인: 🔥HOT🔥퓨어아이보리 / 두께 / 폭: 1.7cm/110cm / 길이: 600cm</t>
  </si>
  <si>
    <t>🍁가을할인페스타🍁 ⛄홀리데이⛄디자인: 🔥HOT🔥퓨어아이보리 / 두께 / 폭: 1.7cm/110cm / 길이: 650cm</t>
  </si>
  <si>
    <t>🍁가을할인페스타🍁 ⛄홀리데이⛄디자인: 🔥HOT🔥퓨어아이보리 / 두께 / 폭: 1.7cm/110cm / 길이: 700cm</t>
  </si>
  <si>
    <t>🍁가을할인페스타🍁 ⛄홀리데이⛄디자인: 🔥HOT🔥퓨어아이보리 / 두께 / 폭: 1.7cm/110cm / 길이: 750cm</t>
  </si>
  <si>
    <t>🍁가을할인페스타🍁 ⛄홀리데이⛄디자인: 🔥HOT🔥퓨어아이보리 / 두께 / 폭: 1.7cm/110cm / 길이: 800cm</t>
  </si>
  <si>
    <t>🍁가을할인페스타🍁 ⛄홀리데이⛄디자인: 🔥HOT🔥퓨어아이보리 / 두께 / 폭: 1.7cm/110cm / 길이: 850cm</t>
  </si>
  <si>
    <t>🍁가을할인페스타🍁 ⛄홀리데이⛄디자인: 🔥HOT🔥퓨어아이보리 / 두께 / 폭: 1.7cm/110cm / 길이: 900cm</t>
  </si>
  <si>
    <t>🍁가을할인페스타🍁 ⛄홀리데이⛄디자인: 🔥HOT🔥퓨어아이보리 / 두께 / 폭: 1.7cm/110cm / 길이: 950cm</t>
  </si>
  <si>
    <t>🍁가을할인페스타🍁 ⛄홀리데이⛄디자인: 🔥HOT🔥퓨어아이보리 / 두께 / 폭: 1.7cm/140cm / 길이: 1000cm</t>
  </si>
  <si>
    <t>🍁가을할인페스타🍁 ⛄홀리데이⛄디자인: 🔥HOT🔥퓨어아이보리 / 두께 / 폭: 1.7cm/140cm / 길이: 100cm</t>
  </si>
  <si>
    <t>🍁가을할인페스타🍁 ⛄홀리데이⛄디자인: 🔥HOT🔥퓨어아이보리 / 두께 / 폭: 1.7cm/140cm / 길이: 1050cm</t>
  </si>
  <si>
    <t>🍁가을할인페스타🍁 ⛄홀리데이⛄디자인: 🔥HOT🔥퓨어아이보리 / 두께 / 폭: 1.7cm/140cm / 길이: 1100cm</t>
  </si>
  <si>
    <t>🍁가을할인페스타🍁 ⛄홀리데이⛄디자인: 🔥HOT🔥퓨어아이보리 / 두께 / 폭: 1.7cm/140cm / 길이: 1150cm</t>
  </si>
  <si>
    <t>🍁가을할인페스타🍁 ⛄홀리데이⛄디자인: 🔥HOT🔥퓨어아이보리 / 두께 / 폭: 1.7cm/140cm / 길이: 1200cm</t>
  </si>
  <si>
    <t>🍁가을할인페스타🍁 ⛄홀리데이⛄디자인: 🔥HOT🔥퓨어아이보리 / 두께 / 폭: 1.7cm/140cm / 길이: 150cm</t>
  </si>
  <si>
    <t>🍁가을할인페스타🍁 ⛄홀리데이⛄디자인: 🔥HOT🔥퓨어아이보리 / 두께 / 폭: 1.7cm/140cm / 길이: 200cm</t>
  </si>
  <si>
    <t>🍁가을할인페스타🍁 ⛄홀리데이⛄디자인: 🔥HOT🔥퓨어아이보리 / 두께 / 폭: 1.7cm/140cm / 길이: 250cm</t>
  </si>
  <si>
    <t>🍁가을할인페스타🍁 ⛄홀리데이⛄디자인: 🔥HOT🔥퓨어아이보리 / 두께 / 폭: 1.7cm/140cm / 길이: 300cm</t>
  </si>
  <si>
    <t>🍁가을할인페스타🍁 ⛄홀리데이⛄디자인: 🔥HOT🔥퓨어아이보리 / 두께 / 폭: 1.7cm/140cm / 길이: 350cm</t>
  </si>
  <si>
    <t>🍁가을할인페스타🍁 ⛄홀리데이⛄디자인: 🔥HOT🔥퓨어아이보리 / 두께 / 폭: 1.7cm/140cm / 길이: 400cm</t>
  </si>
  <si>
    <t>🍁가을할인페스타🍁 ⛄홀리데이⛄디자인: 🔥HOT🔥퓨어아이보리 / 두께 / 폭: 1.7cm/140cm / 길이: 450cm</t>
  </si>
  <si>
    <t>🍁가을할인페스타🍁 ⛄홀리데이⛄디자인: 🔥HOT🔥퓨어아이보리 / 두께 / 폭: 1.7cm/140cm / 길이: 500cm</t>
  </si>
  <si>
    <t>🍁가을할인페스타🍁 ⛄홀리데이⛄디자인: 🔥HOT🔥퓨어아이보리 / 두께 / 폭: 1.7cm/140cm / 길이: 550cm</t>
  </si>
  <si>
    <t>🍁가을할인페스타🍁 ⛄홀리데이⛄디자인: 🔥HOT🔥퓨어아이보리 / 두께 / 폭: 1.7cm/140cm / 길이: 600cm</t>
  </si>
  <si>
    <t>🍁가을할인페스타🍁 ⛄홀리데이⛄디자인: 🔥HOT🔥퓨어아이보리 / 두께 / 폭: 1.7cm/140cm / 길이: 650cm</t>
  </si>
  <si>
    <t>🍁가을할인페스타🍁 ⛄홀리데이⛄디자인: 🔥HOT🔥퓨어아이보리 / 두께 / 폭: 1.7cm/140cm / 길이: 700cm</t>
  </si>
  <si>
    <t>🍁가을할인페스타🍁 ⛄홀리데이⛄디자인: 🔥HOT🔥퓨어아이보리 / 두께 / 폭: 1.7cm/140cm / 길이: 750cm</t>
  </si>
  <si>
    <t>🍁가을할인페스타🍁 ⛄홀리데이⛄디자인: 🔥HOT🔥퓨어아이보리 / 두께 / 폭: 1.7cm/140cm / 길이: 800cm</t>
  </si>
  <si>
    <t>🍁가을할인페스타🍁 ⛄홀리데이⛄디자인: 🔥HOT🔥퓨어아이보리 / 두께 / 폭: 1.7cm/140cm / 길이: 850cm</t>
  </si>
  <si>
    <t>🍁가을할인페스타🍁 ⛄홀리데이⛄디자인: 🔥HOT🔥퓨어아이보리 / 두께 / 폭: 1.7cm/140cm / 길이: 900cm</t>
  </si>
  <si>
    <t>🍁가을할인페스타🍁 ⛄홀리데이⛄디자인: 🔥HOT🔥퓨어아이보리 / 두께 / 폭: 1.7cm/140cm / 길이: 950cm</t>
  </si>
  <si>
    <t>⛄홀리데이⛄디자인: 🏆BEST🏆마블아이보리 / 두께 / 폭: 1.2cm/110cm / 길이: 1000cm</t>
  </si>
  <si>
    <t>⛄홀리데이⛄디자인: 🏆BEST🏆마블아이보리 / 두께 / 폭: 1.2cm/110cm / 길이: 100cm</t>
  </si>
  <si>
    <t>⛄홀리데이⛄디자인: 🏆BEST🏆마블아이보리 / 두께 / 폭: 1.2cm/110cm / 길이: 1050cm</t>
  </si>
  <si>
    <t>⛄홀리데이⛄디자인: 🏆BEST🏆마블아이보리 / 두께 / 폭: 1.2cm/110cm / 길이: 1100cm</t>
  </si>
  <si>
    <t>⛄홀리데이⛄디자인: 🏆BEST🏆마블아이보리 / 두께 / 폭: 1.2cm/110cm / 길이: 1150cm</t>
  </si>
  <si>
    <t>⛄홀리데이⛄디자인: 🏆BEST🏆마블아이보리 / 두께 / 폭: 1.2cm/110cm / 길이: 1200cm</t>
  </si>
  <si>
    <t>⛄홀리데이⛄디자인: 🏆BEST🏆마블아이보리 / 두께 / 폭: 1.2cm/110cm / 길이: 150cm</t>
  </si>
  <si>
    <t>⛄홀리데이⛄디자인: 🏆BEST🏆마블아이보리 / 두께 / 폭: 1.2cm/110cm / 길이: 200cm</t>
  </si>
  <si>
    <t>⛄홀리데이⛄디자인: 🏆BEST🏆마블아이보리 / 두께 / 폭: 1.2cm/110cm / 길이: 250cm</t>
  </si>
  <si>
    <t>⛄홀리데이⛄디자인: 🏆BEST🏆마블아이보리 / 두께 / 폭: 1.2cm/110cm / 길이: 300cm</t>
  </si>
  <si>
    <t>⛄홀리데이⛄디자인: 🏆BEST🏆마블아이보리 / 두께 / 폭: 1.2cm/110cm / 길이: 350cm</t>
  </si>
  <si>
    <t>⛄홀리데이⛄디자인: 🏆BEST🏆마블아이보리 / 두께 / 폭: 1.2cm/110cm / 길이: 400cm</t>
  </si>
  <si>
    <t>⛄홀리데이⛄디자인: 🏆BEST🏆마블아이보리 / 두께 / 폭: 1.2cm/110cm / 길이: 450cm</t>
  </si>
  <si>
    <t>⛄홀리데이⛄디자인: 🏆BEST🏆마블아이보리 / 두께 / 폭: 1.2cm/110cm / 길이: 500cm</t>
  </si>
  <si>
    <t>⛄홀리데이⛄디자인: 🏆BEST🏆마블아이보리 / 두께 / 폭: 1.2cm/110cm / 길이: 550cm</t>
  </si>
  <si>
    <t>⛄홀리데이⛄디자인: 🏆BEST🏆마블아이보리 / 두께 / 폭: 1.2cm/110cm / 길이: 600cm</t>
  </si>
  <si>
    <t>⛄홀리데이⛄디자인: 🏆BEST🏆마블아이보리 / 두께 / 폭: 1.2cm/110cm / 길이: 650cm</t>
  </si>
  <si>
    <t>⛄홀리데이⛄디자인: 🏆BEST🏆마블아이보리 / 두께 / 폭: 1.2cm/110cm / 길이: 700cm</t>
  </si>
  <si>
    <t>⛄홀리데이⛄디자인: 🏆BEST🏆마블아이보리 / 두께 / 폭: 1.2cm/110cm / 길이: 750cm</t>
  </si>
  <si>
    <t>⛄홀리데이⛄디자인: 🏆BEST🏆마블아이보리 / 두께 / 폭: 1.2cm/110cm / 길이: 800cm</t>
  </si>
  <si>
    <t>⛄홀리데이⛄디자인: 🏆BEST🏆마블아이보리 / 두께 / 폭: 1.2cm/110cm / 길이: 850cm</t>
  </si>
  <si>
    <t>⛄홀리데이⛄디자인: 🏆BEST🏆마블아이보리 / 두께 / 폭: 1.2cm/110cm / 길이: 900cm</t>
  </si>
  <si>
    <t>⛄홀리데이⛄디자인: 🏆BEST🏆마블아이보리 / 두께 / 폭: 1.2cm/110cm / 길이: 950cm</t>
  </si>
  <si>
    <t>⛄홀리데이⛄디자인: 🏆BEST🏆마블아이보리 / 두께 / 폭: 1.2cm/120cm / 길이: 1000cm</t>
  </si>
  <si>
    <t>⛄홀리데이⛄디자인: 🏆BEST🏆마블아이보리 / 두께 / 폭: 1.2cm/120cm / 길이: 100cm</t>
  </si>
  <si>
    <t>⛄홀리데이⛄디자인: 🏆BEST🏆마블아이보리 / 두께 / 폭: 1.2cm/120cm / 길이: 1050cm</t>
  </si>
  <si>
    <t>⛄홀리데이⛄디자인: 🏆BEST🏆마블아이보리 / 두께 / 폭: 1.2cm/120cm / 길이: 1100cm</t>
  </si>
  <si>
    <t>⛄홀리데이⛄디자인: 🏆BEST🏆마블아이보리 / 두께 / 폭: 1.2cm/120cm / 길이: 1150cm</t>
  </si>
  <si>
    <t>⛄홀리데이⛄디자인: 🏆BEST🏆마블아이보리 / 두께 / 폭: 1.2cm/120cm / 길이: 1200cm</t>
  </si>
  <si>
    <t>⛄홀리데이⛄디자인: 🏆BEST🏆마블아이보리 / 두께 / 폭: 1.2cm/120cm / 길이: 150cm</t>
  </si>
  <si>
    <t>⛄홀리데이⛄디자인: 🏆BEST🏆마블아이보리 / 두께 / 폭: 1.2cm/120cm / 길이: 200cm</t>
  </si>
  <si>
    <t>⛄홀리데이⛄디자인: 🏆BEST🏆마블아이보리 / 두께 / 폭: 1.2cm/120cm / 길이: 250cm</t>
  </si>
  <si>
    <t>⛄홀리데이⛄디자인: 🏆BEST🏆마블아이보리 / 두께 / 폭: 1.2cm/120cm / 길이: 300cm</t>
  </si>
  <si>
    <t>⛄홀리데이⛄디자인: 🏆BEST🏆마블아이보리 / 두께 / 폭: 1.2cm/120cm / 길이: 350cm</t>
  </si>
  <si>
    <t>⛄홀리데이⛄디자인: 🏆BEST🏆마블아이보리 / 두께 / 폭: 1.2cm/120cm / 길이: 400cm</t>
  </si>
  <si>
    <t>⛄홀리데이⛄디자인: 🏆BEST🏆마블아이보리 / 두께 / 폭: 1.2cm/120cm / 길이: 450cm</t>
  </si>
  <si>
    <t>⛄홀리데이⛄디자인: 🏆BEST🏆마블아이보리 / 두께 / 폭: 1.2cm/120cm / 길이: 500cm</t>
  </si>
  <si>
    <t>⛄홀리데이⛄디자인: 🏆BEST🏆마블아이보리 / 두께 / 폭: 1.2cm/120cm / 길이: 550cm</t>
  </si>
  <si>
    <t>⛄홀리데이⛄디자인: 🏆BEST🏆마블아이보리 / 두께 / 폭: 1.2cm/120cm / 길이: 600cm</t>
  </si>
  <si>
    <t>⛄홀리데이⛄디자인: 🏆BEST🏆마블아이보리 / 두께 / 폭: 1.2cm/120cm / 길이: 650cm</t>
  </si>
  <si>
    <t>⛄홀리데이⛄디자인: 🏆BEST🏆마블아이보리 / 두께 / 폭: 1.2cm/120cm / 길이: 700cm</t>
  </si>
  <si>
    <t>⛄홀리데이⛄디자인: 🏆BEST🏆마블아이보리 / 두께 / 폭: 1.2cm/120cm / 길이: 750cm</t>
  </si>
  <si>
    <t>⛄홀리데이⛄디자인: 🏆BEST🏆마블아이보리 / 두께 / 폭: 1.2cm/120cm / 길이: 800cm</t>
  </si>
  <si>
    <t>⛄홀리데이⛄디자인: 🏆BEST🏆마블아이보리 / 두께 / 폭: 1.2cm/120cm / 길이: 850cm</t>
  </si>
  <si>
    <t>⛄홀리데이⛄디자인: 🏆BEST🏆마블아이보리 / 두께 / 폭: 1.2cm/120cm / 길이: 900cm</t>
  </si>
  <si>
    <t>⛄홀리데이⛄디자인: 🏆BEST🏆마블아이보리 / 두께 / 폭: 1.2cm/120cm / 길이: 950cm</t>
  </si>
  <si>
    <t>⛄홀리데이⛄디자인: 🏆BEST🏆마블아이보리 / 두께 / 폭: 1.2cm/140cm / 길이: 1000cm</t>
  </si>
  <si>
    <t>⛄홀리데이⛄디자인: 🏆BEST🏆마블아이보리 / 두께 / 폭: 1.2cm/140cm / 길이: 100cm</t>
  </si>
  <si>
    <t>⛄홀리데이⛄디자인: 🏆BEST🏆마블아이보리 / 두께 / 폭: 1.2cm/140cm / 길이: 1050cm</t>
  </si>
  <si>
    <t>⛄홀리데이⛄디자인: 🏆BEST🏆마블아이보리 / 두께 / 폭: 1.2cm/140cm / 길이: 1100cm</t>
  </si>
  <si>
    <t>⛄홀리데이⛄디자인: 🏆BEST🏆마블아이보리 / 두께 / 폭: 1.2cm/140cm / 길이: 1150cm</t>
  </si>
  <si>
    <t>⛄홀리데이⛄디자인: 🏆BEST🏆마블아이보리 / 두께 / 폭: 1.2cm/140cm / 길이: 1200cm</t>
  </si>
  <si>
    <t>⛄홀리데이⛄디자인: 🏆BEST🏆마블아이보리 / 두께 / 폭: 1.2cm/140cm / 길이: 150cm</t>
  </si>
  <si>
    <t>⛄홀리데이⛄디자인: 🏆BEST🏆마블아이보리 / 두께 / 폭: 1.2cm/140cm / 길이: 200cm</t>
  </si>
  <si>
    <t>⛄홀리데이⛄디자인: 🏆BEST🏆마블아이보리 / 두께 / 폭: 1.2cm/140cm / 길이: 250cm</t>
  </si>
  <si>
    <t>⛄홀리데이⛄디자인: 🏆BEST🏆마블아이보리 / 두께 / 폭: 1.2cm/140cm / 길이: 300cm</t>
  </si>
  <si>
    <t>⛄홀리데이⛄디자인: 🏆BEST🏆마블아이보리 / 두께 / 폭: 1.2cm/140cm / 길이: 350cm</t>
  </si>
  <si>
    <t>⛄홀리데이⛄디자인: 🏆BEST🏆마블아이보리 / 두께 / 폭: 1.2cm/140cm / 길이: 400cm</t>
  </si>
  <si>
    <t>⛄홀리데이⛄디자인: 🏆BEST🏆마블아이보리 / 두께 / 폭: 1.2cm/140cm / 길이: 450cm</t>
  </si>
  <si>
    <t>⛄홀리데이⛄디자인: 🏆BEST🏆마블아이보리 / 두께 / 폭: 1.2cm/140cm / 길이: 500cm</t>
  </si>
  <si>
    <t>⛄홀리데이⛄디자인: 🏆BEST🏆마블아이보리 / 두께 / 폭: 1.2cm/140cm / 길이: 550cm</t>
  </si>
  <si>
    <t>⛄홀리데이⛄디자인: 🏆BEST🏆마블아이보리 / 두께 / 폭: 1.2cm/140cm / 길이: 600cm</t>
  </si>
  <si>
    <t>⛄홀리데이⛄디자인: 🏆BEST🏆마블아이보리 / 두께 / 폭: 1.2cm/140cm / 길이: 650cm</t>
  </si>
  <si>
    <t>⛄홀리데이⛄디자인: 🏆BEST🏆마블아이보리 / 두께 / 폭: 1.2cm/140cm / 길이: 700cm</t>
  </si>
  <si>
    <t>⛄홀리데이⛄디자인: 🏆BEST🏆마블아이보리 / 두께 / 폭: 1.2cm/140cm / 길이: 750cm</t>
  </si>
  <si>
    <t>⛄홀리데이⛄디자인: 🏆BEST🏆마블아이보리 / 두께 / 폭: 1.2cm/140cm / 길이: 800cm</t>
  </si>
  <si>
    <t>⛄홀리데이⛄디자인: 🏆BEST🏆마블아이보리 / 두께 / 폭: 1.2cm/140cm / 길이: 850cm</t>
  </si>
  <si>
    <t>⛄홀리데이⛄디자인: 🏆BEST🏆마블아이보리 / 두께 / 폭: 1.2cm/140cm / 길이: 900cm</t>
  </si>
  <si>
    <t>⛄홀리데이⛄디자인: 🏆BEST🏆마블아이보리 / 두께 / 폭: 1.2cm/140cm / 길이: 950cm</t>
  </si>
  <si>
    <t>⛄홀리데이⛄디자인: 🏆BEST🏆마블아이보리 / 두께 / 폭: 1.4cm/110cm / 길이: 1000cm</t>
  </si>
  <si>
    <t>⛄홀리데이⛄디자인: 🏆BEST🏆마블아이보리 / 두께 / 폭: 1.4cm/110cm / 길이: 100cm</t>
  </si>
  <si>
    <t>⛄홀리데이⛄디자인: 🏆BEST🏆마블아이보리 / 두께 / 폭: 1.4cm/110cm / 길이: 1050cm</t>
  </si>
  <si>
    <t>⛄홀리데이⛄디자인: 🏆BEST🏆마블아이보리 / 두께 / 폭: 1.4cm/110cm / 길이: 1100cm</t>
  </si>
  <si>
    <t>⛄홀리데이⛄디자인: 🏆BEST🏆마블아이보리 / 두께 / 폭: 1.4cm/110cm / 길이: 1150cm</t>
  </si>
  <si>
    <t>⛄홀리데이⛄디자인: 🏆BEST🏆마블아이보리 / 두께 / 폭: 1.4cm/110cm / 길이: 1200cm</t>
  </si>
  <si>
    <t>⛄홀리데이⛄디자인: 🏆BEST🏆마블아이보리 / 두께 / 폭: 1.4cm/110cm / 길이: 150cm</t>
  </si>
  <si>
    <t>⛄홀리데이⛄디자인: 🏆BEST🏆마블아이보리 / 두께 / 폭: 1.4cm/110cm / 길이: 200cm</t>
  </si>
  <si>
    <t>⛄홀리데이⛄디자인: 🏆BEST🏆마블아이보리 / 두께 / 폭: 1.4cm/110cm / 길이: 250cm</t>
  </si>
  <si>
    <t>⛄홀리데이⛄디자인: 🏆BEST🏆마블아이보리 / 두께 / 폭: 1.4cm/110cm / 길이: 300cm</t>
  </si>
  <si>
    <t>⛄홀리데이⛄디자인: 🏆BEST🏆마블아이보리 / 두께 / 폭: 1.4cm/110cm / 길이: 350cm</t>
  </si>
  <si>
    <t>⛄홀리데이⛄디자인: 🏆BEST🏆마블아이보리 / 두께 / 폭: 1.4cm/110cm / 길이: 400cm</t>
  </si>
  <si>
    <t>⛄홀리데이⛄디자인: 🏆BEST🏆마블아이보리 / 두께 / 폭: 1.4cm/110cm / 길이: 450cm</t>
  </si>
  <si>
    <t>⛄홀리데이⛄디자인: 🏆BEST🏆마블아이보리 / 두께 / 폭: 1.4cm/110cm / 길이: 500cm</t>
  </si>
  <si>
    <t>⛄홀리데이⛄디자인: 🏆BEST🏆마블아이보리 / 두께 / 폭: 1.4cm/110cm / 길이: 550cm</t>
  </si>
  <si>
    <t>⛄홀리데이⛄디자인: 🏆BEST🏆마블아이보리 / 두께 / 폭: 1.4cm/110cm / 길이: 600cm</t>
  </si>
  <si>
    <t>⛄홀리데이⛄디자인: 🏆BEST🏆마블아이보리 / 두께 / 폭: 1.4cm/110cm / 길이: 650cm</t>
  </si>
  <si>
    <t>⛄홀리데이⛄디자인: 🏆BEST🏆마블아이보리 / 두께 / 폭: 1.4cm/110cm / 길이: 700cm</t>
  </si>
  <si>
    <t>⛄홀리데이⛄디자인: 🏆BEST🏆마블아이보리 / 두께 / 폭: 1.4cm/110cm / 길이: 750cm</t>
  </si>
  <si>
    <t>⛄홀리데이⛄디자인: 🏆BEST🏆마블아이보리 / 두께 / 폭: 1.4cm/110cm / 길이: 800cm</t>
  </si>
  <si>
    <t>⛄홀리데이⛄디자인: 🏆BEST🏆마블아이보리 / 두께 / 폭: 1.4cm/110cm / 길이: 850cm</t>
  </si>
  <si>
    <t>⛄홀리데이⛄디자인: 🏆BEST🏆마블아이보리 / 두께 / 폭: 1.4cm/110cm / 길이: 900cm</t>
  </si>
  <si>
    <t>⛄홀리데이⛄디자인: 🏆BEST🏆마블아이보리 / 두께 / 폭: 1.4cm/110cm / 길이: 950cm</t>
  </si>
  <si>
    <t>⛄홀리데이⛄디자인: 🏆BEST🏆마블아이보리 / 두께 / 폭: 1.4cm/120cm / 길이: 1000cm</t>
  </si>
  <si>
    <t>⛄홀리데이⛄디자인: 🏆BEST🏆마블아이보리 / 두께 / 폭: 1.4cm/120cm / 길이: 100cm</t>
  </si>
  <si>
    <t>⛄홀리데이⛄디자인: 🏆BEST🏆마블아이보리 / 두께 / 폭: 1.4cm/120cm / 길이: 1050cm</t>
  </si>
  <si>
    <t>⛄홀리데이⛄디자인: 🏆BEST🏆마블아이보리 / 두께 / 폭: 1.4cm/120cm / 길이: 1100cm</t>
  </si>
  <si>
    <t>⛄홀리데이⛄디자인: 🏆BEST🏆마블아이보리 / 두께 / 폭: 1.4cm/120cm / 길이: 1150cm</t>
  </si>
  <si>
    <t>⛄홀리데이⛄디자인: 🏆BEST🏆마블아이보리 / 두께 / 폭: 1.4cm/120cm / 길이: 1200cm</t>
  </si>
  <si>
    <t>⛄홀리데이⛄디자인: 🏆BEST🏆마블아이보리 / 두께 / 폭: 1.4cm/120cm / 길이: 150cm</t>
  </si>
  <si>
    <t>⛄홀리데이⛄디자인: 🏆BEST🏆마블아이보리 / 두께 / 폭: 1.4cm/120cm / 길이: 200cm</t>
  </si>
  <si>
    <t>⛄홀리데이⛄디자인: 🏆BEST🏆마블아이보리 / 두께 / 폭: 1.4cm/120cm / 길이: 250cm</t>
  </si>
  <si>
    <t>⛄홀리데이⛄디자인: 🏆BEST🏆마블아이보리 / 두께 / 폭: 1.4cm/120cm / 길이: 300cm</t>
  </si>
  <si>
    <t>⛄홀리데이⛄디자인: 🏆BEST🏆마블아이보리 / 두께 / 폭: 1.4cm/120cm / 길이: 350cm</t>
  </si>
  <si>
    <t>⛄홀리데이⛄디자인: 🏆BEST🏆마블아이보리 / 두께 / 폭: 1.4cm/120cm / 길이: 400cm</t>
  </si>
  <si>
    <t>⛄홀리데이⛄디자인: 🏆BEST🏆마블아이보리 / 두께 / 폭: 1.4cm/120cm / 길이: 450cm</t>
  </si>
  <si>
    <t>⛄홀리데이⛄디자인: 🏆BEST🏆마블아이보리 / 두께 / 폭: 1.4cm/120cm / 길이: 500cm</t>
  </si>
  <si>
    <t>⛄홀리데이⛄디자인: 🏆BEST🏆마블아이보리 / 두께 / 폭: 1.4cm/120cm / 길이: 550cm</t>
  </si>
  <si>
    <t>⛄홀리데이⛄디자인: 🏆BEST🏆마블아이보리 / 두께 / 폭: 1.4cm/120cm / 길이: 600cm</t>
  </si>
  <si>
    <t>⛄홀리데이⛄디자인: 🏆BEST🏆마블아이보리 / 두께 / 폭: 1.4cm/120cm / 길이: 650cm</t>
  </si>
  <si>
    <t>⛄홀리데이⛄디자인: 🏆BEST🏆마블아이보리 / 두께 / 폭: 1.4cm/120cm / 길이: 700cm</t>
  </si>
  <si>
    <t>⛄홀리데이⛄디자인: 🏆BEST🏆마블아이보리 / 두께 / 폭: 1.4cm/120cm / 길이: 750cm</t>
  </si>
  <si>
    <t>⛄홀리데이⛄디자인: 🏆BEST🏆마블아이보리 / 두께 / 폭: 1.4cm/120cm / 길이: 800cm</t>
  </si>
  <si>
    <t>⛄홀리데이⛄디자인: 🏆BEST🏆마블아이보리 / 두께 / 폭: 1.4cm/120cm / 길이: 850cm</t>
  </si>
  <si>
    <t>⛄홀리데이⛄디자인: 🏆BEST🏆마블아이보리 / 두께 / 폭: 1.4cm/120cm / 길이: 900cm</t>
  </si>
  <si>
    <t>⛄홀리데이⛄디자인: 🏆BEST🏆마블아이보리 / 두께 / 폭: 1.4cm/120cm / 길이: 950cm</t>
  </si>
  <si>
    <t>⛄홀리데이⛄디자인: 🏆BEST🏆마블아이보리 / 두께 / 폭: 1.4cm/140cm / 길이: 1000cm</t>
  </si>
  <si>
    <t>⛄홀리데이⛄디자인: 🏆BEST🏆마블아이보리 / 두께 / 폭: 1.4cm/140cm / 길이: 100cm</t>
  </si>
  <si>
    <t>⛄홀리데이⛄디자인: 🏆BEST🏆마블아이보리 / 두께 / 폭: 1.4cm/140cm / 길이: 1050cm</t>
  </si>
  <si>
    <t>⛄홀리데이⛄디자인: 🏆BEST🏆마블아이보리 / 두께 / 폭: 1.4cm/140cm / 길이: 1100cm</t>
  </si>
  <si>
    <t>⛄홀리데이⛄디자인: 🏆BEST🏆마블아이보리 / 두께 / 폭: 1.4cm/140cm / 길이: 1150cm</t>
  </si>
  <si>
    <t>⛄홀리데이⛄디자인: 🏆BEST🏆마블아이보리 / 두께 / 폭: 1.4cm/140cm / 길이: 1200cm</t>
  </si>
  <si>
    <t>⛄홀리데이⛄디자인: 🏆BEST🏆마블아이보리 / 두께 / 폭: 1.4cm/140cm / 길이: 150cm</t>
  </si>
  <si>
    <t>⛄홀리데이⛄디자인: 🏆BEST🏆마블아이보리 / 두께 / 폭: 1.4cm/140cm / 길이: 200cm</t>
  </si>
  <si>
    <t>⛄홀리데이⛄디자인: 🏆BEST🏆마블아이보리 / 두께 / 폭: 1.4cm/140cm / 길이: 250cm</t>
  </si>
  <si>
    <t>⛄홀리데이⛄디자인: 🏆BEST🏆마블아이보리 / 두께 / 폭: 1.4cm/140cm / 길이: 300cm</t>
  </si>
  <si>
    <t>⛄홀리데이⛄디자인: 🏆BEST🏆마블아이보리 / 두께 / 폭: 1.4cm/140cm / 길이: 350cm</t>
  </si>
  <si>
    <t>⛄홀리데이⛄디자인: 🏆BEST🏆마블아이보리 / 두께 / 폭: 1.4cm/140cm / 길이: 400cm</t>
  </si>
  <si>
    <t>⛄홀리데이⛄디자인: 🏆BEST🏆마블아이보리 / 두께 / 폭: 1.4cm/140cm / 길이: 450cm</t>
  </si>
  <si>
    <t>⛄홀리데이⛄디자인: 🏆BEST🏆마블아이보리 / 두께 / 폭: 1.4cm/140cm / 길이: 500cm</t>
  </si>
  <si>
    <t>⛄홀리데이⛄디자인: 🏆BEST🏆마블아이보리 / 두께 / 폭: 1.4cm/140cm / 길이: 550cm</t>
  </si>
  <si>
    <t>⛄홀리데이⛄디자인: 🏆BEST🏆마블아이보리 / 두께 / 폭: 1.4cm/140cm / 길이: 600cm</t>
  </si>
  <si>
    <t>⛄홀리데이⛄디자인: 🏆BEST🏆마블아이보리 / 두께 / 폭: 1.4cm/140cm / 길이: 650cm</t>
  </si>
  <si>
    <t>⛄홀리데이⛄디자인: 🏆BEST🏆마블아이보리 / 두께 / 폭: 1.4cm/140cm / 길이: 700cm</t>
  </si>
  <si>
    <t>⛄홀리데이⛄디자인: 🏆BEST🏆마블아이보리 / 두께 / 폭: 1.4cm/140cm / 길이: 750cm</t>
  </si>
  <si>
    <t>⛄홀리데이⛄디자인: 🏆BEST🏆마블아이보리 / 두께 / 폭: 1.4cm/140cm / 길이: 800cm</t>
  </si>
  <si>
    <t>⛄홀리데이⛄디자인: 🏆BEST🏆마블아이보리 / 두께 / 폭: 1.4cm/140cm / 길이: 850cm</t>
  </si>
  <si>
    <t>⛄홀리데이⛄디자인: 🏆BEST🏆마블아이보리 / 두께 / 폭: 1.4cm/140cm / 길이: 900cm</t>
  </si>
  <si>
    <t>⛄홀리데이⛄디자인: 🏆BEST🏆마블아이보리 / 두께 / 폭: 1.4cm/140cm / 길이: 950cm</t>
  </si>
  <si>
    <t>⛄홀리데이⛄디자인: 🏆BEST🏆마블아이보리 / 두께 / 폭: 1.7cm/110cm / 길이: 1000cm</t>
  </si>
  <si>
    <t>⛄홀리데이⛄디자인: 🏆BEST🏆마블아이보리 / 두께 / 폭: 1.7cm/110cm / 길이: 100cm</t>
  </si>
  <si>
    <t>⛄홀리데이⛄디자인: 🏆BEST🏆마블아이보리 / 두께 / 폭: 1.7cm/110cm / 길이: 1050cm</t>
  </si>
  <si>
    <t>⛄홀리데이⛄디자인: 🏆BEST🏆마블아이보리 / 두께 / 폭: 1.7cm/110cm / 길이: 1100cm</t>
  </si>
  <si>
    <t>⛄홀리데이⛄디자인: 🏆BEST🏆마블아이보리 / 두께 / 폭: 1.7cm/110cm / 길이: 1150cm</t>
  </si>
  <si>
    <t>⛄홀리데이⛄디자인: 🏆BEST🏆마블아이보리 / 두께 / 폭: 1.7cm/110cm / 길이: 1200cm</t>
  </si>
  <si>
    <t>⛄홀리데이⛄디자인: 🏆BEST🏆마블아이보리 / 두께 / 폭: 1.7cm/110cm / 길이: 150cm</t>
  </si>
  <si>
    <t>⛄홀리데이⛄디자인: 🏆BEST🏆마블아이보리 / 두께 / 폭: 1.7cm/110cm / 길이: 200cm</t>
  </si>
  <si>
    <t>⛄홀리데이⛄디자인: 🏆BEST🏆마블아이보리 / 두께 / 폭: 1.7cm/110cm / 길이: 250cm</t>
  </si>
  <si>
    <t>⛄홀리데이⛄디자인: 🏆BEST🏆마블아이보리 / 두께 / 폭: 1.7cm/110cm / 길이: 300cm</t>
  </si>
  <si>
    <t>⛄홀리데이⛄디자인: 🏆BEST🏆마블아이보리 / 두께 / 폭: 1.7cm/110cm / 길이: 350cm</t>
  </si>
  <si>
    <t>⛄홀리데이⛄디자인: 🏆BEST🏆마블아이보리 / 두께 / 폭: 1.7cm/110cm / 길이: 400cm</t>
  </si>
  <si>
    <t>⛄홀리데이⛄디자인: 🏆BEST🏆마블아이보리 / 두께 / 폭: 1.7cm/110cm / 길이: 450cm</t>
  </si>
  <si>
    <t>⛄홀리데이⛄디자인: 🏆BEST🏆마블아이보리 / 두께 / 폭: 1.7cm/110cm / 길이: 500cm</t>
  </si>
  <si>
    <t>⛄홀리데이⛄디자인: 🏆BEST🏆마블아이보리 / 두께 / 폭: 1.7cm/110cm / 길이: 550cm</t>
  </si>
  <si>
    <t>⛄홀리데이⛄디자인: 🏆BEST🏆마블아이보리 / 두께 / 폭: 1.7cm/110cm / 길이: 600cm</t>
  </si>
  <si>
    <t>⛄홀리데이⛄디자인: 🏆BEST🏆마블아이보리 / 두께 / 폭: 1.7cm/110cm / 길이: 650cm</t>
  </si>
  <si>
    <t>⛄홀리데이⛄디자인: 🏆BEST🏆마블아이보리 / 두께 / 폭: 1.7cm/110cm / 길이: 700cm</t>
  </si>
  <si>
    <t>⛄홀리데이⛄디자인: 🏆BEST🏆마블아이보리 / 두께 / 폭: 1.7cm/110cm / 길이: 750cm</t>
  </si>
  <si>
    <t>⛄홀리데이⛄디자인: 🏆BEST🏆마블아이보리 / 두께 / 폭: 1.7cm/110cm / 길이: 800cm</t>
  </si>
  <si>
    <t>⛄홀리데이⛄디자인: 🏆BEST🏆마블아이보리 / 두께 / 폭: 1.7cm/110cm / 길이: 850cm</t>
  </si>
  <si>
    <t>⛄홀리데이⛄디자인: 🏆BEST🏆마블아이보리 / 두께 / 폭: 1.7cm/110cm / 길이: 900cm</t>
  </si>
  <si>
    <t>⛄홀리데이⛄디자인: 🏆BEST🏆마블아이보리 / 두께 / 폭: 1.7cm/110cm / 길이: 950cm</t>
  </si>
  <si>
    <t>⛄홀리데이⛄디자인: 🏆BEST🏆마블아이보리 / 두께 / 폭: 1.7cm/120cm / 길이: 1000cm</t>
  </si>
  <si>
    <t>⛄홀리데이⛄디자인: 🏆BEST🏆마블아이보리 / 두께 / 폭: 1.7cm/120cm / 길이: 100cm</t>
  </si>
  <si>
    <t>⛄홀리데이⛄디자인: 🏆BEST🏆마블아이보리 / 두께 / 폭: 1.7cm/120cm / 길이: 1050cm</t>
  </si>
  <si>
    <t>⛄홀리데이⛄디자인: 🏆BEST🏆마블아이보리 / 두께 / 폭: 1.7cm/120cm / 길이: 1100cm</t>
  </si>
  <si>
    <t>⛄홀리데이⛄디자인: 🏆BEST🏆마블아이보리 / 두께 / 폭: 1.7cm/120cm / 길이: 1150cm</t>
  </si>
  <si>
    <t>⛄홀리데이⛄디자인: 🏆BEST🏆마블아이보리 / 두께 / 폭: 1.7cm/120cm / 길이: 1200cm</t>
  </si>
  <si>
    <t>⛄홀리데이⛄디자인: 🏆BEST🏆마블아이보리 / 두께 / 폭: 1.7cm/120cm / 길이: 150cm</t>
  </si>
  <si>
    <t>⛄홀리데이⛄디자인: 🏆BEST🏆마블아이보리 / 두께 / 폭: 1.7cm/120cm / 길이: 200cm</t>
  </si>
  <si>
    <t>⛄홀리데이⛄디자인: 🏆BEST🏆마블아이보리 / 두께 / 폭: 1.7cm/120cm / 길이: 250cm</t>
  </si>
  <si>
    <t>⛄홀리데이⛄디자인: 🏆BEST🏆마블아이보리 / 두께 / 폭: 1.7cm/120cm / 길이: 300cm</t>
  </si>
  <si>
    <t>⛄홀리데이⛄디자인: 🏆BEST🏆마블아이보리 / 두께 / 폭: 1.7cm/120cm / 길이: 350cm</t>
  </si>
  <si>
    <t>⛄홀리데이⛄디자인: 🏆BEST🏆마블아이보리 / 두께 / 폭: 1.7cm/120cm / 길이: 400cm</t>
  </si>
  <si>
    <t>⛄홀리데이⛄디자인: 🏆BEST🏆마블아이보리 / 두께 / 폭: 1.7cm/120cm / 길이: 450cm</t>
  </si>
  <si>
    <t>⛄홀리데이⛄디자인: 🏆BEST🏆마블아이보리 / 두께 / 폭: 1.7cm/120cm / 길이: 550cm</t>
  </si>
  <si>
    <t>⛄홀리데이⛄디자인: 🏆BEST🏆마블아이보리 / 두께 / 폭: 1.7cm/120cm / 길이: 600cm</t>
  </si>
  <si>
    <t>⛄홀리데이⛄디자인: 🏆BEST🏆마블아이보리 / 두께 / 폭: 1.7cm/120cm / 길이: 650cm</t>
  </si>
  <si>
    <t>⛄홀리데이⛄디자인: 🏆BEST🏆마블아이보리 / 두께 / 폭: 1.7cm/120cm / 길이: 700cm</t>
  </si>
  <si>
    <t>⛄홀리데이⛄디자인: 🏆BEST🏆마블아이보리 / 두께 / 폭: 1.7cm/120cm / 길이: 750cm</t>
  </si>
  <si>
    <t>⛄홀리데이⛄디자인: 🏆BEST🏆마블아이보리 / 두께 / 폭: 1.7cm/120cm / 길이: 800cm</t>
  </si>
  <si>
    <t>⛄홀리데이⛄디자인: 🏆BEST🏆마블아이보리 / 두께 / 폭: 1.7cm/120cm / 길이: 850cm</t>
  </si>
  <si>
    <t>⛄홀리데이⛄디자인: 🏆BEST🏆마블아이보리 / 두께 / 폭: 1.7cm/120cm / 길이: 900cm</t>
  </si>
  <si>
    <t>⛄홀리데이⛄디자인: 🏆BEST🏆마블아이보리 / 두께 / 폭: 1.7cm/120cm / 길이: 950cm</t>
  </si>
  <si>
    <t>⛄홀리데이⛄디자인: 🏆BEST🏆마블아이보리 / 두께 / 폭: 1.7cm/140cm / 길이: 1000cm</t>
  </si>
  <si>
    <t>⛄홀리데이⛄디자인: 🏆BEST🏆마블아이보리 / 두께 / 폭: 1.7cm/140cm / 길이: 100cm</t>
  </si>
  <si>
    <t>⛄홀리데이⛄디자인: 🏆BEST🏆마블아이보리 / 두께 / 폭: 1.7cm/140cm / 길이: 1050cm</t>
  </si>
  <si>
    <t>⛄홀리데이⛄디자인: 🏆BEST🏆마블아이보리 / 두께 / 폭: 1.7cm/140cm / 길이: 1100cm</t>
  </si>
  <si>
    <t>⛄홀리데이⛄디자인: 🏆BEST🏆마블아이보리 / 두께 / 폭: 1.7cm/140cm / 길이: 1150cm</t>
  </si>
  <si>
    <t>⛄홀리데이⛄디자인: 🏆BEST🏆마블아이보리 / 두께 / 폭: 1.7cm/140cm / 길이: 1200cm</t>
  </si>
  <si>
    <t>⛄홀리데이⛄디자인: 🏆BEST🏆마블아이보리 / 두께 / 폭: 1.7cm/140cm / 길이: 150cm</t>
  </si>
  <si>
    <t>⛄홀리데이⛄디자인: 🏆BEST🏆마블아이보리 / 두께 / 폭: 1.7cm/140cm / 길이: 200cm</t>
  </si>
  <si>
    <t>⛄홀리데이⛄디자인: 🏆BEST🏆마블아이보리 / 두께 / 폭: 1.7cm/140cm / 길이: 250cm</t>
  </si>
  <si>
    <t>⛄홀리데이⛄디자인: 🏆BEST🏆마블아이보리 / 두께 / 폭: 1.7cm/140cm / 길이: 300cm</t>
  </si>
  <si>
    <t>⛄홀리데이⛄디자인: 🏆BEST🏆마블아이보리 / 두께 / 폭: 1.7cm/140cm / 길이: 350cm</t>
  </si>
  <si>
    <t>⛄홀리데이⛄디자인: 🏆BEST🏆마블아이보리 / 두께 / 폭: 1.7cm/140cm / 길이: 400cm</t>
  </si>
  <si>
    <t>⛄홀리데이⛄디자인: 🏆BEST🏆마블아이보리 / 두께 / 폭: 1.7cm/140cm / 길이: 450cm</t>
  </si>
  <si>
    <t>⛄홀리데이⛄디자인: 🏆BEST🏆마블아이보리 / 두께 / 폭: 1.7cm/140cm / 길이: 500cm</t>
  </si>
  <si>
    <t>⛄홀리데이⛄디자인: 🏆BEST🏆마블아이보리 / 두께 / 폭: 1.7cm/140cm / 길이: 550cm</t>
  </si>
  <si>
    <t>⛄홀리데이⛄디자인: 🏆BEST🏆마블아이보리 / 두께 / 폭: 1.7cm/140cm / 길이: 600cm</t>
  </si>
  <si>
    <t>⛄홀리데이⛄디자인: 🏆BEST🏆마블아이보리 / 두께 / 폭: 1.7cm/140cm / 길이: 650cm</t>
  </si>
  <si>
    <t>⛄홀리데이⛄디자인: 🏆BEST🏆마블아이보리 / 두께 / 폭: 1.7cm/140cm / 길이: 700cm</t>
  </si>
  <si>
    <t>⛄홀리데이⛄디자인: 🏆BEST🏆마블아이보리 / 두께 / 폭: 1.7cm/140cm / 길이: 750cm</t>
  </si>
  <si>
    <t>⛄홀리데이⛄디자인: 🏆BEST🏆마블아이보리 / 두께 / 폭: 1.7cm/140cm / 길이: 800cm</t>
  </si>
  <si>
    <t>⛄홀리데이⛄디자인: 🏆BEST🏆마블아이보리 / 두께 / 폭: 1.7cm/140cm / 길이: 850cm</t>
  </si>
  <si>
    <t>⛄홀리데이⛄디자인: 🏆BEST🏆마블아이보리 / 두께 / 폭: 1.7cm/140cm / 길이: 900cm</t>
  </si>
  <si>
    <t>⛄홀리데이⛄디자인: 🏆BEST🏆마블아이보리 / 두께 / 폭: 1.7cm/140cm / 길이: 950cm</t>
  </si>
  <si>
    <t>⛄홀리데이⛄디자인: 🏆BEST🏆마블아이보리 / 두께 / 폭: 1.7cm/70cm / 길이: 1000cm</t>
  </si>
  <si>
    <t>⛄홀리데이⛄디자인: 🏆BEST🏆마블아이보리 / 두께 / 폭: 1.7cm/70cm / 길이: 100cm</t>
  </si>
  <si>
    <t>⛄홀리데이⛄디자인: 🏆BEST🏆마블아이보리 / 두께 / 폭: 1.7cm/70cm / 길이: 1050cm</t>
  </si>
  <si>
    <t>⛄홀리데이⛄디자인: 🏆BEST🏆마블아이보리 / 두께 / 폭: 1.7cm/70cm / 길이: 1100cm</t>
  </si>
  <si>
    <t>⛄홀리데이⛄디자인: 🏆BEST🏆마블아이보리 / 두께 / 폭: 1.7cm/70cm / 길이: 1150cm</t>
  </si>
  <si>
    <t>⛄홀리데이⛄디자인: 🏆BEST🏆마블아이보리 / 두께 / 폭: 1.7cm/70cm / 길이: 1200cm</t>
  </si>
  <si>
    <t>⛄홀리데이⛄디자인: 🏆BEST🏆마블아이보리 / 두께 / 폭: 1.7cm/70cm / 길이: 150cm</t>
  </si>
  <si>
    <t>⛄홀리데이⛄디자인: 🏆BEST🏆마블아이보리 / 두께 / 폭: 1.7cm/70cm / 길이: 200cm</t>
  </si>
  <si>
    <t>⛄홀리데이⛄디자인: 🏆BEST🏆마블아이보리 / 두께 / 폭: 1.7cm/70cm / 길이: 250cm</t>
  </si>
  <si>
    <t>⛄홀리데이⛄디자인: 🏆BEST🏆마블아이보리 / 두께 / 폭: 1.7cm/70cm / 길이: 300cm</t>
  </si>
  <si>
    <t>⛄홀리데이⛄디자인: 🏆BEST🏆마블아이보리 / 두께 / 폭: 1.7cm/70cm / 길이: 350cm</t>
  </si>
  <si>
    <t>⛄홀리데이⛄디자인: 🏆BEST🏆마블아이보리 / 두께 / 폭: 1.7cm/70cm / 길이: 400cm</t>
  </si>
  <si>
    <t>⛄홀리데이⛄디자인: 🏆BEST🏆마블아이보리 / 두께 / 폭: 1.7cm/70cm / 길이: 450cm</t>
  </si>
  <si>
    <t>⛄홀리데이⛄디자인: 🏆BEST🏆마블아이보리 / 두께 / 폭: 1.7cm/70cm / 길이: 500cm</t>
  </si>
  <si>
    <t>⛄홀리데이⛄디자인: 🏆BEST🏆마블아이보리 / 두께 / 폭: 1.7cm/70cm / 길이: 50cm</t>
  </si>
  <si>
    <t>⛄홀리데이⛄디자인: 🏆BEST🏆마블아이보리 / 두께 / 폭: 1.7cm/70cm / 길이: 550cm</t>
  </si>
  <si>
    <t>⛄홀리데이⛄디자인: 🏆BEST🏆마블아이보리 / 두께 / 폭: 1.7cm/70cm / 길이: 600cm</t>
  </si>
  <si>
    <t>⛄홀리데이⛄디자인: 🏆BEST🏆마블아이보리 / 두께 / 폭: 1.7cm/70cm / 길이: 650cm</t>
  </si>
  <si>
    <t>⛄홀리데이⛄디자인: 🏆BEST🏆마블아이보리 / 두께 / 폭: 1.7cm/70cm / 길이: 700cm</t>
  </si>
  <si>
    <t>⛄홀리데이⛄디자인: 🏆BEST🏆마블아이보리 / 두께 / 폭: 1.7cm/70cm / 길이: 750cm</t>
  </si>
  <si>
    <t>⛄홀리데이⛄디자인: 🏆BEST🏆마블아이보리 / 두께 / 폭: 1.7cm/70cm / 길이: 800cm</t>
  </si>
  <si>
    <t>⛄홀리데이⛄디자인: 🏆BEST🏆마블아이보리 / 두께 / 폭: 1.7cm/70cm / 길이: 850cm</t>
  </si>
  <si>
    <t>⛄홀리데이⛄디자인: 🏆BEST🏆마블아이보리 / 두께 / 폭: 1.7cm/70cm / 길이: 900cm</t>
  </si>
  <si>
    <t>⛄홀리데이⛄디자인: 🏆BEST🏆마블아이보리 / 두께 / 폭: 1.7cm/70cm / 길이: 950cm</t>
  </si>
  <si>
    <t>⛄홀리데이⛄디자인: 🏆BEST🏆마블아이보리 / 두께 / 폭: 2.2cm/110cm / 길이: 1000cm</t>
  </si>
  <si>
    <t>⛄홀리데이⛄디자인: 🏆BEST🏆마블아이보리 / 두께 / 폭: 2.2cm/110cm / 길이: 100cm</t>
  </si>
  <si>
    <t>⛄홀리데이⛄디자인: 🏆BEST🏆마블아이보리 / 두께 / 폭: 2.2cm/110cm / 길이: 1050cm</t>
  </si>
  <si>
    <t>⛄홀리데이⛄디자인: 🏆BEST🏆마블아이보리 / 두께 / 폭: 2.2cm/110cm / 길이: 1100cm</t>
  </si>
  <si>
    <t>⛄홀리데이⛄디자인: 🏆BEST🏆마블아이보리 / 두께 / 폭: 2.2cm/110cm / 길이: 1150cm</t>
  </si>
  <si>
    <t>⛄홀리데이⛄디자인: 🏆BEST🏆마블아이보리 / 두께 / 폭: 2.2cm/110cm / 길이: 1200cm</t>
  </si>
  <si>
    <t>⛄홀리데이⛄디자인: 🏆BEST🏆마블아이보리 / 두께 / 폭: 2.2cm/110cm / 길이: 150cm</t>
  </si>
  <si>
    <t>⛄홀리데이⛄디자인: 🏆BEST🏆마블아이보리 / 두께 / 폭: 2.2cm/110cm / 길이: 200cm</t>
  </si>
  <si>
    <t>⛄홀리데이⛄디자인: 🏆BEST🏆마블아이보리 / 두께 / 폭: 2.2cm/110cm / 길이: 250cm</t>
  </si>
  <si>
    <t>⛄홀리데이⛄디자인: 🏆BEST🏆마블아이보리 / 두께 / 폭: 2.2cm/110cm / 길이: 300cm</t>
  </si>
  <si>
    <t>⛄홀리데이⛄디자인: 🏆BEST🏆마블아이보리 / 두께 / 폭: 2.2cm/110cm / 길이: 350cm</t>
  </si>
  <si>
    <t>⛄홀리데이⛄디자인: 🏆BEST🏆마블아이보리 / 두께 / 폭: 2.2cm/110cm / 길이: 400cm</t>
  </si>
  <si>
    <t>⛄홀리데이⛄디자인: 🏆BEST🏆마블아이보리 / 두께 / 폭: 2.2cm/110cm / 길이: 450cm</t>
  </si>
  <si>
    <t>⛄홀리데이⛄디자인: 🏆BEST🏆마블아이보리 / 두께 / 폭: 2.2cm/110cm / 길이: 500cm</t>
  </si>
  <si>
    <t>⛄홀리데이⛄디자인: 🏆BEST🏆마블아이보리 / 두께 / 폭: 2.2cm/110cm / 길이: 550cm</t>
  </si>
  <si>
    <t>⛄홀리데이⛄디자인: 🏆BEST🏆마블아이보리 / 두께 / 폭: 2.2cm/110cm / 길이: 600cm</t>
  </si>
  <si>
    <t>⛄홀리데이⛄디자인: 🏆BEST🏆마블아이보리 / 두께 / 폭: 2.2cm/110cm / 길이: 650cm</t>
  </si>
  <si>
    <t>⛄홀리데이⛄디자인: 🏆BEST🏆마블아이보리 / 두께 / 폭: 2.2cm/110cm / 길이: 700cm</t>
  </si>
  <si>
    <t>⛄홀리데이⛄디자인: 🏆BEST🏆마블아이보리 / 두께 / 폭: 2.2cm/110cm / 길이: 750cm</t>
  </si>
  <si>
    <t>⛄홀리데이⛄디자인: 🏆BEST🏆마블아이보리 / 두께 / 폭: 2.2cm/110cm / 길이: 800cm</t>
  </si>
  <si>
    <t>⛄홀리데이⛄디자인: 🏆BEST🏆마블아이보리 / 두께 / 폭: 2.2cm/110cm / 길이: 850cm</t>
  </si>
  <si>
    <t>⛄홀리데이⛄디자인: 🏆BEST🏆마블아이보리 / 두께 / 폭: 2.2cm/110cm / 길이: 900cm</t>
  </si>
  <si>
    <t>⛄홀리데이⛄디자인: 🏆BEST🏆마블아이보리 / 두께 / 폭: 2.2cm/110cm / 길이: 950cm</t>
  </si>
  <si>
    <t>⛄홀리데이⛄디자인: 🏆BEST🏆마블아이보리 / 두께 / 폭: 2.2cm/120cm / 길이: 1000cm</t>
  </si>
  <si>
    <t>⛄홀리데이⛄디자인: 🏆BEST🏆마블아이보리 / 두께 / 폭: 2.2cm/120cm / 길이: 100cm</t>
  </si>
  <si>
    <t>⛄홀리데이⛄디자인: 🏆BEST🏆마블아이보리 / 두께 / 폭: 2.2cm/120cm / 길이: 1050cm</t>
  </si>
  <si>
    <t>⛄홀리데이⛄디자인: 🏆BEST🏆마블아이보리 / 두께 / 폭: 2.2cm/120cm / 길이: 1100cm</t>
  </si>
  <si>
    <t>⛄홀리데이⛄디자인: 🏆BEST🏆마블아이보리 / 두께 / 폭: 2.2cm/120cm / 길이: 1150cm</t>
  </si>
  <si>
    <t>⛄홀리데이⛄디자인: 🏆BEST🏆마블아이보리 / 두께 / 폭: 2.2cm/120cm / 길이: 1200cm</t>
  </si>
  <si>
    <t>⛄홀리데이⛄디자인: 🏆BEST🏆마블아이보리 / 두께 / 폭: 2.2cm/120cm / 길이: 150cm</t>
  </si>
  <si>
    <t>⛄홀리데이⛄디자인: 🏆BEST🏆마블아이보리 / 두께 / 폭: 2.2cm/120cm / 길이: 200cm</t>
  </si>
  <si>
    <t>⛄홀리데이⛄디자인: 🏆BEST🏆마블아이보리 / 두께 / 폭: 2.2cm/120cm / 길이: 250cm</t>
  </si>
  <si>
    <t>⛄홀리데이⛄디자인: 🏆BEST🏆마블아이보리 / 두께 / 폭: 2.2cm/120cm / 길이: 300cm</t>
  </si>
  <si>
    <t>⛄홀리데이⛄디자인: 🏆BEST🏆마블아이보리 / 두께 / 폭: 2.2cm/120cm / 길이: 350cm</t>
  </si>
  <si>
    <t>⛄홀리데이⛄디자인: 🏆BEST🏆마블아이보리 / 두께 / 폭: 2.2cm/120cm / 길이: 400cm</t>
  </si>
  <si>
    <t>⛄홀리데이⛄디자인: 🏆BEST🏆마블아이보리 / 두께 / 폭: 2.2cm/120cm / 길이: 450cm</t>
  </si>
  <si>
    <t>⛄홀리데이⛄디자인: 🏆BEST🏆마블아이보리 / 두께 / 폭: 2.2cm/120cm / 길이: 500cm</t>
  </si>
  <si>
    <t>⛄홀리데이⛄디자인: 🏆BEST🏆마블아이보리 / 두께 / 폭: 2.2cm/120cm / 길이: 550cm</t>
  </si>
  <si>
    <t>⛄홀리데이⛄디자인: 🏆BEST🏆마블아이보리 / 두께 / 폭: 2.2cm/120cm / 길이: 600cm</t>
  </si>
  <si>
    <t>⛄홀리데이⛄디자인: 🏆BEST🏆마블아이보리 / 두께 / 폭: 2.2cm/120cm / 길이: 650cm</t>
  </si>
  <si>
    <t>⛄홀리데이⛄디자인: 🏆BEST🏆마블아이보리 / 두께 / 폭: 2.2cm/120cm / 길이: 700cm</t>
  </si>
  <si>
    <t>⛄홀리데이⛄디자인: 🏆BEST🏆마블아이보리 / 두께 / 폭: 2.2cm/120cm / 길이: 750cm</t>
  </si>
  <si>
    <t>⛄홀리데이⛄디자인: 🏆BEST🏆마블아이보리 / 두께 / 폭: 2.2cm/120cm / 길이: 800cm</t>
  </si>
  <si>
    <t>⛄홀리데이⛄디자인: 🏆BEST🏆마블아이보리 / 두께 / 폭: 2.2cm/120cm / 길이: 850cm</t>
  </si>
  <si>
    <t>⛄홀리데이⛄디자인: 🏆BEST🏆마블아이보리 / 두께 / 폭: 2.2cm/120cm / 길이: 900cm</t>
  </si>
  <si>
    <t>⛄홀리데이⛄디자인: 🏆BEST🏆마블아이보리 / 두께 / 폭: 2.2cm/120cm / 길이: 950cm</t>
  </si>
  <si>
    <t>🍁가을할인페스타🍁 ⛄홀리데이⛄디자인: 🏆BEST🏆마블아이보리 / 두께 / 폭: 1.7cm/70cm / 길이: 50cm</t>
  </si>
  <si>
    <t>🍁가을할인페스타🍁 ⛄홀리데이⛄디자인: 🏆BEST🏆마블아이보리 / 두께 / 폭: 1.7cm/70cm / 길이: 100cm</t>
  </si>
  <si>
    <t>🍁가을할인페스타🍁 ⛄홀리데이⛄디자인: 🏆BEST🏆마블아이보리 / 두께 / 폭: 1.7cm/70cm / 길이: 150cm</t>
  </si>
  <si>
    <t>🍁가을할인페스타🍁 ⛄홀리데이⛄디자인: 🏆BEST🏆마블아이보리 / 두께 / 폭: 1.7cm/70cm / 길이: 200cm</t>
  </si>
  <si>
    <t>🍁가을할인페스타🍁 ⛄홀리데이⛄디자인: 🏆BEST🏆마블아이보리 / 두께 / 폭: 1.7cm/70cm / 길이: 250cm</t>
  </si>
  <si>
    <t>🍁가을할인페스타🍁 ⛄홀리데이⛄디자인: 🏆BEST🏆마블아이보리 / 두께 / 폭: 1.7cm/70cm / 길이: 300cm</t>
  </si>
  <si>
    <t>🍁가을할인페스타🍁 ⛄홀리데이⛄디자인: 🏆BEST🏆마블아이보리 / 두께 / 폭: 1.7cm/70cm / 길이: 350cm</t>
  </si>
  <si>
    <t>🍁가을할인페스타🍁 ⛄홀리데이⛄디자인: 🏆BEST🏆마블아이보리 / 두께 / 폭: 1.7cm/70cm / 길이: 400cm</t>
  </si>
  <si>
    <t>🍁가을할인페스타🍁 ⛄홀리데이⛄디자인: 🏆BEST🏆마블아이보리 / 두께 / 폭: 1.7cm/70cm / 길이: 450cm</t>
  </si>
  <si>
    <t>🍁가을할인페스타🍁 ⛄홀리데이⛄디자인: 🏆BEST🏆마블아이보리 / 두께 / 폭: 1.7cm/70cm / 길이: 500cm</t>
  </si>
  <si>
    <t>🍁가을할인페스타🍁 ⛄홀리데이⛄디자인: 🏆BEST🏆마블아이보리 / 두께 / 폭: 1.7cm/70cm / 길이: 550cm</t>
  </si>
  <si>
    <t>🍁가을할인페스타🍁 ⛄홀리데이⛄디자인: 🏆BEST🏆마블아이보리 / 두께 / 폭: 1.7cm/70cm / 길이: 600cm</t>
  </si>
  <si>
    <t>🍁가을할인페스타🍁 ⛄홀리데이⛄디자인: 🏆BEST🏆마블아이보리 / 두께 / 폭: 1.7cm/70cm / 길이: 650cm</t>
  </si>
  <si>
    <t>🍁가을할인페스타🍁 ⛄홀리데이⛄디자인: 🏆BEST🏆마블아이보리 / 두께 / 폭: 1.7cm/70cm / 길이: 700cm</t>
  </si>
  <si>
    <t>🍁가을할인페스타🍁 ⛄홀리데이⛄디자인: 🏆BEST🏆마블아이보리 / 두께 / 폭: 1.7cm/70cm / 길이: 750cm</t>
  </si>
  <si>
    <t>🍁가을할인페스타🍁 ⛄홀리데이⛄디자인: 🏆BEST🏆마블아이보리 / 두께 / 폭: 1.7cm/70cm / 길이: 800cm</t>
  </si>
  <si>
    <t>🍁가을할인페스타🍁 ⛄홀리데이⛄디자인: 🏆BEST🏆마블아이보리 / 두께 / 폭: 1.7cm/110cm / 길이: 50cm</t>
  </si>
  <si>
    <t>🍁가을할인페스타🍁 ⛄홀리데이⛄디자인: 🏆BEST🏆마블아이보리 / 두께 / 폭: 1.7cm/110cm / 길이: 100cm</t>
  </si>
  <si>
    <t>🍁가을할인페스타🍁 ⛄홀리데이⛄디자인: 🏆BEST🏆마블아이보리 / 두께 / 폭: 1.7cm/110cm / 길이: 150cm</t>
  </si>
  <si>
    <t>🍁가을할인페스타🍁 ⛄홀리데이⛄디자인: 🏆BEST🏆마블아이보리 / 두께 / 폭: 1.7cm/110cm / 길이: 200cm</t>
  </si>
  <si>
    <t>🍁가을할인페스타🍁 ⛄홀리데이⛄디자인: 🏆BEST🏆마블아이보리 / 두께 / 폭: 1.7cm/110cm / 길이: 250cm</t>
  </si>
  <si>
    <t>🍁가을할인페스타🍁 ⛄홀리데이⛄디자인: 🏆BEST🏆마블아이보리 / 두께 / 폭: 1.7cm/110cm / 길이: 300cm</t>
  </si>
  <si>
    <t>🍁가을할인페스타🍁 ⛄홀리데이⛄디자인: 🏆BEST🏆마블아이보리 / 두께 / 폭: 1.7cm/110cm / 길이: 350cm</t>
  </si>
  <si>
    <t>🍁가을할인페스타🍁 ⛄홀리데이⛄디자인: 🏆BEST🏆마블아이보리 / 두께 / 폭: 1.7cm/110cm / 길이: 400cm</t>
  </si>
  <si>
    <t>🍁가을할인페스타🍁 ⛄홀리데이⛄디자인: 🏆BEST🏆마블아이보리 / 두께 / 폭: 1.7cm/110cm / 길이: 450cm</t>
  </si>
  <si>
    <t>🍁가을할인페스타🍁 ⛄홀리데이⛄디자인: 🏆BEST🏆마블아이보리 / 두께 / 폭: 1.7cm/110cm / 길이: 500cm</t>
  </si>
  <si>
    <t>🍁가을할인페스타🍁 ⛄홀리데이⛄디자인: 🏆BEST🏆마블아이보리 / 두께 / 폭: 1.7cm/110cm / 길이: 550cm</t>
  </si>
  <si>
    <t>🍁가을할인페스타🍁 ⛄홀리데이⛄디자인: 🏆BEST🏆마블아이보리 / 두께 / 폭: 1.7cm/110cm / 길이: 600cm</t>
  </si>
  <si>
    <t>🍁가을할인페스타🍁 ⛄홀리데이⛄디자인: 🏆BEST🏆마블아이보리 / 두께 / 폭: 1.7cm/110cm / 길이: 650cm</t>
  </si>
  <si>
    <t>🍁가을할인페스타🍁 ⛄홀리데이⛄디자인: 🏆BEST🏆마블아이보리 / 두께 / 폭: 1.7cm/110cm / 길이: 700cm</t>
  </si>
  <si>
    <t>🍁가을할인페스타🍁 ⛄홀리데이⛄디자인: 🏆BEST🏆마블아이보리 / 두께 / 폭: 1.7cm/110cm / 길이: 750cm</t>
  </si>
  <si>
    <t>🍁가을할인페스타🍁 ⛄홀리데이⛄디자인: 🏆BEST🏆마블아이보리 / 두께 / 폭: 1.7cm/110cm / 길이: 800cm</t>
  </si>
  <si>
    <t>🍁가을할인페스타🍁 ⛄홀리데이⛄디자인: 🏆BEST🏆마블아이보리 / 두께 / 폭: 1.7cm/120cm / 길이: 100cm</t>
  </si>
  <si>
    <t>🍁가을할인페스타🍁 ⛄홀리데이⛄디자인: 🏆BEST🏆마블아이보리 / 두께 / 폭: 1.7cm/120cm / 길이: 150cm</t>
  </si>
  <si>
    <t>🍁가을할인페스타🍁 ⛄홀리데이⛄디자인: 🏆BEST🏆마블아이보리 / 두께 / 폭: 1.7cm/120cm / 길이: 200cm</t>
  </si>
  <si>
    <t>🍁가을할인페스타🍁 ⛄홀리데이⛄디자인: 🏆BEST🏆마블아이보리 / 두께 / 폭: 1.7cm/120cm / 길이: 250cm</t>
  </si>
  <si>
    <t>🍁가을할인페스타🍁 ⛄홀리데이⛄디자인: 🏆BEST🏆마블아이보리 / 두께 / 폭: 1.7cm/120cm / 길이: 300cm</t>
  </si>
  <si>
    <t>🍁가을할인페스타🍁 ⛄홀리데이⛄디자인: 🏆BEST🏆마블아이보리 / 두께 / 폭: 1.7cm/120cm / 길이: 350cm</t>
  </si>
  <si>
    <t>🍁가을할인페스타🍁 ⛄홀리데이⛄디자인: 🏆BEST🏆마블아이보리 / 두께 / 폭: 1.7cm/120cm / 길이: 400cm</t>
  </si>
  <si>
    <t>🍁가을할인페스타🍁 ⛄홀리데이⛄디자인: 🏆BEST🏆마블아이보리 / 두께 / 폭: 1.7cm/120cm / 길이: 450cm</t>
  </si>
  <si>
    <t>🍁가을할인페스타🍁 ⛄홀리데이⛄디자인: 🏆BEST🏆마블아이보리 / 두께 / 폭: 1.7cm/120cm / 길이: 500cm</t>
  </si>
  <si>
    <t>🍁가을할인페스타🍁 ⛄홀리데이⛄디자인: 🏆BEST🏆마블아이보리 / 두께 / 폭: 1.7cm/120cm / 길이: 550cm</t>
  </si>
  <si>
    <t>🍁가을할인페스타🍁 ⛄홀리데이⛄디자인: 🏆BEST🏆마블아이보리 / 두께 / 폭: 1.7cm/120cm / 길이: 600cm</t>
  </si>
  <si>
    <t>🍁가을할인페스타🍁 ⛄홀리데이⛄디자인: 🏆BEST🏆마블아이보리 / 두께 / 폭: 1.7cm/120cm / 길이: 650cm</t>
  </si>
  <si>
    <t>🍁가을할인페스타🍁 ⛄홀리데이⛄디자인: 🏆BEST🏆마블아이보리 / 두께 / 폭: 1.7cm/120cm / 길이: 700cm</t>
  </si>
  <si>
    <t>🍁가을할인페스타🍁 ⛄홀리데이⛄디자인: 🏆BEST🏆마블아이보리 / 두께 / 폭: 1.7cm/120cm / 길이: 750cm</t>
  </si>
  <si>
    <t>🍁가을할인페스타🍁 ⛄홀리데이⛄디자인: 🏆BEST🏆마블아이보리 / 두께 / 폭: 1.7cm/120cm / 길이: 800cm</t>
  </si>
  <si>
    <t>🍁가을할인페스타🍁 ⛄홀리데이⛄디자인: 🏆BEST🏆마블아이보리 / 두께 / 폭: 1.7cm/140cm / 길이: 50cm</t>
  </si>
  <si>
    <t>🍁가을할인페스타🍁 ⛄홀리데이⛄디자인: 🏆BEST🏆마블아이보리 / 두께 / 폭: 1.7cm/140cm / 길이: 100cm</t>
  </si>
  <si>
    <t>🍁가을할인페스타🍁 ⛄홀리데이⛄디자인: 🏆BEST🏆마블아이보리 / 두께 / 폭: 1.7cm/140cm / 길이: 150cm</t>
  </si>
  <si>
    <t>🍁가을할인페스타🍁 ⛄홀리데이⛄디자인: 🏆BEST🏆마블아이보리 / 두께 / 폭: 1.7cm/140cm / 길이: 200cm</t>
  </si>
  <si>
    <t>🍁가을할인페스타🍁 ⛄홀리데이⛄디자인: 🏆BEST🏆마블아이보리 / 두께 / 폭: 1.7cm/140cm / 길이: 250cm</t>
  </si>
  <si>
    <t>🍁가을할인페스타🍁 ⛄홀리데이⛄디자인: 🏆BEST🏆마블아이보리 / 두께 / 폭: 1.7cm/140cm / 길이: 300cm</t>
  </si>
  <si>
    <t>🍁가을할인페스타🍁 ⛄홀리데이⛄디자인: 🏆BEST🏆마블아이보리 / 두께 / 폭: 1.7cm/140cm / 길이: 350cm</t>
  </si>
  <si>
    <t>🍁가을할인페스타🍁 ⛄홀리데이⛄디자인: 🏆BEST🏆마블아이보리 / 두께 / 폭: 1.7cm/140cm / 길이: 400cm</t>
  </si>
  <si>
    <t>🍁가을할인페스타🍁 ⛄홀리데이⛄디자인: 🏆BEST🏆마블아이보리 / 두께 / 폭: 1.7cm/140cm / 길이: 450cm</t>
  </si>
  <si>
    <t>🍁가을할인페스타🍁 ⛄홀리데이⛄디자인: 🏆BEST🏆마블아이보리 / 두께 / 폭: 1.7cm/140cm / 길이: 500cm</t>
  </si>
  <si>
    <t>🍁가을할인페스타🍁 ⛄홀리데이⛄디자인: 🏆BEST🏆마블아이보리 / 두께 / 폭: 1.7cm/140cm / 길이: 550cm</t>
  </si>
  <si>
    <t>🍁가을할인페스타🍁 ⛄홀리데이⛄디자인: 🏆BEST🏆마블아이보리 / 두께 / 폭: 1.7cm/140cm / 길이: 600cm</t>
  </si>
  <si>
    <t>🍁가을할인페스타🍁 ⛄홀리데이⛄디자인: 🏆BEST🏆마블아이보리 / 두께 / 폭: 1.7cm/140cm / 길이: 650cm</t>
  </si>
  <si>
    <t>🍁가을할인페스타🍁 ⛄홀리데이⛄디자인: 🏆BEST🏆마블아이보리 / 두께 / 폭: 1.7cm/140cm / 길이: 700cm</t>
  </si>
  <si>
    <t>🍁가을할인페스타🍁 ⛄홀리데이⛄디자인: 🏆BEST🏆마블아이보리 / 두께 / 폭: 1.7cm/140cm / 길이: 750cm</t>
  </si>
  <si>
    <t>🍁가을할인페스타🍁 ⛄홀리데이⛄디자인: 🏆BEST🏆마블아이보리 / 두께 / 폭: 1.7cm/140cm / 길이: 800cm</t>
  </si>
  <si>
    <t>🍁가을할인페스타🍁 ⛄홀리데이⛄디자인: 🏆BEST🏆마블아이보리 / 두께 / 폭: 1.2cm/110cm / 길이: 50cm</t>
  </si>
  <si>
    <t>🍁가을할인페스타🍁 ⛄홀리데이⛄디자인: 🏆BEST🏆마블아이보리 / 두께 / 폭: 1.2cm/110cm / 길이: 100cm</t>
  </si>
  <si>
    <t>🍁가을할인페스타🍁 ⛄홀리데이⛄디자인: 🏆BEST🏆마블아이보리 / 두께 / 폭: 1.2cm/110cm / 길이: 150cm</t>
  </si>
  <si>
    <t>🍁가을할인페스타🍁 ⛄홀리데이⛄디자인: 🏆BEST🏆마블아이보리 / 두께 / 폭: 1.2cm/110cm / 길이: 200cm</t>
  </si>
  <si>
    <t>🍁가을할인페스타🍁 ⛄홀리데이⛄디자인: 🏆BEST🏆마블아이보리 / 두께 / 폭: 1.2cm/110cm / 길이: 250cm</t>
  </si>
  <si>
    <t>🍁가을할인페스타🍁 ⛄홀리데이⛄디자인: 🏆BEST🏆마블아이보리 / 두께 / 폭: 1.2cm/110cm / 길이: 300cm</t>
  </si>
  <si>
    <t>🍁가을할인페스타🍁 ⛄홀리데이⛄디자인: 🏆BEST🏆마블아이보리 / 두께 / 폭: 1.2cm/110cm / 길이: 350cm</t>
  </si>
  <si>
    <t>🍁가을할인페스타🍁 ⛄홀리데이⛄디자인: 🏆BEST🏆마블아이보리 / 두께 / 폭: 1.2cm/110cm / 길이: 400cm</t>
  </si>
  <si>
    <t>🍁가을할인페스타🍁 ⛄홀리데이⛄디자인: 🏆BEST🏆마블아이보리 / 두께 / 폭: 1.2cm/110cm / 길이: 450cm</t>
  </si>
  <si>
    <t>🍁가을할인페스타🍁 ⛄홀리데이⛄디자인: 🏆BEST🏆마블아이보리 / 두께 / 폭: 1.2cm/110cm / 길이: 500cm</t>
  </si>
  <si>
    <t>🍁가을할인페스타🍁 ⛄홀리데이⛄디자인: 🏆BEST🏆마블아이보리 / 두께 / 폭: 1.2cm/110cm / 길이: 550cm</t>
  </si>
  <si>
    <t>🍁가을할인페스타🍁 ⛄홀리데이⛄디자인: 🏆BEST🏆마블아이보리 / 두께 / 폭: 1.2cm/110cm / 길이: 600cm</t>
  </si>
  <si>
    <t>🍁가을할인페스타🍁 ⛄홀리데이⛄디자인: 🏆BEST🏆마블아이보리 / 두께 / 폭: 1.2cm/110cm / 길이: 650cm</t>
  </si>
  <si>
    <t>🍁가을할인페스타🍁 ⛄홀리데이⛄디자인: 🏆BEST🏆마블아이보리 / 두께 / 폭: 1.2cm/110cm / 길이: 700cm</t>
  </si>
  <si>
    <t>🍁가을할인페스타🍁 ⛄홀리데이⛄디자인: 🏆BEST🏆마블아이보리 / 두께 / 폭: 1.2cm/110cm / 길이: 750cm</t>
  </si>
  <si>
    <t>🍁가을할인페스타🍁 ⛄홀리데이⛄디자인: 🏆BEST🏆마블아이보리 / 두께 / 폭: 1.2cm/110cm / 길이: 800cm</t>
  </si>
  <si>
    <t>🍁가을할인페스타🍁 ⛄홀리데이⛄디자인: 🏆BEST🏆마블아이보리 / 두께 / 폭: 1.2cm/110cm / 길이: 850cm</t>
  </si>
  <si>
    <t>🍁가을할인페스타🍁 ⛄홀리데이⛄디자인: 🏆BEST🏆마블아이보리 / 두께 / 폭: 1.2cm/110cm / 길이: 900cm</t>
  </si>
  <si>
    <t>🍁가을할인페스타🍁 ⛄홀리데이⛄디자인: 🏆BEST🏆마블아이보리 / 두께 / 폭: 1.2cm/110cm / 길이: 950cm</t>
  </si>
  <si>
    <t>🍁가을할인페스타🍁 ⛄홀리데이⛄디자인: 🏆BEST🏆마블아이보리 / 두께 / 폭: 1.2cm/110cm / 길이: 1000cm</t>
  </si>
  <si>
    <t>🍁가을할인페스타🍁 ⛄홀리데이⛄디자인: 🏆BEST🏆마블아이보리 / 두께 / 폭: 1.2cm/110cm / 길이: 1050cm</t>
  </si>
  <si>
    <t>🍁가을할인페스타🍁 ⛄홀리데이⛄디자인: 🏆BEST🏆마블아이보리 / 두께 / 폭: 1.2cm/110cm / 길이: 1100cm</t>
  </si>
  <si>
    <t>🍁가을할인페스타🍁 ⛄홀리데이⛄디자인: 🏆BEST🏆마블아이보리 / 두께 / 폭: 1.2cm/110cm / 길이: 1150cm</t>
  </si>
  <si>
    <t>🍁가을할인페스타🍁 ⛄홀리데이⛄디자인: 🏆BEST🏆마블아이보리 / 두께 / 폭: 1.2cm/110cm / 길이: 1200cm</t>
  </si>
  <si>
    <t>🍁가을할인페스타🍁 ⛄홀리데이⛄디자인: 🏆BEST🏆마블아이보리 / 두께 / 폭: 1.2cm/120cm / 길이: 100cm</t>
  </si>
  <si>
    <t>🍁가을할인페스타🍁 ⛄홀리데이⛄디자인: 🏆BEST🏆마블아이보리 / 두께 / 폭: 1.2cm/120cm / 길이: 150cm</t>
  </si>
  <si>
    <t>🍁가을할인페스타🍁 ⛄홀리데이⛄디자인: 🏆BEST🏆마블아이보리 / 두께 / 폭: 1.2cm/120cm / 길이: 200cm</t>
  </si>
  <si>
    <t>🍁가을할인페스타🍁 ⛄홀리데이⛄디자인: 🏆BEST🏆마블아이보리 / 두께 / 폭: 1.2cm/120cm / 길이: 250cm</t>
  </si>
  <si>
    <t>🍁가을할인페스타🍁 ⛄홀리데이⛄디자인: 🏆BEST🏆마블아이보리 / 두께 / 폭: 1.2cm/120cm / 길이: 300cm</t>
  </si>
  <si>
    <t>🍁가을할인페스타🍁 ⛄홀리데이⛄디자인: 🏆BEST🏆마블아이보리 / 두께 / 폭: 1.2cm/120cm / 길이: 350cm</t>
  </si>
  <si>
    <t>🍁가을할인페스타🍁 ⛄홀리데이⛄디자인: 🏆BEST🏆마블아이보리 / 두께 / 폭: 1.2cm/120cm / 길이: 400cm</t>
  </si>
  <si>
    <t>🍁가을할인페스타🍁 ⛄홀리데이⛄디자인: 🏆BEST🏆마블아이보리 / 두께 / 폭: 1.2cm/120cm / 길이: 450cm</t>
  </si>
  <si>
    <t>🍁가을할인페스타🍁 ⛄홀리데이⛄디자인: 🏆BEST🏆마블아이보리 / 두께 / 폭: 1.2cm/120cm / 길이: 500cm</t>
  </si>
  <si>
    <t>🍁가을할인페스타🍁 ⛄홀리데이⛄디자인: 🏆BEST🏆마블아이보리 / 두께 / 폭: 1.2cm/120cm / 길이: 550cm</t>
  </si>
  <si>
    <t>🍁가을할인페스타🍁 ⛄홀리데이⛄디자인: 🏆BEST🏆마블아이보리 / 두께 / 폭: 1.2cm/120cm / 길이: 600cm</t>
  </si>
  <si>
    <t>🍁가을할인페스타🍁 ⛄홀리데이⛄디자인: 🏆BEST🏆마블아이보리 / 두께 / 폭: 1.2cm/120cm / 길이: 650cm</t>
  </si>
  <si>
    <t>🍁가을할인페스타🍁 ⛄홀리데이⛄디자인: 🏆BEST🏆마블아이보리 / 두께 / 폭: 1.2cm/120cm / 길이: 700cm</t>
  </si>
  <si>
    <t>🍁가을할인페스타🍁 ⛄홀리데이⛄디자인: 🏆BEST🏆마블아이보리 / 두께 / 폭: 1.2cm/120cm / 길이: 750cm</t>
  </si>
  <si>
    <t>🍁가을할인페스타🍁 ⛄홀리데이⛄디자인: 🏆BEST🏆마블아이보리 / 두께 / 폭: 1.2cm/120cm / 길이: 800cm</t>
  </si>
  <si>
    <t>🍁가을할인페스타🍁 ⛄홀리데이⛄디자인: 🏆BEST🏆마블아이보리 / 두께 / 폭: 1.2cm/120cm / 길이: 850cm</t>
  </si>
  <si>
    <t>🍁가을할인페스타🍁 ⛄홀리데이⛄디자인: 🏆BEST🏆마블아이보리 / 두께 / 폭: 1.2cm/120cm / 길이: 900cm</t>
  </si>
  <si>
    <t>🍁가을할인페스타🍁 ⛄홀리데이⛄디자인: 🏆BEST🏆마블아이보리 / 두께 / 폭: 1.2cm/120cm / 길이: 950cm</t>
  </si>
  <si>
    <t>🍁가을할인페스타🍁 ⛄홀리데이⛄디자인: 🏆BEST🏆마블아이보리 / 두께 / 폭: 1.2cm/120cm / 길이: 1000cm</t>
  </si>
  <si>
    <t>🍁가을할인페스타🍁 ⛄홀리데이⛄디자인: 🏆BEST🏆마블아이보리 / 두께 / 폭: 1.2cm/120cm / 길이: 1050cm</t>
  </si>
  <si>
    <t>🍁가을할인페스타🍁 ⛄홀리데이⛄디자인: 🏆BEST🏆마블아이보리 / 두께 / 폭: 1.2cm/120cm / 길이: 1100cm</t>
  </si>
  <si>
    <t>🍁가을할인페스타🍁 ⛄홀리데이⛄디자인: 🏆BEST🏆마블아이보리 / 두께 / 폭: 1.2cm/120cm / 길이: 1150cm</t>
  </si>
  <si>
    <t>🍁가을할인페스타🍁 ⛄홀리데이⛄디자인: 🏆BEST🏆마블아이보리 / 두께 / 폭: 1.2cm/120cm / 길이: 1200cm</t>
  </si>
  <si>
    <t>🍁가을할인페스타🍁 ⛄홀리데이⛄디자인: 🏆BEST🏆마블아이보리 / 두께 / 폭: 1.2cm/140cm / 길이: 50cm</t>
  </si>
  <si>
    <t>🍁가을할인페스타🍁 ⛄홀리데이⛄디자인: 🏆BEST🏆마블아이보리 / 두께 / 폭: 1.2cm/140cm / 길이: 100cm</t>
  </si>
  <si>
    <t>🍁가을할인페스타🍁 ⛄홀리데이⛄디자인: 🏆BEST🏆마블아이보리 / 두께 / 폭: 1.2cm/140cm / 길이: 150cm</t>
  </si>
  <si>
    <t>🍁가을할인페스타🍁 ⛄홀리데이⛄디자인: 🏆BEST🏆마블아이보리 / 두께 / 폭: 1.2cm/140cm / 길이: 200cm</t>
  </si>
  <si>
    <t>🍁가을할인페스타🍁 ⛄홀리데이⛄디자인: 🏆BEST🏆마블아이보리 / 두께 / 폭: 1.2cm/140cm / 길이: 250cm</t>
  </si>
  <si>
    <t>🍁가을할인페스타🍁 ⛄홀리데이⛄디자인: 🏆BEST🏆마블아이보리 / 두께 / 폭: 1.2cm/140cm / 길이: 300cm</t>
  </si>
  <si>
    <t>🍁가을할인페스타🍁 ⛄홀리데이⛄디자인: 🏆BEST🏆마블아이보리 / 두께 / 폭: 1.2cm/140cm / 길이: 350cm</t>
  </si>
  <si>
    <t>🍁가을할인페스타🍁 ⛄홀리데이⛄디자인: 🏆BEST🏆마블아이보리 / 두께 / 폭: 1.2cm/140cm / 길이: 400cm</t>
  </si>
  <si>
    <t>🍁가을할인페스타🍁 ⛄홀리데이⛄디자인: 🏆BEST🏆마블아이보리 / 두께 / 폭: 1.2cm/140cm / 길이: 450cm</t>
  </si>
  <si>
    <t>🍁가을할인페스타🍁 ⛄홀리데이⛄디자인: 🏆BEST🏆마블아이보리 / 두께 / 폭: 1.2cm/140cm / 길이: 500cm</t>
  </si>
  <si>
    <t>🍁가을할인페스타🍁 ⛄홀리데이⛄디자인: 🏆BEST🏆마블아이보리 / 두께 / 폭: 1.2cm/140cm / 길이: 550cm</t>
  </si>
  <si>
    <t>🍁가을할인페스타🍁 ⛄홀리데이⛄디자인: 🏆BEST🏆마블아이보리 / 두께 / 폭: 1.2cm/140cm / 길이: 600cm</t>
  </si>
  <si>
    <t>🍁가을할인페스타🍁 ⛄홀리데이⛄디자인: 🏆BEST🏆마블아이보리 / 두께 / 폭: 1.2cm/140cm / 길이: 650cm</t>
  </si>
  <si>
    <t>🍁가을할인페스타🍁 ⛄홀리데이⛄디자인: 🏆BEST🏆마블아이보리 / 두께 / 폭: 1.2cm/140cm / 길이: 700cm</t>
  </si>
  <si>
    <t>🍁가을할인페스타🍁 ⛄홀리데이⛄디자인: 🏆BEST🏆마블아이보리 / 두께 / 폭: 1.2cm/140cm / 길이: 750cm</t>
  </si>
  <si>
    <t>🍁가을할인페스타🍁 ⛄홀리데이⛄디자인: 🏆BEST🏆마블아이보리 / 두께 / 폭: 1.2cm/140cm / 길이: 800cm</t>
  </si>
  <si>
    <t>🍁가을할인페스타🍁 ⛄홀리데이⛄디자인: 🏆BEST🏆마블아이보리 / 두께 / 폭: 1.2cm/140cm / 길이: 850cm</t>
  </si>
  <si>
    <t>🍁가을할인페스타🍁 ⛄홀리데이⛄디자인: 🏆BEST🏆마블아이보리 / 두께 / 폭: 1.2cm/140cm / 길이: 900cm</t>
  </si>
  <si>
    <t>🍁가을할인페스타🍁 ⛄홀리데이⛄디자인: 🏆BEST🏆마블아이보리 / 두께 / 폭: 1.2cm/140cm / 길이: 950cm</t>
  </si>
  <si>
    <t>🍁가을할인페스타🍁 ⛄홀리데이⛄디자인: 🏆BEST🏆마블아이보리 / 두께 / 폭: 1.2cm/140cm / 길이: 1000cm</t>
  </si>
  <si>
    <t>🍁가을할인페스타🍁 ⛄홀리데이⛄디자인: 🏆BEST🏆마블아이보리 / 두께 / 폭: 1.2cm/140cm / 길이: 1050cm</t>
  </si>
  <si>
    <t>🍁가을할인페스타🍁 ⛄홀리데이⛄디자인: 🏆BEST🏆마블아이보리 / 두께 / 폭: 1.2cm/140cm / 길이: 1100cm</t>
  </si>
  <si>
    <t>🍁가을할인페스타🍁 ⛄홀리데이⛄디자인: 🏆BEST🏆마블아이보리 / 두께 / 폭: 1.2cm/140cm / 길이: 1150cm</t>
  </si>
  <si>
    <t>🍁가을할인페스타🍁 ⛄홀리데이⛄디자인: 🏆BEST🏆마블아이보리 / 두께 / 폭: 1.2cm/140cm / 길이: 1200cm</t>
  </si>
  <si>
    <t>🍁가을할인페스타🍁 ⛄홀리데이⛄디자인: 🏆BEST🏆마블아이보리 / 두께 / 폭: 1.4cm/110cm / 길이: 100cm</t>
  </si>
  <si>
    <t>🍁가을할인페스타🍁 ⛄홀리데이⛄디자인: 🏆BEST🏆마블아이보리 / 두께 / 폭: 1.4cm/110cm / 길이: 150cm</t>
  </si>
  <si>
    <t>🍁가을할인페스타🍁 ⛄홀리데이⛄디자인: 🏆BEST🏆마블아이보리 / 두께 / 폭: 1.4cm/110cm / 길이: 200cm</t>
  </si>
  <si>
    <t>🍁가을할인페스타🍁 ⛄홀리데이⛄디자인: 🏆BEST🏆마블아이보리 / 두께 / 폭: 1.4cm/110cm / 길이: 250cm</t>
  </si>
  <si>
    <t>🍁가을할인페스타🍁 ⛄홀리데이⛄디자인: 🏆BEST🏆마블아이보리 / 두께 / 폭: 1.4cm/110cm / 길이: 300cm</t>
  </si>
  <si>
    <t>🍁가을할인페스타🍁 ⛄홀리데이⛄디자인: 🏆BEST🏆마블아이보리 / 두께 / 폭: 1.4cm/110cm / 길이: 350cm</t>
  </si>
  <si>
    <t>🍁가을할인페스타🍁 ⛄홀리데이⛄디자인: 🏆BEST🏆마블아이보리 / 두께 / 폭: 1.4cm/110cm / 길이: 400cm</t>
  </si>
  <si>
    <t>🍁가을할인페스타🍁 ⛄홀리데이⛄디자인: 🏆BEST🏆마블아이보리 / 두께 / 폭: 1.4cm/110cm / 길이: 450cm</t>
  </si>
  <si>
    <t>🍁가을할인페스타🍁 ⛄홀리데이⛄디자인: 🏆BEST🏆마블아이보리 / 두께 / 폭: 1.4cm/110cm / 길이: 500cm</t>
  </si>
  <si>
    <t>🍁가을할인페스타🍁 ⛄홀리데이⛄디자인: 🏆BEST🏆마블아이보리 / 두께 / 폭: 1.4cm/110cm / 길이: 550cm</t>
  </si>
  <si>
    <t>🍁가을할인페스타🍁 ⛄홀리데이⛄디자인: 🏆BEST🏆마블아이보리 / 두께 / 폭: 1.4cm/110cm / 길이: 600cm</t>
  </si>
  <si>
    <t>🍁가을할인페스타🍁 ⛄홀리데이⛄디자인: 🏆BEST🏆마블아이보리 / 두께 / 폭: 1.4cm/110cm / 길이: 650cm</t>
  </si>
  <si>
    <t>🍁가을할인페스타🍁 ⛄홀리데이⛄디자인: 🏆BEST🏆마블아이보리 / 두께 / 폭: 1.4cm/110cm / 길이: 700cm</t>
  </si>
  <si>
    <t>🍁가을할인페스타🍁 ⛄홀리데이⛄디자인: 🏆BEST🏆마블아이보리 / 두께 / 폭: 1.4cm/110cm / 길이: 750cm</t>
  </si>
  <si>
    <t>🍁가을할인페스타🍁 ⛄홀리데이⛄디자인: 🏆BEST🏆마블아이보리 / 두께 / 폭: 1.4cm/110cm / 길이: 800cm</t>
  </si>
  <si>
    <t>🍁가을할인페스타🍁 ⛄홀리데이⛄디자인: 🏆BEST🏆마블아이보리 / 두께 / 폭: 1.4cm/110cm / 길이: 850cm</t>
  </si>
  <si>
    <t>🍁가을할인페스타🍁 ⛄홀리데이⛄디자인: 🏆BEST🏆마블아이보리 / 두께 / 폭: 1.4cm/110cm / 길이: 900cm</t>
  </si>
  <si>
    <t>🍁가을할인페스타🍁 ⛄홀리데이⛄디자인: 🏆BEST🏆마블아이보리 / 두께 / 폭: 1.4cm/110cm / 길이: 950cm</t>
  </si>
  <si>
    <t>🍁가을할인페스타🍁 ⛄홀리데이⛄디자인: 🏆BEST🏆마블아이보리 / 두께 / 폭: 1.4cm/110cm / 길이: 1000cm</t>
  </si>
  <si>
    <t>🍁가을할인페스타🍁 ⛄홀리데이⛄디자인: 🏆BEST🏆마블아이보리 / 두께 / 폭: 1.4cm/120cm / 길이: 100cm</t>
  </si>
  <si>
    <t>🍁가을할인페스타🍁 ⛄홀리데이⛄디자인: 🏆BEST🏆마블아이보리 / 두께 / 폭: 1.4cm/120cm / 길이: 150cm</t>
  </si>
  <si>
    <t>🍁가을할인페스타🍁 ⛄홀리데이⛄디자인: 🏆BEST🏆마블아이보리 / 두께 / 폭: 1.4cm/120cm / 길이: 200cm</t>
  </si>
  <si>
    <t>🍁가을할인페스타🍁 ⛄홀리데이⛄디자인: 🏆BEST🏆마블아이보리 / 두께 / 폭: 1.4cm/120cm / 길이: 250cm</t>
  </si>
  <si>
    <t>🍁가을할인페스타🍁 ⛄홀리데이⛄디자인: 🏆BEST🏆마블아이보리 / 두께 / 폭: 1.4cm/120cm / 길이: 300cm</t>
  </si>
  <si>
    <t>🍁가을할인페스타🍁 ⛄홀리데이⛄디자인: 🏆BEST🏆마블아이보리 / 두께 / 폭: 1.4cm/120cm / 길이: 350cm</t>
  </si>
  <si>
    <t>🍁가을할인페스타🍁 ⛄홀리데이⛄디자인: 🏆BEST🏆마블아이보리 / 두께 / 폭: 1.4cm/120cm / 길이: 400cm</t>
  </si>
  <si>
    <t>🍁가을할인페스타🍁 ⛄홀리데이⛄디자인: 🏆BEST🏆마블아이보리 / 두께 / 폭: 1.4cm/120cm / 길이: 450cm</t>
  </si>
  <si>
    <t>🍁가을할인페스타🍁 ⛄홀리데이⛄디자인: 🏆BEST🏆마블아이보리 / 두께 / 폭: 1.4cm/120cm / 길이: 500cm</t>
  </si>
  <si>
    <t>🍁가을할인페스타🍁 ⛄홀리데이⛄디자인: 🏆BEST🏆마블아이보리 / 두께 / 폭: 1.4cm/120cm / 길이: 550cm</t>
  </si>
  <si>
    <t>🍁가을할인페스타🍁 ⛄홀리데이⛄디자인: 🏆BEST🏆마블아이보리 / 두께 / 폭: 1.4cm/120cm / 길이: 600cm</t>
  </si>
  <si>
    <t>🍁가을할인페스타🍁 ⛄홀리데이⛄디자인: 🏆BEST🏆마블아이보리 / 두께 / 폭: 1.4cm/120cm / 길이: 650cm</t>
  </si>
  <si>
    <t>🍁가을할인페스타🍁 ⛄홀리데이⛄디자인: 🏆BEST🏆마블아이보리 / 두께 / 폭: 1.4cm/120cm / 길이: 700cm</t>
  </si>
  <si>
    <t>🍁가을할인페스타🍁 ⛄홀리데이⛄디자인: 🏆BEST🏆마블아이보리 / 두께 / 폭: 1.4cm/120cm / 길이: 750cm</t>
  </si>
  <si>
    <t>🍁가을할인페스타🍁 ⛄홀리데이⛄디자인: 🏆BEST🏆마블아이보리 / 두께 / 폭: 1.4cm/120cm / 길이: 800cm</t>
  </si>
  <si>
    <t>🍁가을할인페스타🍁 ⛄홀리데이⛄디자인: 🏆BEST🏆마블아이보리 / 두께 / 폭: 1.4cm/120cm / 길이: 850cm</t>
  </si>
  <si>
    <t>🍁가을할인페스타🍁 ⛄홀리데이⛄디자인: 🏆BEST🏆마블아이보리 / 두께 / 폭: 1.4cm/120cm / 길이: 900cm</t>
  </si>
  <si>
    <t>🍁가을할인페스타🍁 ⛄홀리데이⛄디자인: 🏆BEST🏆마블아이보리 / 두께 / 폭: 1.4cm/120cm / 길이: 950cm</t>
  </si>
  <si>
    <t>🍁가을할인페스타🍁 ⛄홀리데이⛄디자인: 🏆BEST🏆마블아이보리 / 두께 / 폭: 1.4cm/120cm / 길이: 1000cm</t>
  </si>
  <si>
    <t>🍁가을할인페스타🍁 ⛄홀리데이⛄디자인: 🏆BEST🏆마블아이보리 / 두께 / 폭: 1.4cm/140cm / 길이: 100cm</t>
  </si>
  <si>
    <t>🍁가을할인페스타🍁 ⛄홀리데이⛄디자인: 🏆BEST🏆마블아이보리 / 두께 / 폭: 1.4cm/140cm / 길이: 150cm</t>
  </si>
  <si>
    <t>🍁가을할인페스타🍁 ⛄홀리데이⛄디자인: 🏆BEST🏆마블아이보리 / 두께 / 폭: 1.4cm/140cm / 길이: 200cm</t>
  </si>
  <si>
    <t>🍁가을할인페스타🍁 ⛄홀리데이⛄디자인: 🏆BEST🏆마블아이보리 / 두께 / 폭: 1.4cm/140cm / 길이: 250cm</t>
  </si>
  <si>
    <t>🍁가을할인페스타🍁 ⛄홀리데이⛄디자인: 🏆BEST🏆마블아이보리 / 두께 / 폭: 1.4cm/140cm / 길이: 300cm</t>
  </si>
  <si>
    <t>🍁가을할인페스타🍁 ⛄홀리데이⛄디자인: 🏆BEST🏆마블아이보리 / 두께 / 폭: 1.4cm/140cm / 길이: 350cm</t>
  </si>
  <si>
    <t>🍁가을할인페스타🍁 ⛄홀리데이⛄디자인: 🏆BEST🏆마블아이보리 / 두께 / 폭: 1.4cm/140cm / 길이: 400cm</t>
  </si>
  <si>
    <t>🍁가을할인페스타🍁 ⛄홀리데이⛄디자인: 🏆BEST🏆마블아이보리 / 두께 / 폭: 1.4cm/140cm / 길이: 450cm</t>
  </si>
  <si>
    <t>🍁가을할인페스타🍁 ⛄홀리데이⛄디자인: 🏆BEST🏆마블아이보리 / 두께 / 폭: 1.4cm/140cm / 길이: 500cm</t>
  </si>
  <si>
    <t>🍁가을할인페스타🍁 ⛄홀리데이⛄디자인: 🏆BEST🏆마블아이보리 / 두께 / 폭: 1.4cm/140cm / 길이: 550cm</t>
  </si>
  <si>
    <t>🍁가을할인페스타🍁 ⛄홀리데이⛄디자인: 🏆BEST🏆마블아이보리 / 두께 / 폭: 1.4cm/140cm / 길이: 600cm</t>
  </si>
  <si>
    <t>🍁가을할인페스타🍁 ⛄홀리데이⛄디자인: 🏆BEST🏆마블아이보리 / 두께 / 폭: 1.4cm/140cm / 길이: 650cm</t>
  </si>
  <si>
    <t>🍁가을할인페스타🍁 ⛄홀리데이⛄디자인: 🏆BEST🏆마블아이보리 / 두께 / 폭: 1.4cm/140cm / 길이: 700cm</t>
  </si>
  <si>
    <t>🍁가을할인페스타🍁 ⛄홀리데이⛄디자인: 🏆BEST🏆마블아이보리 / 두께 / 폭: 1.4cm/140cm / 길이: 750cm</t>
  </si>
  <si>
    <t>🍁가을할인페스타🍁 ⛄홀리데이⛄디자인: 🏆BEST🏆마블아이보리 / 두께 / 폭: 1.4cm/140cm / 길이: 800cm</t>
  </si>
  <si>
    <t>🍁가을할인페스타🍁 ⛄홀리데이⛄디자인: 🏆BEST🏆마블아이보리 / 두께 / 폭: 1.4cm/140cm / 길이: 850cm</t>
  </si>
  <si>
    <t>🍁가을할인페스타🍁 ⛄홀리데이⛄디자인: 🏆BEST🏆마블아이보리 / 두께 / 폭: 1.4cm/140cm / 길이: 900cm</t>
  </si>
  <si>
    <t>🍁가을할인페스타🍁 ⛄홀리데이⛄디자인: 🏆BEST🏆마블아이보리 / 두께 / 폭: 1.4cm/140cm / 길이: 950cm</t>
  </si>
  <si>
    <t>🍁가을할인페스타🍁 ⛄홀리데이⛄디자인: 🏆BEST🏆마블아이보리 / 두께 / 폭: 1.4cm/140cm / 길이: 1000cm</t>
  </si>
  <si>
    <t>🍁가을할인페스타🍁 ⛄홀리데이⛄디자인: 🏆BEST🏆마블아이보리 / 두께 / 폭: 2.2cm/110cm / 길이: 50cm</t>
  </si>
  <si>
    <t>🍁가을할인페스타🍁 ⛄홀리데이⛄디자인: 🏆BEST🏆마블아이보리 / 두께 / 폭: 2.2cm/110cm / 길이: 100cm</t>
  </si>
  <si>
    <t>🍁가을할인페스타🍁 ⛄홀리데이⛄디자인: 🏆BEST🏆마블아이보리 / 두께 / 폭: 2.2cm/110cm / 길이: 150cm</t>
  </si>
  <si>
    <t>🍁가을할인페스타🍁 ⛄홀리데이⛄디자인: 🏆BEST🏆마블아이보리 / 두께 / 폭: 2.2cm/110cm / 길이: 200cm</t>
  </si>
  <si>
    <t>🍁가을할인페스타🍁 ⛄홀리데이⛄디자인: 🏆BEST🏆마블아이보리 / 두께 / 폭: 2.2cm/110cm / 길이: 250cm</t>
  </si>
  <si>
    <t>🍁가을할인페스타🍁 ⛄홀리데이⛄디자인: 🏆BEST🏆마블아이보리 / 두께 / 폭: 2.2cm/110cm / 길이: 300cm</t>
  </si>
  <si>
    <t>🍁가을할인페스타🍁 ⛄홀리데이⛄디자인: 🏆BEST🏆마블아이보리 / 두께 / 폭: 2.2cm/110cm / 길이: 350cm</t>
  </si>
  <si>
    <t>🍁가을할인페스타🍁 ⛄홀리데이⛄디자인: 🏆BEST🏆마블아이보리 / 두께 / 폭: 2.2cm/110cm / 길이: 400cm</t>
  </si>
  <si>
    <t>🍁가을할인페스타🍁 ⛄홀리데이⛄디자인: 🏆BEST🏆마블아이보리 / 두께 / 폭: 2.2cm/110cm / 길이: 450cm</t>
  </si>
  <si>
    <t>🍁가을할인페스타🍁 ⛄홀리데이⛄디자인: 🏆BEST🏆마블아이보리 / 두께 / 폭: 2.2cm/110cm / 길이: 500cm</t>
  </si>
  <si>
    <t>🍁가을할인페스타🍁 ⛄홀리데이⛄디자인: 🏆BEST🏆마블아이보리 / 두께 / 폭: 2.2cm/110cm / 길이: 550cm</t>
  </si>
  <si>
    <t>🍁가을할인페스타🍁 ⛄홀리데이⛄디자인: 🏆BEST🏆마블아이보리 / 두께 / 폭: 2.2cm/110cm / 길이: 600cm</t>
  </si>
  <si>
    <t>🍁가을할인페스타🍁 ⛄홀리데이⛄디자인: 🏆BEST🏆마블아이보리 / 두께 / 폭: 2.2cm/120cm / 길이: 100cm</t>
  </si>
  <si>
    <t>🍁가을할인페스타🍁 ⛄홀리데이⛄디자인: 🏆BEST🏆마블아이보리 / 두께 / 폭: 2.2cm/120cm / 길이: 150cm</t>
  </si>
  <si>
    <t>🍁가을할인페스타🍁 ⛄홀리데이⛄디자인: 🏆BEST🏆마블아이보리 / 두께 / 폭: 2.2cm/120cm / 길이: 200cm</t>
  </si>
  <si>
    <t>🍁가을할인페스타🍁 ⛄홀리데이⛄디자인: 🏆BEST🏆마블아이보리 / 두께 / 폭: 2.2cm/120cm / 길이: 250cm</t>
  </si>
  <si>
    <t>🍁가을할인페스타🍁 ⛄홀리데이⛄디자인: 🏆BEST🏆마블아이보리 / 두께 / 폭: 2.2cm/120cm / 길이: 300cm</t>
  </si>
  <si>
    <t>🍁가을할인페스타🍁 ⛄홀리데이⛄디자인: 🏆BEST🏆마블아이보리 / 두께 / 폭: 2.2cm/120cm / 길이: 350cm</t>
  </si>
  <si>
    <t>🍁가을할인페스타🍁 ⛄홀리데이⛄디자인: 🏆BEST🏆마블아이보리 / 두께 / 폭: 2.2cm/120cm / 길이: 400cm</t>
  </si>
  <si>
    <t>🍁가을할인페스타🍁 ⛄홀리데이⛄디자인: 🏆BEST🏆마블아이보리 / 두께 / 폭: 2.2cm/120cm / 길이: 450cm</t>
  </si>
  <si>
    <t>🍁가을할인페스타🍁 ⛄홀리데이⛄디자인: 🏆BEST🏆마블아이보리 / 두께 / 폭: 2.2cm/120cm / 길이: 500cm</t>
  </si>
  <si>
    <t>🍁가을할인페스타🍁 ⛄홀리데이⛄디자인: 🏆BEST🏆마블아이보리 / 두께 / 폭: 2.2cm/120cm / 길이: 550cm</t>
  </si>
  <si>
    <t>🍁가을할인페스타🍁 ⛄홀리데이⛄디자인: 🏆BEST🏆마블아이보리 / 두께 / 폭: 2.2cm/120cm / 길이: 600cm</t>
  </si>
  <si>
    <t>2025121699647131</t>
  </si>
  <si>
    <t>2025121612584111</t>
  </si>
  <si>
    <t>당일발송</t>
  </si>
  <si>
    <t>택배,등기,소포</t>
  </si>
  <si>
    <t>로젠택배</t>
  </si>
  <si>
    <t>스마트스토어</t>
  </si>
  <si>
    <t>이주현</t>
  </si>
  <si>
    <t>lejo****</t>
  </si>
  <si>
    <t>발송대기</t>
  </si>
  <si>
    <t>신규주문</t>
  </si>
  <si>
    <t>MOBILE</t>
  </si>
  <si>
    <t>6092903705</t>
  </si>
  <si>
    <t>따사룸 층간소음매트 아기 유아 거실 롤매트 놀이방 셀프시공 마블아이보리 70x50x1.7cm</t>
  </si>
  <si>
    <t>조합형옵션상품</t>
  </si>
  <si>
    <t>비대상</t>
  </si>
  <si>
    <t>10만원 이상 / 2롤 이상 구매 시 → 실리콘 테이프 20m 증정!</t>
  </si>
  <si>
    <t>무료</t>
  </si>
  <si>
    <t>2025121628386394</t>
  </si>
  <si>
    <t>A</t>
  </si>
  <si>
    <t>010-6412-7957</t>
  </si>
  <si>
    <t>경기도 고양시 덕양구 원흥1로 31 (원흥동, 고양삼송엘에이치10단지아파트) 1004-502</t>
  </si>
  <si>
    <t>경기도 고양시 덕양구 원흥1로 31 (원흥동, 고양삼송엘에이치10단지아파트)</t>
  </si>
  <si>
    <t>1004-502</t>
  </si>
  <si>
    <t>10562</t>
  </si>
  <si>
    <t>문 앞에 놓아주세요</t>
  </si>
  <si>
    <t>신용카드 간편결제</t>
  </si>
  <si>
    <t>(27642) 충청북도 음성군 금왕읍 금일로 259 (주)대승아이앤피</t>
  </si>
  <si>
    <t>네이버쇼핑 외</t>
  </si>
  <si>
    <t>2025121699509111</t>
  </si>
  <si>
    <t>2025121612487751</t>
  </si>
  <si>
    <t>일반배송</t>
  </si>
  <si>
    <t>김기민</t>
  </si>
  <si>
    <t>xoxo****</t>
  </si>
  <si>
    <t>6710830644</t>
  </si>
  <si>
    <t>따사룸 층간소음 놀이방매트 유아 거실 PE 잘라쓰는 플레이 롤타입 발코니 매트 무직타이거 10T 110x50cm</t>
  </si>
  <si>
    <t>선결제</t>
  </si>
  <si>
    <t>2025121628368177</t>
  </si>
  <si>
    <t>유료</t>
  </si>
  <si>
    <t>B : 메인코드 / PE롤매트 / 일반관리</t>
  </si>
  <si>
    <t>010-2914-9937</t>
  </si>
  <si>
    <t>경기도 파주시 문산읍 통일로 1750 (문산읍, 문산어울림) 문산어울림 105동 501호</t>
  </si>
  <si>
    <t>경기도 파주시 문산읍 통일로 1750 (문산읍, 문산어울림)</t>
  </si>
  <si>
    <t>문산어울림 105동 501호</t>
  </si>
  <si>
    <t>10811</t>
  </si>
  <si>
    <t>신용카드</t>
  </si>
  <si>
    <t>광고&gt;쇼핑검색광고&gt;쇼핑몰상품형</t>
  </si>
  <si>
    <t>2025121698258721</t>
  </si>
  <si>
    <t>2025121611623791</t>
  </si>
  <si>
    <t>김인혜</t>
  </si>
  <si>
    <t>hi33****</t>
  </si>
  <si>
    <t>이미라</t>
  </si>
  <si>
    <t>2402587673</t>
  </si>
  <si>
    <t>따사룸 양면매트 PVC 일체형 층간소음 1800X700</t>
  </si>
  <si>
    <t>2025121628204362</t>
  </si>
  <si>
    <t>B</t>
  </si>
  <si>
    <t>010-7184-2910</t>
  </si>
  <si>
    <t>경기도 오산시 초평중앙로 10 (탑동, 오산세교 한신더휴) 2201동 903호</t>
  </si>
  <si>
    <t>경기도 오산시 초평중앙로 10 (탑동, 오산세교 한신더휴)</t>
  </si>
  <si>
    <t>2201동 903호</t>
  </si>
  <si>
    <t>18127</t>
  </si>
  <si>
    <t>배송 전 미리 연락해 주세요</t>
  </si>
  <si>
    <t>네이버페이&gt;홈(네이버쇼핑)</t>
  </si>
  <si>
    <t>2025121696405561</t>
  </si>
  <si>
    <t>2025121610480061</t>
  </si>
  <si>
    <t>전준하</t>
  </si>
  <si>
    <t>ejzo****</t>
  </si>
  <si>
    <t>2025121627983379</t>
  </si>
  <si>
    <t>010-5153-1054</t>
  </si>
  <si>
    <t>경기도 화성시 병점3로 117 (병점동, 안화동마을주공9단지) 901동 1605호</t>
  </si>
  <si>
    <t>경기도 화성시 병점3로 117 (병점동, 안화동마을주공9단지)</t>
  </si>
  <si>
    <t>901동 1605호</t>
  </si>
  <si>
    <t>18405</t>
  </si>
  <si>
    <t>물품 잘 확인해서 보내주세요. 배송시 문자주시고 문앞에 놓아주세요. 감사합니다.</t>
  </si>
  <si>
    <t>네이버페이&gt;결제</t>
  </si>
  <si>
    <t>2025121695559201</t>
  </si>
  <si>
    <t>2025121699939411</t>
  </si>
  <si>
    <t>나병준</t>
  </si>
  <si>
    <t>nb****</t>
  </si>
  <si>
    <t>5994906898</t>
  </si>
  <si>
    <t>따사룸 층간소음 퍼즐매트 100x100x2.5 대형 바닐라아이보리 아기 유아 거실 놀이방 복도</t>
  </si>
  <si>
    <t>2025121627879686</t>
  </si>
  <si>
    <t>010-9174-1121</t>
  </si>
  <si>
    <t>경기도 용인시 수지구 손곡로 82 (동천동, 수진마을써니벨리아파트) 106동 506호</t>
  </si>
  <si>
    <t>경기도 용인시 수지구 손곡로 82 (동천동, 수진마을써니벨리아파트)</t>
  </si>
  <si>
    <t>106동 506호</t>
  </si>
  <si>
    <t>16823</t>
  </si>
  <si>
    <t>광고&gt;브랜드검색상품(브랜드검색)</t>
  </si>
  <si>
    <t>2025121594828291</t>
  </si>
  <si>
    <t>2025121599474451</t>
  </si>
  <si>
    <t>나대남</t>
  </si>
  <si>
    <t>bukh**********</t>
  </si>
  <si>
    <t>[G001]20m</t>
  </si>
  <si>
    <t>추가구성상품</t>
  </si>
  <si>
    <t>2025121527792085</t>
  </si>
  <si>
    <t>0502-3214-2132</t>
  </si>
  <si>
    <t>서울특별시 강북구 4.19로13길 9 (수유동, 우이블루빌) 402호</t>
  </si>
  <si>
    <t>서울특별시 강북구 4.19로13길 9 (수유동, 우이블루빌)</t>
  </si>
  <si>
    <t>402호</t>
  </si>
  <si>
    <t>010-8965-2389</t>
  </si>
  <si>
    <t>01014</t>
  </si>
  <si>
    <t>2025121594828281</t>
  </si>
  <si>
    <t>2025121594828271</t>
  </si>
  <si>
    <t>2025121594828261</t>
  </si>
  <si>
    <t>2025121594828251</t>
  </si>
  <si>
    <t>2025121594230371</t>
  </si>
  <si>
    <t>2025121599095391</t>
  </si>
  <si>
    <t>최규철</t>
  </si>
  <si>
    <t>cg****</t>
  </si>
  <si>
    <t>PC</t>
  </si>
  <si>
    <t>4200445704</t>
  </si>
  <si>
    <t>따사룸 강아지매트 미끄럼방지 롤매트 애견 반려견 슬개골 방수 셀프시공 거실 복도 러그 마블아이보리 6T 110x50cm</t>
  </si>
  <si>
    <t>⛄홀리데이⛄디자인 선택: 소프트그레이 / 두께(폭): 6mm(폭140cm) / 길이(수량추가): 50cm</t>
  </si>
  <si>
    <t>2025121527719676</t>
  </si>
  <si>
    <t>010-8823-9437</t>
  </si>
  <si>
    <t>경상북도 상주시 이안면 양범안룡길 80 (이안면) 양범교회</t>
  </si>
  <si>
    <t>경상북도 상주시 이안면 양범안룡길 80 (이안면)</t>
  </si>
  <si>
    <t>양범교회</t>
  </si>
  <si>
    <t>37107</t>
  </si>
  <si>
    <t>2025121594072441</t>
  </si>
  <si>
    <t>2025121598993781</t>
  </si>
  <si>
    <t>한정우</t>
  </si>
  <si>
    <t>hjwo***</t>
  </si>
  <si>
    <t>2025121527700217</t>
  </si>
  <si>
    <t>010-9524-9234</t>
  </si>
  <si>
    <t>서울특별시 강서구 양천로 177 (마곡동, 가양하수처리장직원아파트) 2동 206호</t>
  </si>
  <si>
    <t>서울특별시 강서구 양천로 177 (마곡동, 가양하수처리장직원아파트)</t>
  </si>
  <si>
    <t>2동 206호</t>
  </si>
  <si>
    <t>07520</t>
  </si>
  <si>
    <t>2025121593854551</t>
  </si>
  <si>
    <t>2025121598855331</t>
  </si>
  <si>
    <t>류춘렬</t>
  </si>
  <si>
    <t>pi****</t>
  </si>
  <si>
    <t>2025121527673529</t>
  </si>
  <si>
    <t>010-8736-8737</t>
  </si>
  <si>
    <t>010-8851-0917</t>
  </si>
  <si>
    <t>대전광역시 유성구 엑스포로 448 엑스포아파트 202동 1701호</t>
  </si>
  <si>
    <t>대전광역시 유성구 엑스포로 448</t>
  </si>
  <si>
    <t>엑스포아파트 202동 1701호</t>
  </si>
  <si>
    <t>34049</t>
  </si>
  <si>
    <t>머니결제</t>
  </si>
  <si>
    <t>2025121591163141</t>
  </si>
  <si>
    <t>2025121597138861</t>
  </si>
  <si>
    <t>서혜린</t>
  </si>
  <si>
    <t>hael******</t>
  </si>
  <si>
    <t>2025121527347328</t>
  </si>
  <si>
    <t>010-3959-9166</t>
  </si>
  <si>
    <t>경기도 용인시 기흥구 기흥역로58번길 56 (구갈동, 기흥역 파크 푸르지오) 301동3302호</t>
  </si>
  <si>
    <t>경기도 용인시 기흥구 기흥역로58번길 56 (구갈동, 기흥역 파크 푸르지오)</t>
  </si>
  <si>
    <t>301동3302호</t>
  </si>
  <si>
    <t>17066</t>
  </si>
  <si>
    <t>2025121590839141</t>
  </si>
  <si>
    <t>2025121596930501</t>
  </si>
  <si>
    <t>최향</t>
  </si>
  <si>
    <t>ehro******</t>
  </si>
  <si>
    <t>⛄홀리데이⛄디자인: 소프트그레이 / 두께 / 폭: 1.7cm/120cm / 길이: 200cm</t>
  </si>
  <si>
    <t>2025121527308404</t>
  </si>
  <si>
    <t>010-5550-1258</t>
  </si>
  <si>
    <t>010-5271-8385</t>
  </si>
  <si>
    <t>경기도 의정부시 시민로 287 (신곡동) 이편한세상 신곡파크비스타 109동301호</t>
  </si>
  <si>
    <t>경기도 의정부시 시민로 287 (신곡동)</t>
  </si>
  <si>
    <t>이편한세상 신곡파크비스타 109동301호</t>
  </si>
  <si>
    <t>11748</t>
  </si>
  <si>
    <t>쇼핑웹&gt;구매내역&gt;상품이미지</t>
  </si>
  <si>
    <t>2025121590742721</t>
  </si>
  <si>
    <t>2025121596868131</t>
  </si>
  <si>
    <t>이규원</t>
  </si>
  <si>
    <t>dlrb******</t>
  </si>
  <si>
    <t>2025121527295400</t>
  </si>
  <si>
    <t>010-8919-4157</t>
  </si>
  <si>
    <t>경기도 구리시 원수택로32번길 60 (수택동, 성경아파트) 3동 402호</t>
  </si>
  <si>
    <t>경기도 구리시 원수택로32번길 60 (수택동, 성경아파트)</t>
  </si>
  <si>
    <t>3동 402호</t>
  </si>
  <si>
    <t>11941</t>
  </si>
  <si>
    <t>부재시 문앞에 놔주세용</t>
  </si>
  <si>
    <t>2025121590742711</t>
  </si>
  <si>
    <t>2025121590061171</t>
  </si>
  <si>
    <t>2025121596413351</t>
  </si>
  <si>
    <t>김예찬</t>
  </si>
  <si>
    <t>fl****</t>
  </si>
  <si>
    <t>2025121527209261</t>
  </si>
  <si>
    <t>010-6886-3860</t>
  </si>
  <si>
    <t>대전광역시 중구 계백로1615번길 34 (유천동, 현대아파트) 113동 1407호</t>
  </si>
  <si>
    <t>대전광역시 중구 계백로1615번길 34 (유천동, 현대아파트)</t>
  </si>
  <si>
    <t>113동 1407호</t>
  </si>
  <si>
    <t>34899</t>
  </si>
  <si>
    <t>네이버플러스스토어검색&gt;상품카드</t>
  </si>
  <si>
    <t>2025121588680721</t>
  </si>
  <si>
    <t>2025121595501311</t>
  </si>
  <si>
    <t>최영미</t>
  </si>
  <si>
    <t>chl8***</t>
  </si>
  <si>
    <t>2025121527036557</t>
  </si>
  <si>
    <t>010-5574-4480</t>
  </si>
  <si>
    <t>경기도 파주시 시청로 85 (아동동, 신안실크밸리2차 아파트) 206동303호</t>
  </si>
  <si>
    <t>경기도 파주시 시청로 85 (아동동, 신안실크밸리2차 아파트)</t>
  </si>
  <si>
    <t>206동303호</t>
  </si>
  <si>
    <t>10931</t>
  </si>
  <si>
    <t>2025121587720071</t>
  </si>
  <si>
    <t>2025121594859701</t>
  </si>
  <si>
    <t>문경은</t>
  </si>
  <si>
    <t>dmjs****</t>
  </si>
  <si>
    <t>2025121526915878</t>
  </si>
  <si>
    <t>010-3537-9446</t>
  </si>
  <si>
    <t>서울특별시 동작구 만양로 19 (노량진동, 상도신동아리버파크아파트) 707동 1405호</t>
  </si>
  <si>
    <t>서울특별시 동작구 만양로 19 (노량진동, 상도신동아리버파크아파트)</t>
  </si>
  <si>
    <t>707동 1405호</t>
  </si>
  <si>
    <t>06920</t>
  </si>
  <si>
    <t>마이쇼핑&gt;장바구니(네이버쇼핑)</t>
  </si>
  <si>
    <t>2025121584846521</t>
  </si>
  <si>
    <t>2025121592887421</t>
  </si>
  <si>
    <t>이영진</t>
  </si>
  <si>
    <t>jins********</t>
  </si>
  <si>
    <t>⛄홀리데이⛄디자인 선택: 도그프린트 / 두께(폭): 9mm(폭110cm) / 길이(수량추가): 50cm</t>
  </si>
  <si>
    <t>2025121526544856</t>
  </si>
  <si>
    <t>010-3013-8148</t>
  </si>
  <si>
    <t>경기도 의정부시 가금로34번길 23 (가능동, 힐스테이트 녹양역) 103동2302호</t>
  </si>
  <si>
    <t>경기도 의정부시 가금로34번길 23 (가능동, 힐스테이트 녹양역)</t>
  </si>
  <si>
    <t>103동2302호</t>
  </si>
  <si>
    <t>11611</t>
  </si>
  <si>
    <t>현관문 앞에다가 나둬두세요~</t>
  </si>
  <si>
    <t>2025121584846511</t>
  </si>
  <si>
    <t>⛄홀리데이⛄디자인 선택: 도그프린트 / 두께(폭): 9mm(폭140cm) / 길이(수량추가): 50cm</t>
  </si>
  <si>
    <t>2025121581144071</t>
  </si>
  <si>
    <t>2025121590296951</t>
  </si>
  <si>
    <t>권석영</t>
  </si>
  <si>
    <t>ks****</t>
  </si>
  <si>
    <t>2025121526057035</t>
  </si>
  <si>
    <t>010-6208-9305</t>
  </si>
  <si>
    <t>대구광역시 북구 구리로 183-28 (학정동, 두산아파트) 201동 204호</t>
  </si>
  <si>
    <t>대구광역시 북구 구리로 183-28 (학정동, 두산아파트)</t>
  </si>
  <si>
    <t>201동 204호</t>
  </si>
  <si>
    <t>41408</t>
  </si>
  <si>
    <t>2025121577697531</t>
  </si>
  <si>
    <t>2025121587969781</t>
  </si>
  <si>
    <t>고정일</t>
  </si>
  <si>
    <t>esde******</t>
  </si>
  <si>
    <t>2025121525622634</t>
  </si>
  <si>
    <t>010-5436-3781</t>
  </si>
  <si>
    <t>대전광역시 대덕구 대화로 160 (대화동, 산업용재유통상가) 1동 207호</t>
  </si>
  <si>
    <t>대전광역시 대덕구 대화로 160 (대화동, 산업용재유통상가)</t>
  </si>
  <si>
    <t>1동 207호</t>
  </si>
  <si>
    <t>34368</t>
  </si>
  <si>
    <t>검색&gt;쇼핑검색(네이버쇼핑)</t>
  </si>
  <si>
    <t>2025121577697521</t>
  </si>
  <si>
    <t>2025121577697511</t>
  </si>
  <si>
    <t>2025121576260771</t>
  </si>
  <si>
    <t>2025121587002511</t>
  </si>
  <si>
    <t>지찬미</t>
  </si>
  <si>
    <t>heeh******</t>
  </si>
  <si>
    <t>2025121525440538</t>
  </si>
  <si>
    <t>0502-3513-7025</t>
  </si>
  <si>
    <t>강원도 춘천시 백령로 215 (후평동, 춘천일성트루엘더퍼스트아파트) 107-1304</t>
  </si>
  <si>
    <t>강원도 춘천시 백령로 215 (후평동, 춘천일성트루엘더퍼스트아파트)</t>
  </si>
  <si>
    <t>107-1304</t>
  </si>
  <si>
    <t>010-4856-8776</t>
  </si>
  <si>
    <t>24279</t>
  </si>
  <si>
    <t>무통장입금</t>
  </si>
  <si>
    <t>2025121574508471</t>
  </si>
  <si>
    <t>2025121585858441</t>
  </si>
  <si>
    <t>정다훈</t>
  </si>
  <si>
    <t>wjde******</t>
  </si>
  <si>
    <t>2025121525226011</t>
  </si>
  <si>
    <t>010-9490-8874</t>
  </si>
  <si>
    <t>경기도 용인시 수지구 용구대로 2720 (죽전동, 현암마을동성2차아파트) 203동 1302호</t>
  </si>
  <si>
    <t>경기도 용인시 수지구 용구대로 2720 (죽전동, 현암마을동성2차아파트)</t>
  </si>
  <si>
    <t>203동 1302호</t>
  </si>
  <si>
    <t>16868</t>
  </si>
  <si>
    <t>2025121570564721</t>
  </si>
  <si>
    <t>2025121583283841</t>
  </si>
  <si>
    <t>이슬</t>
  </si>
  <si>
    <t>rhdr*****</t>
  </si>
  <si>
    <t>2025121524741692</t>
  </si>
  <si>
    <t>010-5424-9068</t>
  </si>
  <si>
    <t>경기도 여주시 산북면 상품로 72 (산북면) 1층 102호</t>
  </si>
  <si>
    <t>경기도 여주시 산북면 상품로 72 (산북면)</t>
  </si>
  <si>
    <t>1층 102호</t>
  </si>
  <si>
    <t>12603</t>
  </si>
  <si>
    <t>네이버플러스스토어검색&gt;광고</t>
  </si>
  <si>
    <t>2025121566863231</t>
  </si>
  <si>
    <t>2025121580886041</t>
  </si>
  <si>
    <t>김영국</t>
  </si>
  <si>
    <t>dudr*****</t>
  </si>
  <si>
    <t>2025121524288171</t>
  </si>
  <si>
    <t>010-9080-1385</t>
  </si>
  <si>
    <t>전북특별자치도 전주시 덕진구 세병로 130 (송천동2가, 에코시티 데시앙 네스트) 802동1403호</t>
  </si>
  <si>
    <t>전북특별자치도 전주시 덕진구 세병로 130 (송천동2가, 에코시티 데시앙 네스트)</t>
  </si>
  <si>
    <t>802동1403호</t>
  </si>
  <si>
    <t>55150</t>
  </si>
  <si>
    <t>2025121566863221</t>
  </si>
  <si>
    <t>2025121566863211</t>
  </si>
  <si>
    <t>2025121566427551</t>
  </si>
  <si>
    <t>2025121580602371</t>
  </si>
  <si>
    <t>김득봉</t>
  </si>
  <si>
    <t>eodn*****</t>
  </si>
  <si>
    <t>2025121524234518</t>
  </si>
  <si>
    <t>010-4686-0482</t>
  </si>
  <si>
    <t>전라남도 해남군 화원면 금평길 54 (화원면, 궁전빌라) 404호</t>
  </si>
  <si>
    <t>전라남도 해남군 화원면 금평길 54 (화원면, 궁전빌라)</t>
  </si>
  <si>
    <t>404호</t>
  </si>
  <si>
    <t>59002</t>
  </si>
  <si>
    <t>2025121564450851</t>
  </si>
  <si>
    <t>2025121579285611</t>
  </si>
  <si>
    <t>김규동</t>
  </si>
  <si>
    <t>ehd3***</t>
  </si>
  <si>
    <t>2025121523984959</t>
  </si>
  <si>
    <t>010-7220-3846</t>
  </si>
  <si>
    <t>부산광역시 금정구 중앙대로1685번길 24 (부곡동, 경남한신아파트) 101동 1201호</t>
  </si>
  <si>
    <t>부산광역시 금정구 중앙대로1685번길 24 (부곡동, 경남한신아파트)</t>
  </si>
  <si>
    <t>101동 1201호</t>
  </si>
  <si>
    <t>46277</t>
  </si>
  <si>
    <t>문앞에 놔주세요.</t>
  </si>
  <si>
    <t>광고&gt;쇼핑검색광고&gt;쇼핑몰상품형&gt;상품찜</t>
  </si>
  <si>
    <t>2025121564450841</t>
  </si>
  <si>
    <t>2025121564450831</t>
  </si>
  <si>
    <t>2025121559970241</t>
  </si>
  <si>
    <t>2025121576342871</t>
  </si>
  <si>
    <t>이좌훈</t>
  </si>
  <si>
    <t>whkg****</t>
  </si>
  <si>
    <t>2025121523438219</t>
  </si>
  <si>
    <t>010-5023-9290</t>
  </si>
  <si>
    <t>경기도 평택시 신장로 55 (신장동) 사서함 309-25호 (공군 1887부대)</t>
  </si>
  <si>
    <t>경기도 평택시 신장로 55 (신장동)</t>
  </si>
  <si>
    <t>사서함 309-25호 (공군 1887부대)</t>
  </si>
  <si>
    <t>17759</t>
  </si>
  <si>
    <t>2025121559970231</t>
  </si>
  <si>
    <t>2025121559364301</t>
  </si>
  <si>
    <t>2025121575938591</t>
  </si>
  <si>
    <t>이동하</t>
  </si>
  <si>
    <t>crew**************</t>
  </si>
  <si>
    <t>2025121523360408</t>
  </si>
  <si>
    <t>010-8969-7278</t>
  </si>
  <si>
    <t>인천광역시 연수구 센트럴로 194 (송도동, 더샵 센트럴파크2) 202동 2405호</t>
  </si>
  <si>
    <t>인천광역시 연수구 센트럴로 194 (송도동, 더샵 센트럴파크2)</t>
  </si>
  <si>
    <t>202동 2405호</t>
  </si>
  <si>
    <t>22003</t>
  </si>
  <si>
    <t>알림&gt;상품문의답변</t>
  </si>
  <si>
    <t>2025121559305111</t>
  </si>
  <si>
    <t>2025121575900761</t>
  </si>
  <si>
    <t>최형오</t>
  </si>
  <si>
    <t>cho3******</t>
  </si>
  <si>
    <t>2025121523350701</t>
  </si>
  <si>
    <t>010-4878-5732</t>
  </si>
  <si>
    <t>울산광역시 북구 중산동로 37 (중산동, 중산 디아채아파트) 103동1201호</t>
  </si>
  <si>
    <t>울산광역시 북구 중산동로 37 (중산동, 중산 디아채아파트)</t>
  </si>
  <si>
    <t>103동1201호</t>
  </si>
  <si>
    <t>44213</t>
  </si>
  <si>
    <t>2025121559305101</t>
  </si>
  <si>
    <t>2025121556791061</t>
  </si>
  <si>
    <t>2025121574220381</t>
  </si>
  <si>
    <t>권하람</t>
  </si>
  <si>
    <t>falr****</t>
  </si>
  <si>
    <t>2025121523038058</t>
  </si>
  <si>
    <t>010-3901-6006</t>
  </si>
  <si>
    <t>대구광역시 달서구 상인서로 85 (상인동, 상인동방현대아파트) 103동 1106호</t>
  </si>
  <si>
    <t>대구광역시 달서구 상인서로 85 (상인동, 상인동방현대아파트)</t>
  </si>
  <si>
    <t>103동 1106호</t>
  </si>
  <si>
    <t>42810</t>
  </si>
  <si>
    <t>호보</t>
    <phoneticPr fontId="1" type="noConversion"/>
  </si>
  <si>
    <t>★증정★테이프20mx1</t>
  </si>
  <si>
    <t>25T(퍼즐)아이보리(50)</t>
  </si>
  <si>
    <t>★판매★테이프20m</t>
  </si>
  <si>
    <t>플러스♥25T아이(100)</t>
  </si>
  <si>
    <t>25T(퍼즐)아이보리(100)</t>
  </si>
  <si>
    <t>25T(퍼즐)블루(100)</t>
  </si>
  <si>
    <t>25T(퍼즐)핑크(100)</t>
  </si>
  <si>
    <t>25T(퍼즐)그레이(100)</t>
  </si>
  <si>
    <t>(110)22T퓨어아이보리</t>
  </si>
  <si>
    <t>플러스♥25T크림그레이(50)</t>
  </si>
  <si>
    <t>플러스♥25T크림그레이(100)</t>
  </si>
  <si>
    <t>이주현★</t>
    <phoneticPr fontId="1" type="noConversion"/>
  </si>
  <si>
    <t>★파손주의★문 앞에 놓아주세요</t>
    <phoneticPr fontId="1" type="noConversion"/>
  </si>
  <si>
    <t>전준하★</t>
    <phoneticPr fontId="1" type="noConversion"/>
  </si>
  <si>
    <t>★파손주의★물품 잘 확인해서 보내주세요. 배송시 문자주시고 문앞에 놓아주세요. 감사합니다.</t>
    <phoneticPr fontId="1" type="noConversion"/>
  </si>
  <si>
    <t>합</t>
    <phoneticPr fontId="1" type="noConversion"/>
  </si>
  <si>
    <t>★증정★테이프20mx3</t>
    <phoneticPr fontId="1" type="noConversion"/>
  </si>
  <si>
    <t>★파손주의★</t>
    <phoneticPr fontId="1" type="noConversion"/>
  </si>
  <si>
    <t>4-1나대남★</t>
    <phoneticPr fontId="1" type="noConversion"/>
  </si>
  <si>
    <t>4-2나대남</t>
    <phoneticPr fontId="1" type="noConversion"/>
  </si>
  <si>
    <t>4-3나대남</t>
  </si>
  <si>
    <t>4-4나대남</t>
  </si>
  <si>
    <r>
      <rPr>
        <sz val="11"/>
        <color theme="1"/>
        <rFont val="Segoe UI Symbol"/>
        <family val="2"/>
      </rPr>
      <t>⚡</t>
    </r>
    <r>
      <rPr>
        <sz val="11"/>
        <color theme="1"/>
        <rFont val="맑은 고딕"/>
        <family val="3"/>
        <charset val="129"/>
        <scheme val="minor"/>
      </rPr>
      <t>강세일</t>
    </r>
    <r>
      <rPr>
        <sz val="11"/>
        <color theme="1"/>
        <rFont val="Segoe UI Symbol"/>
        <family val="2"/>
      </rPr>
      <t>⚡</t>
    </r>
    <r>
      <rPr>
        <sz val="11"/>
        <color theme="1"/>
        <rFont val="맑은 고딕"/>
        <family val="3"/>
        <charset val="129"/>
        <scheme val="minor"/>
      </rPr>
      <t>디자인 선택: 마블아이보리 / 두께(폭): 6mm(폭110cm) / 길이(수량추가): 50cm</t>
    </r>
    <phoneticPr fontId="1" type="noConversion"/>
  </si>
  <si>
    <t>⛄홀리데이⛄디자인 선택: 도그프린트 / 두께(폭): 12mm(폭110cm) / 길이(수량추가): 50cm</t>
  </si>
  <si>
    <t>⛄홀리데이⛄디자인 선택: 도그프린트 / 두께(폭): 12mm(폭120cm) / 길이(수량추가): 50cm</t>
  </si>
  <si>
    <t>⛄홀리데이⛄디자인 선택: 도그프린트 / 두께(폭): 12mm(폭140cm) / 길이(수량추가): 50cm</t>
  </si>
  <si>
    <t>⛄홀리데이⛄디자인 선택: 도그프린트 / 두께(폭): 6mm(폭110cm) / 길이(수량추가): 50cm</t>
  </si>
  <si>
    <t>⛄홀리데이⛄디자인 선택: 도그프린트 / 두께(폭): 6mm(폭120cm) / 길이(수량추가): 50cm</t>
  </si>
  <si>
    <t>⛄홀리데이⛄디자인 선택: 도그프린트 / 두께(폭): 6mm(폭140cm) / 길이(수량추가): 50cm</t>
  </si>
  <si>
    <t>⛄홀리데이⛄디자인 선택: 도그프린트 / 두께(폭): 9mm(폭120cm) / 길이(수량추가): 50cm</t>
  </si>
  <si>
    <t>⛄홀리데이⛄디자인 선택: 소프트그레이 / 두께(폭): 12mm(폭110cm) / 길이(수량추가): 50cm</t>
  </si>
  <si>
    <t>⛄홀리데이⛄디자인 선택: 소프트그레이 / 두께(폭): 12mm(폭120cm) / 길이(수량추가): 50cm</t>
  </si>
  <si>
    <t>⛄홀리데이⛄디자인 선택: 소프트그레이 / 두께(폭): 12mm(폭140cm) / 길이(수량추가): 50cm</t>
  </si>
  <si>
    <t>⛄홀리데이⛄디자인 선택: 소프트그레이 / 두께(폭): 6mm(폭110cm) / 길이(수량추가): 50cm</t>
  </si>
  <si>
    <t>⛄홀리데이⛄디자인 선택: 소프트그레이 / 두께(폭): 6mm(폭120cm) / 길이(수량추가): 50cm</t>
  </si>
  <si>
    <t>⛄홀리데이⛄디자인 선택: 소프트그레이 / 두께(폭): 9mm(폭110cm) / 길이(수량추가): 50cm</t>
  </si>
  <si>
    <t>⛄홀리데이⛄디자인 선택: 소프트그레이 / 두께(폭): 9mm(폭120cm) / 길이(수량추가): 50cm</t>
  </si>
  <si>
    <t>⛄홀리데이⛄디자인 선택: 소프트그레이 / 두께(폭): 9mm(폭140cm) / 길이(수량추가): 50cm</t>
  </si>
  <si>
    <t>2m</t>
    <phoneticPr fontId="1" type="noConversion"/>
  </si>
  <si>
    <t>2-1류춘렬</t>
    <phoneticPr fontId="1" type="noConversion"/>
  </si>
  <si>
    <t>2-2류춘렬</t>
  </si>
  <si>
    <t>⛄홀리데이⛄디자인: 소프트그레이 / 두께 / 폭: 1.2cm/110cm / 길이: 1000cm</t>
  </si>
  <si>
    <t>⛄홀리데이⛄디자인: 소프트그레이 / 두께 / 폭: 1.2cm/110cm / 길이: 100cm</t>
  </si>
  <si>
    <t>⛄홀리데이⛄디자인: 소프트그레이 / 두께 / 폭: 1.2cm/110cm / 길이: 1050cm</t>
  </si>
  <si>
    <t>⛄홀리데이⛄디자인: 소프트그레이 / 두께 / 폭: 1.2cm/110cm / 길이: 1100cm</t>
  </si>
  <si>
    <t>⛄홀리데이⛄디자인: 소프트그레이 / 두께 / 폭: 1.2cm/110cm / 길이: 1150cm</t>
  </si>
  <si>
    <t>⛄홀리데이⛄디자인: 소프트그레이 / 두께 / 폭: 1.2cm/110cm / 길이: 1200cm</t>
  </si>
  <si>
    <t>⛄홀리데이⛄디자인: 소프트그레이 / 두께 / 폭: 1.2cm/110cm / 길이: 150cm</t>
  </si>
  <si>
    <t>⛄홀리데이⛄디자인: 소프트그레이 / 두께 / 폭: 1.2cm/110cm / 길이: 200cm</t>
  </si>
  <si>
    <t>⛄홀리데이⛄디자인: 소프트그레이 / 두께 / 폭: 1.2cm/110cm / 길이: 250cm</t>
  </si>
  <si>
    <t>⛄홀리데이⛄디자인: 소프트그레이 / 두께 / 폭: 1.2cm/110cm / 길이: 300cm</t>
  </si>
  <si>
    <t>⛄홀리데이⛄디자인: 소프트그레이 / 두께 / 폭: 1.2cm/110cm / 길이: 350cm</t>
  </si>
  <si>
    <t>⛄홀리데이⛄디자인: 소프트그레이 / 두께 / 폭: 1.2cm/110cm / 길이: 400cm</t>
  </si>
  <si>
    <t>⛄홀리데이⛄디자인: 소프트그레이 / 두께 / 폭: 1.2cm/110cm / 길이: 450cm</t>
  </si>
  <si>
    <t>⛄홀리데이⛄디자인: 소프트그레이 / 두께 / 폭: 1.2cm/110cm / 길이: 500cm</t>
  </si>
  <si>
    <t>⛄홀리데이⛄디자인: 소프트그레이 / 두께 / 폭: 1.2cm/110cm / 길이: 550cm</t>
  </si>
  <si>
    <t>⛄홀리데이⛄디자인: 소프트그레이 / 두께 / 폭: 1.2cm/110cm / 길이: 600cm</t>
  </si>
  <si>
    <t>⛄홀리데이⛄디자인: 소프트그레이 / 두께 / 폭: 1.2cm/110cm / 길이: 650cm</t>
  </si>
  <si>
    <t>⛄홀리데이⛄디자인: 소프트그레이 / 두께 / 폭: 1.2cm/110cm / 길이: 700cm</t>
  </si>
  <si>
    <t>⛄홀리데이⛄디자인: 소프트그레이 / 두께 / 폭: 1.2cm/110cm / 길이: 750cm</t>
  </si>
  <si>
    <t>⛄홀리데이⛄디자인: 소프트그레이 / 두께 / 폭: 1.2cm/110cm / 길이: 800cm</t>
  </si>
  <si>
    <t>⛄홀리데이⛄디자인: 소프트그레이 / 두께 / 폭: 1.2cm/110cm / 길이: 850cm</t>
  </si>
  <si>
    <t>⛄홀리데이⛄디자인: 소프트그레이 / 두께 / 폭: 1.2cm/110cm / 길이: 900cm</t>
  </si>
  <si>
    <t>⛄홀리데이⛄디자인: 소프트그레이 / 두께 / 폭: 1.2cm/110cm / 길이: 950cm</t>
  </si>
  <si>
    <t>⛄홀리데이⛄디자인: 소프트그레이 / 두께 / 폭: 1.2cm/120cm / 길이: 1000cm</t>
  </si>
  <si>
    <t>⛄홀리데이⛄디자인: 소프트그레이 / 두께 / 폭: 1.2cm/120cm / 길이: 100cm</t>
  </si>
  <si>
    <t>⛄홀리데이⛄디자인: 소프트그레이 / 두께 / 폭: 1.2cm/120cm / 길이: 1050cm</t>
  </si>
  <si>
    <t>⛄홀리데이⛄디자인: 소프트그레이 / 두께 / 폭: 1.2cm/120cm / 길이: 1100cm</t>
  </si>
  <si>
    <t>⛄홀리데이⛄디자인: 소프트그레이 / 두께 / 폭: 1.2cm/120cm / 길이: 1150cm</t>
  </si>
  <si>
    <t>⛄홀리데이⛄디자인: 소프트그레이 / 두께 / 폭: 1.2cm/120cm / 길이: 1200cm</t>
  </si>
  <si>
    <t>⛄홀리데이⛄디자인: 소프트그레이 / 두께 / 폭: 1.2cm/120cm / 길이: 150cm</t>
  </si>
  <si>
    <t>⛄홀리데이⛄디자인: 소프트그레이 / 두께 / 폭: 1.2cm/120cm / 길이: 200cm</t>
  </si>
  <si>
    <t>⛄홀리데이⛄디자인: 소프트그레이 / 두께 / 폭: 1.2cm/120cm / 길이: 250cm</t>
  </si>
  <si>
    <t>⛄홀리데이⛄디자인: 소프트그레이 / 두께 / 폭: 1.2cm/120cm / 길이: 300cm</t>
  </si>
  <si>
    <t>⛄홀리데이⛄디자인: 소프트그레이 / 두께 / 폭: 1.2cm/120cm / 길이: 350cm</t>
  </si>
  <si>
    <t>⛄홀리데이⛄디자인: 소프트그레이 / 두께 / 폭: 1.2cm/120cm / 길이: 400cm</t>
  </si>
  <si>
    <t>⛄홀리데이⛄디자인: 소프트그레이 / 두께 / 폭: 1.2cm/120cm / 길이: 450cm</t>
  </si>
  <si>
    <t>⛄홀리데이⛄디자인: 소프트그레이 / 두께 / 폭: 1.2cm/120cm / 길이: 500cm</t>
  </si>
  <si>
    <t>⛄홀리데이⛄디자인: 소프트그레이 / 두께 / 폭: 1.2cm/120cm / 길이: 550cm</t>
  </si>
  <si>
    <t>⛄홀리데이⛄디자인: 소프트그레이 / 두께 / 폭: 1.2cm/120cm / 길이: 600cm</t>
  </si>
  <si>
    <t>⛄홀리데이⛄디자인: 소프트그레이 / 두께 / 폭: 1.2cm/120cm / 길이: 650cm</t>
  </si>
  <si>
    <t>⛄홀리데이⛄디자인: 소프트그레이 / 두께 / 폭: 1.2cm/120cm / 길이: 700cm</t>
  </si>
  <si>
    <t>⛄홀리데이⛄디자인: 소프트그레이 / 두께 / 폭: 1.2cm/120cm / 길이: 750cm</t>
  </si>
  <si>
    <t>⛄홀리데이⛄디자인: 소프트그레이 / 두께 / 폭: 1.2cm/120cm / 길이: 800cm</t>
  </si>
  <si>
    <t>⛄홀리데이⛄디자인: 소프트그레이 / 두께 / 폭: 1.2cm/120cm / 길이: 850cm</t>
  </si>
  <si>
    <t>⛄홀리데이⛄디자인: 소프트그레이 / 두께 / 폭: 1.2cm/120cm / 길이: 900cm</t>
  </si>
  <si>
    <t>⛄홀리데이⛄디자인: 소프트그레이 / 두께 / 폭: 1.2cm/120cm / 길이: 950cm</t>
  </si>
  <si>
    <t>⛄홀리데이⛄디자인: 소프트그레이 / 두께 / 폭: 1.2cm/140cm / 길이: 1000cm</t>
  </si>
  <si>
    <t>⛄홀리데이⛄디자인: 소프트그레이 / 두께 / 폭: 1.2cm/140cm / 길이: 100cm</t>
  </si>
  <si>
    <t>⛄홀리데이⛄디자인: 소프트그레이 / 두께 / 폭: 1.2cm/140cm / 길이: 1050cm</t>
  </si>
  <si>
    <t>⛄홀리데이⛄디자인: 소프트그레이 / 두께 / 폭: 1.2cm/140cm / 길이: 1100cm</t>
  </si>
  <si>
    <t>⛄홀리데이⛄디자인: 소프트그레이 / 두께 / 폭: 1.2cm/140cm / 길이: 1150cm</t>
  </si>
  <si>
    <t>⛄홀리데이⛄디자인: 소프트그레이 / 두께 / 폭: 1.2cm/140cm / 길이: 1200cm</t>
  </si>
  <si>
    <t>⛄홀리데이⛄디자인: 소프트그레이 / 두께 / 폭: 1.2cm/140cm / 길이: 150cm</t>
  </si>
  <si>
    <t>⛄홀리데이⛄디자인: 소프트그레이 / 두께 / 폭: 1.2cm/140cm / 길이: 200cm</t>
  </si>
  <si>
    <t>⛄홀리데이⛄디자인: 소프트그레이 / 두께 / 폭: 1.2cm/140cm / 길이: 250cm</t>
  </si>
  <si>
    <t>⛄홀리데이⛄디자인: 소프트그레이 / 두께 / 폭: 1.2cm/140cm / 길이: 300cm</t>
  </si>
  <si>
    <t>⛄홀리데이⛄디자인: 소프트그레이 / 두께 / 폭: 1.2cm/140cm / 길이: 350cm</t>
  </si>
  <si>
    <t>⛄홀리데이⛄디자인: 소프트그레이 / 두께 / 폭: 1.2cm/140cm / 길이: 400cm</t>
  </si>
  <si>
    <t>⛄홀리데이⛄디자인: 소프트그레이 / 두께 / 폭: 1.2cm/140cm / 길이: 450cm</t>
  </si>
  <si>
    <t>⛄홀리데이⛄디자인: 소프트그레이 / 두께 / 폭: 1.2cm/140cm / 길이: 500cm</t>
  </si>
  <si>
    <t>⛄홀리데이⛄디자인: 소프트그레이 / 두께 / 폭: 1.2cm/140cm / 길이: 550cm</t>
  </si>
  <si>
    <t>⛄홀리데이⛄디자인: 소프트그레이 / 두께 / 폭: 1.2cm/140cm / 길이: 600cm</t>
  </si>
  <si>
    <t>⛄홀리데이⛄디자인: 소프트그레이 / 두께 / 폭: 1.2cm/140cm / 길이: 650cm</t>
  </si>
  <si>
    <t>⛄홀리데이⛄디자인: 소프트그레이 / 두께 / 폭: 1.2cm/140cm / 길이: 700cm</t>
  </si>
  <si>
    <t>⛄홀리데이⛄디자인: 소프트그레이 / 두께 / 폭: 1.2cm/140cm / 길이: 750cm</t>
  </si>
  <si>
    <t>⛄홀리데이⛄디자인: 소프트그레이 / 두께 / 폭: 1.2cm/140cm / 길이: 800cm</t>
  </si>
  <si>
    <t>⛄홀리데이⛄디자인: 소프트그레이 / 두께 / 폭: 1.2cm/140cm / 길이: 850cm</t>
  </si>
  <si>
    <t>⛄홀리데이⛄디자인: 소프트그레이 / 두께 / 폭: 1.2cm/140cm / 길이: 900cm</t>
  </si>
  <si>
    <t>⛄홀리데이⛄디자인: 소프트그레이 / 두께 / 폭: 1.2cm/140cm / 길이: 950cm</t>
  </si>
  <si>
    <t>⛄홀리데이⛄디자인: 소프트그레이 / 두께 / 폭: 1.4cm/110cm / 길이: 1000cm</t>
  </si>
  <si>
    <t>⛄홀리데이⛄디자인: 소프트그레이 / 두께 / 폭: 1.4cm/110cm / 길이: 100cm</t>
  </si>
  <si>
    <t>⛄홀리데이⛄디자인: 소프트그레이 / 두께 / 폭: 1.4cm/110cm / 길이: 1050cm</t>
  </si>
  <si>
    <t>⛄홀리데이⛄디자인: 소프트그레이 / 두께 / 폭: 1.4cm/110cm / 길이: 1100cm</t>
  </si>
  <si>
    <t>⛄홀리데이⛄디자인: 소프트그레이 / 두께 / 폭: 1.4cm/110cm / 길이: 1150cm</t>
  </si>
  <si>
    <t>⛄홀리데이⛄디자인: 소프트그레이 / 두께 / 폭: 1.4cm/110cm / 길이: 1200cm</t>
  </si>
  <si>
    <t>⛄홀리데이⛄디자인: 소프트그레이 / 두께 / 폭: 1.4cm/110cm / 길이: 150cm</t>
  </si>
  <si>
    <t>⛄홀리데이⛄디자인: 소프트그레이 / 두께 / 폭: 1.4cm/110cm / 길이: 200cm</t>
  </si>
  <si>
    <t>⛄홀리데이⛄디자인: 소프트그레이 / 두께 / 폭: 1.4cm/110cm / 길이: 250cm</t>
  </si>
  <si>
    <t>⛄홀리데이⛄디자인: 소프트그레이 / 두께 / 폭: 1.4cm/110cm / 길이: 300cm</t>
  </si>
  <si>
    <t>⛄홀리데이⛄디자인: 소프트그레이 / 두께 / 폭: 1.4cm/110cm / 길이: 350cm</t>
  </si>
  <si>
    <t>⛄홀리데이⛄디자인: 소프트그레이 / 두께 / 폭: 1.4cm/110cm / 길이: 400cm</t>
  </si>
  <si>
    <t>⛄홀리데이⛄디자인: 소프트그레이 / 두께 / 폭: 1.4cm/110cm / 길이: 450cm</t>
  </si>
  <si>
    <t>⛄홀리데이⛄디자인: 소프트그레이 / 두께 / 폭: 1.4cm/110cm / 길이: 500cm</t>
  </si>
  <si>
    <t>⛄홀리데이⛄디자인: 소프트그레이 / 두께 / 폭: 1.4cm/110cm / 길이: 550cm</t>
  </si>
  <si>
    <t>⛄홀리데이⛄디자인: 소프트그레이 / 두께 / 폭: 1.4cm/110cm / 길이: 600cm</t>
  </si>
  <si>
    <t>⛄홀리데이⛄디자인: 소프트그레이 / 두께 / 폭: 1.4cm/110cm / 길이: 650cm</t>
  </si>
  <si>
    <t>⛄홀리데이⛄디자인: 소프트그레이 / 두께 / 폭: 1.4cm/110cm / 길이: 700cm</t>
  </si>
  <si>
    <t>⛄홀리데이⛄디자인: 소프트그레이 / 두께 / 폭: 1.4cm/110cm / 길이: 750cm</t>
  </si>
  <si>
    <t>⛄홀리데이⛄디자인: 소프트그레이 / 두께 / 폭: 1.4cm/110cm / 길이: 800cm</t>
  </si>
  <si>
    <t>⛄홀리데이⛄디자인: 소프트그레이 / 두께 / 폭: 1.4cm/110cm / 길이: 850cm</t>
  </si>
  <si>
    <t>⛄홀리데이⛄디자인: 소프트그레이 / 두께 / 폭: 1.4cm/110cm / 길이: 900cm</t>
  </si>
  <si>
    <t>⛄홀리데이⛄디자인: 소프트그레이 / 두께 / 폭: 1.4cm/110cm / 길이: 950cm</t>
  </si>
  <si>
    <t>⛄홀리데이⛄디자인: 소프트그레이 / 두께 / 폭: 1.4cm/120cm / 길이: 1000cm</t>
  </si>
  <si>
    <t>⛄홀리데이⛄디자인: 소프트그레이 / 두께 / 폭: 1.4cm/120cm / 길이: 100cm</t>
  </si>
  <si>
    <t>⛄홀리데이⛄디자인: 소프트그레이 / 두께 / 폭: 1.4cm/120cm / 길이: 150cm</t>
  </si>
  <si>
    <t>⛄홀리데이⛄디자인: 소프트그레이 / 두께 / 폭: 1.4cm/120cm / 길이: 200cm</t>
  </si>
  <si>
    <t>⛄홀리데이⛄디자인: 소프트그레이 / 두께 / 폭: 1.4cm/120cm / 길이: 250cm</t>
  </si>
  <si>
    <t>⛄홀리데이⛄디자인: 소프트그레이 / 두께 / 폭: 1.4cm/120cm / 길이: 300cm</t>
  </si>
  <si>
    <t>⛄홀리데이⛄디자인: 소프트그레이 / 두께 / 폭: 1.4cm/120cm / 길이: 350cm</t>
  </si>
  <si>
    <t>⛄홀리데이⛄디자인: 소프트그레이 / 두께 / 폭: 1.4cm/120cm / 길이: 400cm</t>
  </si>
  <si>
    <t>⛄홀리데이⛄디자인: 소프트그레이 / 두께 / 폭: 1.4cm/120cm / 길이: 450cm</t>
  </si>
  <si>
    <t>⛄홀리데이⛄디자인: 소프트그레이 / 두께 / 폭: 1.4cm/120cm / 길이: 500cm</t>
  </si>
  <si>
    <t>⛄홀리데이⛄디자인: 소프트그레이 / 두께 / 폭: 1.4cm/120cm / 길이: 550cm</t>
  </si>
  <si>
    <t>⛄홀리데이⛄디자인: 소프트그레이 / 두께 / 폭: 1.4cm/120cm / 길이: 600cm</t>
  </si>
  <si>
    <t>⛄홀리데이⛄디자인: 소프트그레이 / 두께 / 폭: 1.4cm/120cm / 길이: 650cm</t>
  </si>
  <si>
    <t>⛄홀리데이⛄디자인: 소프트그레이 / 두께 / 폭: 1.4cm/120cm / 길이: 700cm</t>
  </si>
  <si>
    <t>⛄홀리데이⛄디자인: 소프트그레이 / 두께 / 폭: 1.4cm/120cm / 길이: 750cm</t>
  </si>
  <si>
    <t>⛄홀리데이⛄디자인: 소프트그레이 / 두께 / 폭: 1.4cm/120cm / 길이: 800cm</t>
  </si>
  <si>
    <t>⛄홀리데이⛄디자인: 소프트그레이 / 두께 / 폭: 1.4cm/120cm / 길이: 850cm</t>
  </si>
  <si>
    <t>⛄홀리데이⛄디자인: 소프트그레이 / 두께 / 폭: 1.4cm/120cm / 길이: 900cm</t>
  </si>
  <si>
    <t>⛄홀리데이⛄디자인: 소프트그레이 / 두께 / 폭: 1.4cm/120cm / 길이: 950cm</t>
  </si>
  <si>
    <t>⛄홀리데이⛄디자인: 소프트그레이 / 두께 / 폭: 1.4cm/140cm / 길이: 1000cm</t>
  </si>
  <si>
    <t>⛄홀리데이⛄디자인: 소프트그레이 / 두께 / 폭: 1.4cm/140cm / 길이: 100cm</t>
  </si>
  <si>
    <t>⛄홀리데이⛄디자인: 소프트그레이 / 두께 / 폭: 1.4cm/140cm / 길이: 1050cm</t>
  </si>
  <si>
    <t>⛄홀리데이⛄디자인: 소프트그레이 / 두께 / 폭: 1.4cm/140cm / 길이: 1100cm</t>
  </si>
  <si>
    <t>⛄홀리데이⛄디자인: 소프트그레이 / 두께 / 폭: 1.4cm/140cm / 길이: 1150cm</t>
  </si>
  <si>
    <t>⛄홀리데이⛄디자인: 소프트그레이 / 두께 / 폭: 1.4cm/140cm / 길이: 1200cm</t>
  </si>
  <si>
    <t>⛄홀리데이⛄디자인: 소프트그레이 / 두께 / 폭: 1.4cm/140cm / 길이: 150cm</t>
  </si>
  <si>
    <t>⛄홀리데이⛄디자인: 소프트그레이 / 두께 / 폭: 1.4cm/140cm / 길이: 200cm</t>
  </si>
  <si>
    <t>⛄홀리데이⛄디자인: 소프트그레이 / 두께 / 폭: 1.4cm/140cm / 길이: 250cm</t>
  </si>
  <si>
    <t>⛄홀리데이⛄디자인: 소프트그레이 / 두께 / 폭: 1.4cm/140cm / 길이: 300cm</t>
  </si>
  <si>
    <t>⛄홀리데이⛄디자인: 소프트그레이 / 두께 / 폭: 1.4cm/140cm / 길이: 350cm</t>
  </si>
  <si>
    <t>⛄홀리데이⛄디자인: 소프트그레이 / 두께 / 폭: 1.4cm/140cm / 길이: 400cm</t>
  </si>
  <si>
    <t>⛄홀리데이⛄디자인: 소프트그레이 / 두께 / 폭: 1.4cm/140cm / 길이: 450cm</t>
  </si>
  <si>
    <t>⛄홀리데이⛄디자인: 소프트그레이 / 두께 / 폭: 1.4cm/140cm / 길이: 500cm</t>
  </si>
  <si>
    <t>⛄홀리데이⛄디자인: 소프트그레이 / 두께 / 폭: 1.4cm/140cm / 길이: 550cm</t>
  </si>
  <si>
    <t>⛄홀리데이⛄디자인: 소프트그레이 / 두께 / 폭: 1.4cm/140cm / 길이: 600cm</t>
  </si>
  <si>
    <t>⛄홀리데이⛄디자인: 소프트그레이 / 두께 / 폭: 1.4cm/140cm / 길이: 650cm</t>
  </si>
  <si>
    <t>⛄홀리데이⛄디자인: 소프트그레이 / 두께 / 폭: 1.4cm/140cm / 길이: 700cm</t>
  </si>
  <si>
    <t>⛄홀리데이⛄디자인: 소프트그레이 / 두께 / 폭: 1.4cm/140cm / 길이: 750cm</t>
  </si>
  <si>
    <t>⛄홀리데이⛄디자인: 소프트그레이 / 두께 / 폭: 1.4cm/140cm / 길이: 800cm</t>
  </si>
  <si>
    <t>⛄홀리데이⛄디자인: 소프트그레이 / 두께 / 폭: 1.4cm/140cm / 길이: 850cm</t>
  </si>
  <si>
    <t>⛄홀리데이⛄디자인: 소프트그레이 / 두께 / 폭: 1.4cm/140cm / 길이: 900cm</t>
  </si>
  <si>
    <t>⛄홀리데이⛄디자인: 소프트그레이 / 두께 / 폭: 1.4cm/140cm / 길이: 950cm</t>
  </si>
  <si>
    <t>⛄홀리데이⛄디자인: 소프트그레이 / 두께 / 폭: 1.7cm/110cm / 길이: 1000cm</t>
  </si>
  <si>
    <t>⛄홀리데이⛄디자인: 소프트그레이 / 두께 / 폭: 1.7cm/110cm / 길이: 100cm</t>
  </si>
  <si>
    <t>⛄홀리데이⛄디자인: 소프트그레이 / 두께 / 폭: 1.7cm/110cm / 길이: 1050cm</t>
  </si>
  <si>
    <t>⛄홀리데이⛄디자인: 소프트그레이 / 두께 / 폭: 1.7cm/110cm / 길이: 1100cm</t>
  </si>
  <si>
    <t>⛄홀리데이⛄디자인: 소프트그레이 / 두께 / 폭: 1.7cm/110cm / 길이: 1150cm</t>
  </si>
  <si>
    <t>⛄홀리데이⛄디자인: 소프트그레이 / 두께 / 폭: 1.7cm/110cm / 길이: 1200cm</t>
  </si>
  <si>
    <t>⛄홀리데이⛄디자인: 소프트그레이 / 두께 / 폭: 1.7cm/110cm / 길이: 150cm</t>
  </si>
  <si>
    <t>⛄홀리데이⛄디자인: 소프트그레이 / 두께 / 폭: 1.7cm/110cm / 길이: 200cm</t>
  </si>
  <si>
    <t>⛄홀리데이⛄디자인: 소프트그레이 / 두께 / 폭: 1.7cm/110cm / 길이: 250cm</t>
  </si>
  <si>
    <t>⛄홀리데이⛄디자인: 소프트그레이 / 두께 / 폭: 1.7cm/110cm / 길이: 300cm</t>
  </si>
  <si>
    <t>⛄홀리데이⛄디자인: 소프트그레이 / 두께 / 폭: 1.7cm/110cm / 길이: 350cm</t>
  </si>
  <si>
    <t>⛄홀리데이⛄디자인: 소프트그레이 / 두께 / 폭: 1.7cm/110cm / 길이: 400cm</t>
  </si>
  <si>
    <t>⛄홀리데이⛄디자인: 소프트그레이 / 두께 / 폭: 1.7cm/110cm / 길이: 450cm</t>
  </si>
  <si>
    <t>⛄홀리데이⛄디자인: 소프트그레이 / 두께 / 폭: 1.7cm/110cm / 길이: 500cm</t>
  </si>
  <si>
    <t>⛄홀리데이⛄디자인: 소프트그레이 / 두께 / 폭: 1.7cm/110cm / 길이: 550cm</t>
  </si>
  <si>
    <t>⛄홀리데이⛄디자인: 소프트그레이 / 두께 / 폭: 1.7cm/110cm / 길이: 600cm</t>
  </si>
  <si>
    <t>⛄홀리데이⛄디자인: 소프트그레이 / 두께 / 폭: 1.7cm/110cm / 길이: 650cm</t>
  </si>
  <si>
    <t>⛄홀리데이⛄디자인: 소프트그레이 / 두께 / 폭: 1.7cm/110cm / 길이: 700cm</t>
  </si>
  <si>
    <t>⛄홀리데이⛄디자인: 소프트그레이 / 두께 / 폭: 1.7cm/110cm / 길이: 750cm</t>
  </si>
  <si>
    <t>⛄홀리데이⛄디자인: 소프트그레이 / 두께 / 폭: 1.7cm/110cm / 길이: 800cm</t>
  </si>
  <si>
    <t>⛄홀리데이⛄디자인: 소프트그레이 / 두께 / 폭: 1.7cm/110cm / 길이: 850cm</t>
  </si>
  <si>
    <t>⛄홀리데이⛄디자인: 소프트그레이 / 두께 / 폭: 1.7cm/110cm / 길이: 900cm</t>
  </si>
  <si>
    <t>⛄홀리데이⛄디자인: 소프트그레이 / 두께 / 폭: 1.7cm/110cm / 길이: 950cm</t>
  </si>
  <si>
    <t>⛄홀리데이⛄디자인: 소프트그레이 / 두께 / 폭: 1.7cm/120cm / 길이: 1000cm</t>
  </si>
  <si>
    <t>⛄홀리데이⛄디자인: 소프트그레이 / 두께 / 폭: 1.7cm/120cm / 길이: 100cm</t>
  </si>
  <si>
    <t>⛄홀리데이⛄디자인: 소프트그레이 / 두께 / 폭: 1.7cm/120cm / 길이: 1050cm</t>
  </si>
  <si>
    <t>⛄홀리데이⛄디자인: 소프트그레이 / 두께 / 폭: 1.7cm/120cm / 길이: 1100cm</t>
  </si>
  <si>
    <t>⛄홀리데이⛄디자인: 소프트그레이 / 두께 / 폭: 1.7cm/120cm / 길이: 1150cm</t>
  </si>
  <si>
    <t>⛄홀리데이⛄디자인: 소프트그레이 / 두께 / 폭: 1.7cm/120cm / 길이: 1200cm</t>
  </si>
  <si>
    <t>⛄홀리데이⛄디자인: 소프트그레이 / 두께 / 폭: 1.7cm/120cm / 길이: 150cm</t>
  </si>
  <si>
    <t>⛄홀리데이⛄디자인: 소프트그레이 / 두께 / 폭: 1.7cm/120cm / 길이: 250cm</t>
  </si>
  <si>
    <t>⛄홀리데이⛄디자인: 소프트그레이 / 두께 / 폭: 1.7cm/120cm / 길이: 300cm</t>
  </si>
  <si>
    <t>⛄홀리데이⛄디자인: 소프트그레이 / 두께 / 폭: 1.7cm/120cm / 길이: 350cm</t>
  </si>
  <si>
    <t>⛄홀리데이⛄디자인: 소프트그레이 / 두께 / 폭: 1.7cm/120cm / 길이: 400cm</t>
  </si>
  <si>
    <t>⛄홀리데이⛄디자인: 소프트그레이 / 두께 / 폭: 1.7cm/120cm / 길이: 450cm</t>
  </si>
  <si>
    <t>⛄홀리데이⛄디자인: 소프트그레이 / 두께 / 폭: 1.7cm/120cm / 길이: 500cm</t>
  </si>
  <si>
    <t>⛄홀리데이⛄디자인: 소프트그레이 / 두께 / 폭: 1.7cm/120cm / 길이: 550cm</t>
  </si>
  <si>
    <t>⛄홀리데이⛄디자인: 소프트그레이 / 두께 / 폭: 1.7cm/120cm / 길이: 600cm</t>
  </si>
  <si>
    <t>⛄홀리데이⛄디자인: 소프트그레이 / 두께 / 폭: 1.7cm/120cm / 길이: 650cm</t>
  </si>
  <si>
    <t>⛄홀리데이⛄디자인: 소프트그레이 / 두께 / 폭: 1.7cm/120cm / 길이: 700cm</t>
  </si>
  <si>
    <t>⛄홀리데이⛄디자인: 소프트그레이 / 두께 / 폭: 1.7cm/120cm / 길이: 750cm</t>
  </si>
  <si>
    <t>⛄홀리데이⛄디자인: 소프트그레이 / 두께 / 폭: 1.7cm/120cm / 길이: 800cm</t>
  </si>
  <si>
    <t>⛄홀리데이⛄디자인: 소프트그레이 / 두께 / 폭: 1.7cm/120cm / 길이: 850cm</t>
  </si>
  <si>
    <t>⛄홀리데이⛄디자인: 소프트그레이 / 두께 / 폭: 1.7cm/120cm / 길이: 900cm</t>
  </si>
  <si>
    <t>⛄홀리데이⛄디자인: 소프트그레이 / 두께 / 폭: 1.7cm/120cm / 길이: 950cm</t>
  </si>
  <si>
    <t>⛄홀리데이⛄디자인: 소프트그레이 / 두께 / 폭: 1.7cm/140cm / 길이: 1000cm</t>
  </si>
  <si>
    <t>⛄홀리데이⛄디자인: 소프트그레이 / 두께 / 폭: 1.7cm/140cm / 길이: 100cm</t>
  </si>
  <si>
    <t>⛄홀리데이⛄디자인: 소프트그레이 / 두께 / 폭: 1.7cm/140cm / 길이: 1050cm</t>
  </si>
  <si>
    <t>⛄홀리데이⛄디자인: 소프트그레이 / 두께 / 폭: 1.7cm/140cm / 길이: 1100cm</t>
  </si>
  <si>
    <t>⛄홀리데이⛄디자인: 소프트그레이 / 두께 / 폭: 1.7cm/140cm / 길이: 1150cm</t>
  </si>
  <si>
    <t>⛄홀리데이⛄디자인: 소프트그레이 / 두께 / 폭: 1.7cm/140cm / 길이: 1200cm</t>
  </si>
  <si>
    <t>⛄홀리데이⛄디자인: 소프트그레이 / 두께 / 폭: 1.7cm/140cm / 길이: 150cm</t>
  </si>
  <si>
    <t>⛄홀리데이⛄디자인: 소프트그레이 / 두께 / 폭: 1.7cm/140cm / 길이: 200cm</t>
  </si>
  <si>
    <t>⛄홀리데이⛄디자인: 소프트그레이 / 두께 / 폭: 1.7cm/140cm / 길이: 250cm</t>
  </si>
  <si>
    <t>⛄홀리데이⛄디자인: 소프트그레이 / 두께 / 폭: 1.7cm/140cm / 길이: 300cm</t>
  </si>
  <si>
    <t>⛄홀리데이⛄디자인: 소프트그레이 / 두께 / 폭: 1.7cm/140cm / 길이: 350cm</t>
  </si>
  <si>
    <t>⛄홀리데이⛄디자인: 소프트그레이 / 두께 / 폭: 1.7cm/140cm / 길이: 400cm</t>
  </si>
  <si>
    <t>⛄홀리데이⛄디자인: 소프트그레이 / 두께 / 폭: 1.7cm/140cm / 길이: 450cm</t>
  </si>
  <si>
    <t>⛄홀리데이⛄디자인: 소프트그레이 / 두께 / 폭: 1.7cm/140cm / 길이: 500cm</t>
  </si>
  <si>
    <t>⛄홀리데이⛄디자인: 소프트그레이 / 두께 / 폭: 1.7cm/140cm / 길이: 550cm</t>
  </si>
  <si>
    <t>⛄홀리데이⛄디자인: 소프트그레이 / 두께 / 폭: 1.7cm/140cm / 길이: 600cm</t>
  </si>
  <si>
    <t>⛄홀리데이⛄디자인: 소프트그레이 / 두께 / 폭: 1.7cm/140cm / 길이: 650cm</t>
  </si>
  <si>
    <t>⛄홀리데이⛄디자인: 소프트그레이 / 두께 / 폭: 1.7cm/140cm / 길이: 700cm</t>
  </si>
  <si>
    <t>⛄홀리데이⛄디자인: 소프트그레이 / 두께 / 폭: 1.7cm/140cm / 길이: 750cm</t>
  </si>
  <si>
    <t>⛄홀리데이⛄디자인: 소프트그레이 / 두께 / 폭: 1.7cm/140cm / 길이: 800cm</t>
  </si>
  <si>
    <t>⛄홀리데이⛄디자인: 소프트그레이 / 두께 / 폭: 1.7cm/140cm / 길이: 850cm</t>
  </si>
  <si>
    <t>⛄홀리데이⛄디자인: 소프트그레이 / 두께 / 폭: 1.7cm/140cm / 길이: 900cm</t>
  </si>
  <si>
    <t>⛄홀리데이⛄디자인: 소프트그레이 / 두께 / 폭: 1.7cm/140cm / 길이: 950cm</t>
  </si>
  <si>
    <t>⛄홀리데이⛄디자인: 소프트그레이 / 두께 / 폭: 2.3cm/110cm / 길이: 1000cm</t>
  </si>
  <si>
    <t>⛄홀리데이⛄디자인: 소프트그레이 / 두께 / 폭: 2.3cm/110cm / 길이: 100cm</t>
  </si>
  <si>
    <t>⛄홀리데이⛄디자인: 소프트그레이 / 두께 / 폭: 2.3cm/110cm / 길이: 1050cm</t>
  </si>
  <si>
    <t>⛄홀리데이⛄디자인: 소프트그레이 / 두께 / 폭: 2.3cm/110cm / 길이: 1100cm</t>
  </si>
  <si>
    <t>⛄홀리데이⛄디자인: 소프트그레이 / 두께 / 폭: 2.3cm/110cm / 길이: 1150cm</t>
  </si>
  <si>
    <t>⛄홀리데이⛄디자인: 소프트그레이 / 두께 / 폭: 2.3cm/110cm / 길이: 1200cm</t>
  </si>
  <si>
    <t>⛄홀리데이⛄디자인: 소프트그레이 / 두께 / 폭: 2.3cm/110cm / 길이: 150cm</t>
  </si>
  <si>
    <t>⛄홀리데이⛄디자인: 소프트그레이 / 두께 / 폭: 2.3cm/110cm / 길이: 200cm</t>
  </si>
  <si>
    <t>⛄홀리데이⛄디자인: 소프트그레이 / 두께 / 폭: 2.3cm/110cm / 길이: 250cm</t>
  </si>
  <si>
    <t>⛄홀리데이⛄디자인: 소프트그레이 / 두께 / 폭: 2.3cm/110cm / 길이: 300cm</t>
  </si>
  <si>
    <t>⛄홀리데이⛄디자인: 소프트그레이 / 두께 / 폭: 2.3cm/110cm / 길이: 350cm</t>
  </si>
  <si>
    <t>⛄홀리데이⛄디자인: 소프트그레이 / 두께 / 폭: 2.3cm/110cm / 길이: 400cm</t>
  </si>
  <si>
    <t>⛄홀리데이⛄디자인: 소프트그레이 / 두께 / 폭: 2.3cm/110cm / 길이: 450cm</t>
  </si>
  <si>
    <t>⛄홀리데이⛄디자인: 소프트그레이 / 두께 / 폭: 2.3cm/110cm / 길이: 500cm</t>
  </si>
  <si>
    <t>⛄홀리데이⛄디자인: 소프트그레이 / 두께 / 폭: 2.3cm/110cm / 길이: 550cm</t>
  </si>
  <si>
    <t>⛄홀리데이⛄디자인: 소프트그레이 / 두께 / 폭: 2.3cm/110cm / 길이: 600cm</t>
  </si>
  <si>
    <t>⛄홀리데이⛄디자인: 소프트그레이 / 두께 / 폭: 2.3cm/110cm / 길이: 650cm</t>
  </si>
  <si>
    <t>⛄홀리데이⛄디자인: 소프트그레이 / 두께 / 폭: 2.3cm/110cm / 길이: 700cm</t>
  </si>
  <si>
    <t>⛄홀리데이⛄디자인: 소프트그레이 / 두께 / 폭: 2.3cm/110cm / 길이: 750cm</t>
  </si>
  <si>
    <t>⛄홀리데이⛄디자인: 소프트그레이 / 두께 / 폭: 2.3cm/110cm / 길이: 800cm</t>
  </si>
  <si>
    <t>⛄홀리데이⛄디자인: 소프트그레이 / 두께 / 폭: 2.3cm/110cm / 길이: 850cm</t>
  </si>
  <si>
    <t>⛄홀리데이⛄디자인: 소프트그레이 / 두께 / 폭: 2.3cm/110cm / 길이: 900cm</t>
  </si>
  <si>
    <t>⛄홀리데이⛄디자인: 소프트그레이 / 두께 / 폭: 2.3cm/110cm / 길이: 950cm</t>
  </si>
  <si>
    <t>⛄홀리데이⛄디자인: 소프트그레이 / 두께 / 폭: 2.3cm/120cm / 길이: 1000cm</t>
  </si>
  <si>
    <t>⛄홀리데이⛄디자인: 소프트그레이 / 두께 / 폭: 2.3cm/120cm / 길이: 100cm</t>
  </si>
  <si>
    <t>⛄홀리데이⛄디자인: 소프트그레이 / 두께 / 폭: 2.3cm/120cm / 길이: 1050cm</t>
  </si>
  <si>
    <t>⛄홀리데이⛄디자인: 소프트그레이 / 두께 / 폭: 2.3cm/120cm / 길이: 1100cm</t>
  </si>
  <si>
    <t>⛄홀리데이⛄디자인: 소프트그레이 / 두께 / 폭: 2.3cm/120cm / 길이: 1150cm</t>
  </si>
  <si>
    <t>⛄홀리데이⛄디자인: 소프트그레이 / 두께 / 폭: 2.3cm/120cm / 길이: 1200cm</t>
  </si>
  <si>
    <t>⛄홀리데이⛄디자인: 소프트그레이 / 두께 / 폭: 2.3cm/120cm / 길이: 150cm</t>
  </si>
  <si>
    <t>⛄홀리데이⛄디자인: 소프트그레이 / 두께 / 폭: 2.3cm/120cm / 길이: 200cm</t>
  </si>
  <si>
    <t>⛄홀리데이⛄디자인: 소프트그레이 / 두께 / 폭: 2.3cm/120cm / 길이: 250cm</t>
  </si>
  <si>
    <t>⛄홀리데이⛄디자인: 소프트그레이 / 두께 / 폭: 2.3cm/120cm / 길이: 300cm</t>
  </si>
  <si>
    <t>⛄홀리데이⛄디자인: 소프트그레이 / 두께 / 폭: 2.3cm/120cm / 길이: 350cm</t>
  </si>
  <si>
    <t>⛄홀리데이⛄디자인: 소프트그레이 / 두께 / 폭: 2.3cm/120cm / 길이: 400cm</t>
  </si>
  <si>
    <t>⛄홀리데이⛄디자인: 소프트그레이 / 두께 / 폭: 2.3cm/120cm / 길이: 450cm</t>
  </si>
  <si>
    <t>⛄홀리데이⛄디자인: 소프트그레이 / 두께 / 폭: 2.3cm/120cm / 길이: 500cm</t>
  </si>
  <si>
    <t>⛄홀리데이⛄디자인: 소프트그레이 / 두께 / 폭: 2.3cm/120cm / 길이: 550cm</t>
  </si>
  <si>
    <t>⛄홀리데이⛄디자인: 소프트그레이 / 두께 / 폭: 2.3cm/120cm / 길이: 600cm</t>
  </si>
  <si>
    <t>⛄홀리데이⛄디자인: 소프트그레이 / 두께 / 폭: 2.3cm/120cm / 길이: 650cm</t>
  </si>
  <si>
    <t>⛄홀리데이⛄디자인: 소프트그레이 / 두께 / 폭: 2.3cm/120cm / 길이: 700cm</t>
  </si>
  <si>
    <t>⛄홀리데이⛄디자인: 소프트그레이 / 두께 / 폭: 2.3cm/120cm / 길이: 750cm</t>
  </si>
  <si>
    <t>⛄홀리데이⛄디자인: 소프트그레이 / 두께 / 폭: 2.3cm/120cm / 길이: 800cm</t>
  </si>
  <si>
    <t>⛄홀리데이⛄디자인: 소프트그레이 / 두께 / 폭: 2.3cm/120cm / 길이: 850cm</t>
  </si>
  <si>
    <t>⛄홀리데이⛄디자인: 소프트그레이 / 두께 / 폭: 2.3cm/120cm / 길이: 900cm</t>
  </si>
  <si>
    <t>⛄홀리데이⛄디자인: 소프트그레이 / 두께 / 폭: 2.3cm/120cm / 길이: 950cm</t>
  </si>
  <si>
    <t>⛄홀리데이⛄디자인: 소프트그레이 / 두께 / 폭: 두께1.2cm / 폭110cm / 길이(수량추가): 50cm</t>
  </si>
  <si>
    <t>⛄홀리데이⛄디자인: 소프트그레이 / 두께 / 폭: 두께1.2cm / 폭120cm / 길이(수량추가): 50cm</t>
  </si>
  <si>
    <t>⛄홀리데이⛄디자인: 소프트그레이 / 두께 / 폭: 두께1.2cm / 폭140cm / 길이(수량추가): 50cm</t>
  </si>
  <si>
    <t>⛄홀리데이⛄디자인: 소프트그레이 / 두께 / 폭: 두께1.4cm / 폭110cm / 길이(수량추가): 50cm</t>
  </si>
  <si>
    <t>⛄홀리데이⛄디자인: 소프트그레이 / 두께 / 폭: 두께1.4cm / 폭120cm / 길이(수량추가): 50cm</t>
  </si>
  <si>
    <t>⛄홀리데이⛄디자인: 소프트그레이 / 두께 / 폭: 두께1.4cm / 폭140cm / 길이(수량추가): 50cm</t>
  </si>
  <si>
    <t>⛄홀리데이⛄디자인: 소프트그레이 / 두께 / 폭: 두께1.8cm / 폭110cm / 길이(수량추가): 50cm</t>
  </si>
  <si>
    <t>⛄홀리데이⛄디자인: 소프트그레이 / 두께 / 폭: 두께1.8cm / 폭120cm / 길이(수량추가): 50cm</t>
  </si>
  <si>
    <t>⛄홀리데이⛄디자인: 소프트그레이 / 두께 / 폭: 두께1.8cm / 폭140cm / 길이(수량추가): 50cm</t>
  </si>
  <si>
    <t>2-1이규원</t>
    <phoneticPr fontId="1" type="noConversion"/>
  </si>
  <si>
    <t>2-2이규원</t>
  </si>
  <si>
    <t>2-1김예찬</t>
    <phoneticPr fontId="1" type="noConversion"/>
  </si>
  <si>
    <t>2-2김예찬</t>
  </si>
  <si>
    <t>2-1최영미</t>
    <phoneticPr fontId="1" type="noConversion"/>
  </si>
  <si>
    <t>2-2최영미</t>
  </si>
  <si>
    <t>2.5m</t>
    <phoneticPr fontId="1" type="noConversion"/>
  </si>
  <si>
    <t>7.5m</t>
    <phoneticPr fontId="1" type="noConversion"/>
  </si>
  <si>
    <t>3-1고정일</t>
    <phoneticPr fontId="1" type="noConversion"/>
  </si>
  <si>
    <t>3-2고정일</t>
  </si>
  <si>
    <t>3-3고정일</t>
  </si>
  <si>
    <t>3-1지찬미</t>
    <phoneticPr fontId="1" type="noConversion"/>
  </si>
  <si>
    <t>3-2지찬미</t>
  </si>
  <si>
    <t>3-3지찬미</t>
  </si>
  <si>
    <t>3-1이슬</t>
    <phoneticPr fontId="1" type="noConversion"/>
  </si>
  <si>
    <t>3-2이슬</t>
  </si>
  <si>
    <t>3-3이슬</t>
  </si>
  <si>
    <t>3-1김영국</t>
    <phoneticPr fontId="1" type="noConversion"/>
  </si>
  <si>
    <t>3-2김영국</t>
  </si>
  <si>
    <t>3-3김영국★</t>
    <phoneticPr fontId="1" type="noConversion"/>
  </si>
  <si>
    <t>2-1김규동</t>
    <phoneticPr fontId="1" type="noConversion"/>
  </si>
  <si>
    <t>2-2김규동</t>
  </si>
  <si>
    <t>(140)17T퓨어아이보리</t>
    <phoneticPr fontId="1" type="noConversion"/>
  </si>
  <si>
    <t>권하람★</t>
    <phoneticPr fontId="1" type="noConversion"/>
  </si>
  <si>
    <t>2-1이동하</t>
    <phoneticPr fontId="1" type="noConversion"/>
  </si>
  <si>
    <t>2-2이동하</t>
  </si>
  <si>
    <t>5-1이좌훈</t>
    <phoneticPr fontId="1" type="noConversion"/>
  </si>
  <si>
    <t>5-2이좌훈</t>
  </si>
  <si>
    <t>5-3이좌훈</t>
  </si>
  <si>
    <t>5-4이좌훈</t>
  </si>
  <si>
    <t>5-5이좌훈</t>
  </si>
  <si>
    <t>★증정★테이프20mx2</t>
    <phoneticPr fontId="1" type="noConversion"/>
  </si>
  <si>
    <t>2025121555824751</t>
  </si>
  <si>
    <t>박주영</t>
  </si>
  <si>
    <t>010-2794-5247</t>
  </si>
  <si>
    <t>10522</t>
  </si>
  <si>
    <t>경기도 고양시 덕양구 소원로 47 (행신동, 무원마을6단지아파트) 611동1204호</t>
  </si>
  <si>
    <t>2025121555824741</t>
  </si>
  <si>
    <t>2025121554711191</t>
  </si>
  <si>
    <t>김유진</t>
  </si>
  <si>
    <t>010-9374-1270</t>
  </si>
  <si>
    <t>42483</t>
  </si>
  <si>
    <t>대구광역시 남구 대명로14길 60 (대명동) 102동 302호(대명역센트럴엘리프)</t>
  </si>
  <si>
    <t>2025121553621961</t>
  </si>
  <si>
    <t>문혜인</t>
  </si>
  <si>
    <t>010-9809-9970</t>
  </si>
  <si>
    <t>0502-2812-5266</t>
  </si>
  <si>
    <t>03768</t>
  </si>
  <si>
    <t>서울특별시 서대문구 북아현로1가길 20 (북아현동, e편한세상신촌 1단지) 106-201</t>
  </si>
  <si>
    <t>2025121553621951</t>
  </si>
  <si>
    <t>2025121553369531</t>
  </si>
  <si>
    <t>이민수</t>
  </si>
  <si>
    <t>010-9924-5053</t>
  </si>
  <si>
    <t>42793</t>
  </si>
  <si>
    <t>대구광역시 달서구 상화북로 159 (상인동, 산호아파트) 7동202호</t>
  </si>
  <si>
    <t>2025121553369521</t>
  </si>
  <si>
    <t>2025121551344631</t>
  </si>
  <si>
    <t>기선경</t>
  </si>
  <si>
    <t>010-5013-8717</t>
  </si>
  <si>
    <t>03468</t>
  </si>
  <si>
    <t>서울특별시 은평구 응암로20길 22 (응암동) 3층 나호</t>
  </si>
  <si>
    <t>2025121551344621</t>
  </si>
  <si>
    <t>2025121551344611</t>
  </si>
  <si>
    <t>2025121550957281</t>
  </si>
  <si>
    <t>박동건</t>
  </si>
  <si>
    <t>(110)22T마블아이보리</t>
  </si>
  <si>
    <t>현관문 앞에 놓아 주세여. 감사합니다.</t>
  </si>
  <si>
    <t>010-2631-8314</t>
  </si>
  <si>
    <t>22231</t>
  </si>
  <si>
    <t>인천광역시 미추홀구 승학길104번길 30 (주안동, 인천주안한신휴플러스) 108동 1305호</t>
  </si>
  <si>
    <t>2025121447448151</t>
  </si>
  <si>
    <t>류홍렬</t>
  </si>
  <si>
    <t>010-7411-1873</t>
  </si>
  <si>
    <t>31817</t>
  </si>
  <si>
    <t>충청남도 당진시 수청1로 51 (수청동, 호반써밋 시그니처 2차) 201동 302호</t>
  </si>
  <si>
    <t>2025121447448141</t>
  </si>
  <si>
    <t>3-2박주영</t>
  </si>
  <si>
    <t>3-3박주영</t>
  </si>
  <si>
    <t>5-2문혜인</t>
  </si>
  <si>
    <t>5-3문혜인</t>
  </si>
  <si>
    <t>5-4문혜인</t>
  </si>
  <si>
    <t>5-5문혜인</t>
  </si>
  <si>
    <t>3-2이민수</t>
  </si>
  <si>
    <t>3-3이민수</t>
  </si>
  <si>
    <t>3-1박주영</t>
    <phoneticPr fontId="1" type="noConversion"/>
  </si>
  <si>
    <t>합</t>
    <phoneticPr fontId="1" type="noConversion"/>
  </si>
  <si>
    <t>★증정★테이프20mx2</t>
    <phoneticPr fontId="1" type="noConversion"/>
  </si>
  <si>
    <t>5-1문혜인</t>
    <phoneticPr fontId="1" type="noConversion"/>
  </si>
  <si>
    <t>3-1이민수</t>
    <phoneticPr fontId="1" type="noConversion"/>
  </si>
  <si>
    <t>(140)9T테리어</t>
    <phoneticPr fontId="1" type="noConversion"/>
  </si>
  <si>
    <t>(110)9T테리어</t>
    <phoneticPr fontId="1" type="noConversion"/>
  </si>
  <si>
    <t>★당일배송★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</si>
</sst>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;\-0.0;;@"/>
  </numFmts>
  <fonts count="8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0"/>
      <color rgb="FF4C515A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Segoe UI Symbol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100">
    <xf numFmtId="0" fontId="0" fillId="0" borderId="0" xfId="0"/>
    <xf numFmtId="0" fontId="0" fillId="2" borderId="0" xfId="0" applyFill="1"/>
    <xf numFmtId="41" fontId="0" fillId="0" borderId="0" xfId="1" applyFont="1" applyAlignment="1"/>
    <xf numFmtId="0" fontId="2" fillId="2" borderId="1" xfId="0" applyFont="1" applyFill="1" applyBorder="1"/>
    <xf numFmtId="0" fontId="0" fillId="2" borderId="1" xfId="0" applyFill="1" applyBorder="1"/>
    <xf numFmtId="0" fontId="0" fillId="0" borderId="1" xfId="0" applyBorder="1"/>
    <xf numFmtId="41" fontId="0" fillId="2" borderId="0" xfId="1" applyFont="1" applyFill="1" applyAlignment="1"/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1" fontId="2" fillId="0" borderId="0" xfId="1" applyFont="1" applyAlignment="1">
      <alignment horizontal="center"/>
    </xf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176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1" fontId="2" fillId="3" borderId="0" xfId="1" applyFont="1" applyFill="1" applyAlignment="1">
      <alignment horizontal="center"/>
    </xf>
    <xf numFmtId="0" fontId="2" fillId="3" borderId="0" xfId="0" applyFont="1" applyFill="1"/>
    <xf numFmtId="0" fontId="0" fillId="4" borderId="0" xfId="0" applyFill="1"/>
    <xf numFmtId="0" fontId="4" fillId="0" borderId="0" xfId="0" applyFont="1"/>
    <xf numFmtId="0" fontId="0" fillId="0" borderId="0" xfId="0" quotePrefix="1" applyAlignment="1">
      <alignment horizontal="center"/>
    </xf>
    <xf numFmtId="49" fontId="0" fillId="0" borderId="0" xfId="0" quotePrefix="1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1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  <xf numFmtId="0" fontId="0" fillId="5" borderId="2" xfId="0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5" xfId="0" applyFill="1" applyBorder="1"/>
    <xf numFmtId="0" fontId="0" fillId="0" borderId="6" xfId="0" applyBorder="1" applyAlignment="1">
      <alignment horizontal="center"/>
    </xf>
    <xf numFmtId="0" fontId="0" fillId="5" borderId="7" xfId="0" applyFill="1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/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quotePrefix="1" applyFill="1" applyAlignment="1">
      <alignment horizontal="center"/>
    </xf>
    <xf numFmtId="0" fontId="0" fillId="4" borderId="0" xfId="0" quotePrefix="1" applyFill="1"/>
    <xf numFmtId="0" fontId="0" fillId="6" borderId="2" xfId="0" applyFill="1" applyBorder="1"/>
    <xf numFmtId="49" fontId="0" fillId="0" borderId="3" xfId="0" quotePrefix="1" applyNumberFormat="1" applyBorder="1" applyAlignment="1">
      <alignment horizontal="center"/>
    </xf>
    <xf numFmtId="49" fontId="0" fillId="0" borderId="4" xfId="0" quotePrefix="1" applyNumberFormat="1" applyBorder="1" applyAlignment="1">
      <alignment horizontal="center"/>
    </xf>
    <xf numFmtId="0" fontId="0" fillId="6" borderId="5" xfId="0" applyFill="1" applyBorder="1"/>
    <xf numFmtId="49" fontId="0" fillId="0" borderId="6" xfId="0" quotePrefix="1" applyNumberFormat="1" applyBorder="1" applyAlignment="1">
      <alignment horizontal="center"/>
    </xf>
    <xf numFmtId="0" fontId="0" fillId="6" borderId="7" xfId="0" applyFill="1" applyBorder="1"/>
    <xf numFmtId="49" fontId="0" fillId="0" borderId="8" xfId="0" quotePrefix="1" applyNumberFormat="1" applyBorder="1" applyAlignment="1">
      <alignment horizontal="center"/>
    </xf>
    <xf numFmtId="49" fontId="0" fillId="0" borderId="9" xfId="0" quotePrefix="1" applyNumberFormat="1" applyBorder="1" applyAlignment="1">
      <alignment horizontal="center"/>
    </xf>
    <xf numFmtId="0" fontId="0" fillId="3" borderId="2" xfId="0" applyFill="1" applyBorder="1"/>
    <xf numFmtId="0" fontId="0" fillId="3" borderId="5" xfId="0" applyFill="1" applyBorder="1"/>
    <xf numFmtId="0" fontId="0" fillId="3" borderId="7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3" xfId="0" quotePrefix="1" applyFill="1" applyBorder="1" applyAlignment="1">
      <alignment horizontal="center"/>
    </xf>
    <xf numFmtId="0" fontId="0" fillId="10" borderId="4" xfId="0" quotePrefix="1" applyFill="1" applyBorder="1" applyAlignment="1">
      <alignment horizontal="center"/>
    </xf>
    <xf numFmtId="0" fontId="0" fillId="10" borderId="5" xfId="0" applyFill="1" applyBorder="1"/>
    <xf numFmtId="0" fontId="0" fillId="10" borderId="0" xfId="0" quotePrefix="1" applyFill="1" applyAlignment="1">
      <alignment horizontal="center"/>
    </xf>
    <xf numFmtId="0" fontId="0" fillId="10" borderId="6" xfId="0" quotePrefix="1" applyFill="1" applyBorder="1" applyAlignment="1">
      <alignment horizontal="center"/>
    </xf>
    <xf numFmtId="0" fontId="0" fillId="10" borderId="7" xfId="0" applyFill="1" applyBorder="1"/>
    <xf numFmtId="0" fontId="0" fillId="10" borderId="8" xfId="0" applyFill="1" applyBorder="1"/>
    <xf numFmtId="0" fontId="0" fillId="10" borderId="8" xfId="0" quotePrefix="1" applyFill="1" applyBorder="1" applyAlignment="1">
      <alignment horizontal="center"/>
    </xf>
    <xf numFmtId="0" fontId="0" fillId="10" borderId="9" xfId="0" quotePrefix="1" applyFill="1" applyBorder="1" applyAlignment="1">
      <alignment horizontal="center"/>
    </xf>
    <xf numFmtId="0" fontId="0" fillId="13" borderId="0" xfId="0" applyFill="1"/>
    <xf numFmtId="0" fontId="0" fillId="13" borderId="0" xfId="0" applyFill="1" applyAlignment="1">
      <alignment horizontal="center"/>
    </xf>
    <xf numFmtId="41" fontId="0" fillId="0" borderId="0" xfId="1" applyFont="1" applyFill="1" applyBorder="1" applyAlignment="1"/>
    <xf numFmtId="0" fontId="5" fillId="0" borderId="0" xfId="0" applyFont="1"/>
    <xf numFmtId="41" fontId="0" fillId="0" borderId="0" xfId="1" applyFont="1" applyBorder="1" applyAlignment="1"/>
    <xf numFmtId="0" fontId="0" fillId="4" borderId="5" xfId="0" applyFill="1" applyBorder="1"/>
    <xf numFmtId="0" fontId="0" fillId="0" borderId="10" xfId="0" applyBorder="1"/>
    <xf numFmtId="41" fontId="0" fillId="0" borderId="10" xfId="1" applyFont="1" applyFill="1" applyBorder="1" applyAlignment="1"/>
    <xf numFmtId="0" fontId="0" fillId="0" borderId="10" xfId="0" applyBorder="1" applyAlignment="1">
      <alignment horizontal="center"/>
    </xf>
    <xf numFmtId="0" fontId="0" fillId="4" borderId="10" xfId="0" applyFill="1" applyBorder="1"/>
    <xf numFmtId="41" fontId="0" fillId="4" borderId="10" xfId="1" applyFont="1" applyFill="1" applyBorder="1" applyAlignment="1"/>
    <xf numFmtId="0" fontId="0" fillId="4" borderId="10" xfId="0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14" borderId="10" xfId="0" applyFill="1" applyBorder="1"/>
    <xf numFmtId="41" fontId="0" fillId="14" borderId="10" xfId="1" applyFont="1" applyFill="1" applyBorder="1" applyAlignment="1"/>
    <xf numFmtId="0" fontId="0" fillId="14" borderId="10" xfId="0" applyFill="1" applyBorder="1" applyAlignment="1">
      <alignment horizontal="center"/>
    </xf>
    <xf numFmtId="0" fontId="0" fillId="14" borderId="10" xfId="0" applyFill="1" applyBorder="1" applyAlignment="1">
      <alignment horizontal="center" vertical="center"/>
    </xf>
    <xf numFmtId="176" fontId="0" fillId="0" borderId="10" xfId="0" applyNumberFormat="1" applyBorder="1" applyAlignment="1">
      <alignment horizontal="center"/>
    </xf>
    <xf numFmtId="41" fontId="0" fillId="0" borderId="10" xfId="1" applyFont="1" applyBorder="1" applyAlignment="1"/>
    <xf numFmtId="176" fontId="0" fillId="4" borderId="10" xfId="0" applyNumberFormat="1" applyFill="1" applyBorder="1" applyAlignment="1">
      <alignment horizontal="center"/>
    </xf>
    <xf numFmtId="0" fontId="0" fillId="15" borderId="10" xfId="0" applyFill="1" applyBorder="1"/>
    <xf numFmtId="41" fontId="0" fillId="15" borderId="10" xfId="1" applyFont="1" applyFill="1" applyBorder="1" applyAlignment="1"/>
    <xf numFmtId="0" fontId="0" fillId="15" borderId="10" xfId="0" applyFill="1" applyBorder="1" applyAlignment="1">
      <alignment horizontal="center"/>
    </xf>
    <xf numFmtId="0" fontId="0" fillId="15" borderId="10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332">
    <dxf>
      <fill>
        <patternFill patternType="solid">
          <fgColor rgb="FFFFFFCC"/>
          <bgColor rgb="FF00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EBF0-488E-429E-80FA-5AACC6A8A601}">
  <sheetPr>
    <tabColor rgb="FFFFC000"/>
  </sheetPr>
  <dimension ref="A1:BE43"/>
  <sheetViews>
    <sheetView workbookViewId="0">
      <pane ySplit="1" topLeftCell="A41" activePane="bottomLeft" state="frozen"/>
      <selection activeCell="I1" sqref="I1"/>
      <selection pane="bottomLeft" activeCell="A2" sqref="A2:XFD43"/>
    </sheetView>
  </sheetViews>
  <sheetFormatPr defaultColWidth="7.625" defaultRowHeight="16.5"/>
  <cols>
    <col min="1" max="1" width="7.625" style="4"/>
    <col min="2" max="5" width="7.625" style="5"/>
    <col min="6" max="8" width="7.625" style="4"/>
    <col min="18" max="18" width="15" customWidth="1"/>
    <col min="19" max="19" width="51.125" customWidth="1"/>
    <col min="22" max="22" width="78.625" bestFit="1" customWidth="1"/>
    <col min="23" max="23" width="13" bestFit="1" customWidth="1"/>
  </cols>
  <sheetData>
    <row r="1" spans="1:57" s="1" customForma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4" t="s">
        <v>2163</v>
      </c>
      <c r="B2" s="5" t="s">
        <v>2164</v>
      </c>
      <c r="C2" s="5" t="s">
        <v>2165</v>
      </c>
      <c r="E2" s="5" t="s">
        <v>2166</v>
      </c>
      <c r="F2" s="4" t="s">
        <v>2166</v>
      </c>
      <c r="G2" s="4" t="s">
        <v>2167</v>
      </c>
      <c r="I2">
        <v>46007.333680555559</v>
      </c>
      <c r="J2" t="s">
        <v>2168</v>
      </c>
      <c r="K2" t="s">
        <v>2169</v>
      </c>
      <c r="L2" t="s">
        <v>2170</v>
      </c>
      <c r="M2" t="s">
        <v>2169</v>
      </c>
      <c r="N2" t="s">
        <v>2171</v>
      </c>
      <c r="O2" t="s">
        <v>2172</v>
      </c>
      <c r="P2" t="s">
        <v>2173</v>
      </c>
      <c r="Q2">
        <v>46007.323877314819</v>
      </c>
      <c r="R2" t="s">
        <v>2174</v>
      </c>
      <c r="S2" t="s">
        <v>2175</v>
      </c>
      <c r="T2" t="s">
        <v>2176</v>
      </c>
      <c r="U2" t="s">
        <v>2177</v>
      </c>
      <c r="V2" t="s">
        <v>1577</v>
      </c>
      <c r="X2">
        <v>1</v>
      </c>
      <c r="Y2">
        <v>280500</v>
      </c>
      <c r="Z2">
        <v>19800</v>
      </c>
      <c r="AA2">
        <v>38220</v>
      </c>
      <c r="AB2">
        <v>38220</v>
      </c>
      <c r="AC2">
        <v>262080</v>
      </c>
      <c r="AD2" t="s">
        <v>2178</v>
      </c>
      <c r="AF2">
        <v>46007.99998842593</v>
      </c>
      <c r="AI2" t="s">
        <v>2179</v>
      </c>
      <c r="AJ2" t="s">
        <v>2180</v>
      </c>
      <c r="AK2" t="s">
        <v>2179</v>
      </c>
      <c r="AL2">
        <v>0</v>
      </c>
      <c r="AM2">
        <v>0</v>
      </c>
      <c r="AN2">
        <v>0</v>
      </c>
      <c r="AO2" t="s">
        <v>2181</v>
      </c>
      <c r="AP2" t="s">
        <v>2182</v>
      </c>
      <c r="AR2" t="s">
        <v>2183</v>
      </c>
      <c r="AS2" t="s">
        <v>2184</v>
      </c>
      <c r="AT2" t="s">
        <v>2185</v>
      </c>
      <c r="AU2" t="s">
        <v>2182</v>
      </c>
      <c r="AV2" t="s">
        <v>2186</v>
      </c>
      <c r="AW2" t="s">
        <v>2187</v>
      </c>
      <c r="AX2" t="s">
        <v>2188</v>
      </c>
      <c r="AY2">
        <v>-10483</v>
      </c>
      <c r="AZ2">
        <v>242084</v>
      </c>
      <c r="BB2">
        <v>46007.317256944443</v>
      </c>
      <c r="BC2">
        <v>-9513</v>
      </c>
      <c r="BD2" t="s">
        <v>2189</v>
      </c>
      <c r="BE2" t="s">
        <v>2190</v>
      </c>
    </row>
    <row r="3" spans="1:57">
      <c r="A3" s="4" t="s">
        <v>2191</v>
      </c>
      <c r="B3" s="5" t="s">
        <v>2192</v>
      </c>
      <c r="C3" s="5" t="s">
        <v>2193</v>
      </c>
      <c r="E3" s="5" t="s">
        <v>2166</v>
      </c>
      <c r="F3" s="4" t="s">
        <v>2166</v>
      </c>
      <c r="G3" s="4" t="s">
        <v>2167</v>
      </c>
      <c r="I3">
        <v>46007.333680555559</v>
      </c>
      <c r="J3" t="s">
        <v>2168</v>
      </c>
      <c r="K3" t="s">
        <v>2194</v>
      </c>
      <c r="L3" t="s">
        <v>2195</v>
      </c>
      <c r="M3" t="s">
        <v>2194</v>
      </c>
      <c r="N3" t="s">
        <v>2171</v>
      </c>
      <c r="O3" t="s">
        <v>2172</v>
      </c>
      <c r="P3" t="s">
        <v>2173</v>
      </c>
      <c r="Q3">
        <v>46007.311180555553</v>
      </c>
      <c r="R3" t="s">
        <v>2196</v>
      </c>
      <c r="S3" t="s">
        <v>2197</v>
      </c>
      <c r="T3" t="s">
        <v>2176</v>
      </c>
      <c r="U3" t="s">
        <v>2177</v>
      </c>
      <c r="V3" t="s">
        <v>134</v>
      </c>
      <c r="X3">
        <v>1</v>
      </c>
      <c r="Y3">
        <v>25520</v>
      </c>
      <c r="Z3">
        <v>500000</v>
      </c>
      <c r="AA3">
        <v>492960</v>
      </c>
      <c r="AB3">
        <v>492960</v>
      </c>
      <c r="AC3">
        <v>32560</v>
      </c>
      <c r="AF3">
        <v>46010.99998842593</v>
      </c>
      <c r="AI3" t="s">
        <v>2198</v>
      </c>
      <c r="AJ3" t="s">
        <v>2199</v>
      </c>
      <c r="AK3" t="s">
        <v>2200</v>
      </c>
      <c r="AL3">
        <v>5000</v>
      </c>
      <c r="AM3">
        <v>0</v>
      </c>
      <c r="AN3">
        <v>0</v>
      </c>
      <c r="AO3" t="s">
        <v>2201</v>
      </c>
      <c r="AP3" t="s">
        <v>2202</v>
      </c>
      <c r="AQ3" t="s">
        <v>2202</v>
      </c>
      <c r="AR3" t="s">
        <v>2203</v>
      </c>
      <c r="AS3" t="s">
        <v>2204</v>
      </c>
      <c r="AT3" t="s">
        <v>2205</v>
      </c>
      <c r="AU3" t="s">
        <v>2202</v>
      </c>
      <c r="AV3" t="s">
        <v>2206</v>
      </c>
      <c r="AX3" t="s">
        <v>2207</v>
      </c>
      <c r="AY3">
        <v>-651</v>
      </c>
      <c r="AZ3">
        <v>30728</v>
      </c>
      <c r="BB3">
        <v>46007.311087962968</v>
      </c>
      <c r="BC3">
        <v>-1181</v>
      </c>
      <c r="BD3" t="s">
        <v>2189</v>
      </c>
      <c r="BE3" t="s">
        <v>2208</v>
      </c>
    </row>
    <row r="4" spans="1:57">
      <c r="A4" s="4" t="s">
        <v>2209</v>
      </c>
      <c r="B4" s="5" t="s">
        <v>2210</v>
      </c>
      <c r="C4" s="5" t="s">
        <v>2193</v>
      </c>
      <c r="E4" s="5" t="s">
        <v>2166</v>
      </c>
      <c r="F4" s="4" t="s">
        <v>2166</v>
      </c>
      <c r="G4" s="4" t="s">
        <v>2167</v>
      </c>
      <c r="I4">
        <v>46007.333680555559</v>
      </c>
      <c r="J4" t="s">
        <v>2168</v>
      </c>
      <c r="K4" t="s">
        <v>2211</v>
      </c>
      <c r="L4" t="s">
        <v>2212</v>
      </c>
      <c r="M4" t="s">
        <v>2213</v>
      </c>
      <c r="N4" t="s">
        <v>2171</v>
      </c>
      <c r="O4" t="s">
        <v>2172</v>
      </c>
      <c r="P4" t="s">
        <v>2173</v>
      </c>
      <c r="Q4">
        <v>46007.190509259264</v>
      </c>
      <c r="R4" t="s">
        <v>2214</v>
      </c>
      <c r="S4" t="s">
        <v>2215</v>
      </c>
      <c r="T4" t="s">
        <v>2176</v>
      </c>
      <c r="U4" t="s">
        <v>2177</v>
      </c>
      <c r="V4" t="s">
        <v>414</v>
      </c>
      <c r="X4">
        <v>1</v>
      </c>
      <c r="Y4">
        <v>65600</v>
      </c>
      <c r="Z4">
        <v>238000</v>
      </c>
      <c r="AA4">
        <v>186430</v>
      </c>
      <c r="AB4">
        <v>186430</v>
      </c>
      <c r="AC4">
        <v>117170</v>
      </c>
      <c r="AF4">
        <v>46010.99998842593</v>
      </c>
      <c r="AI4" t="s">
        <v>2179</v>
      </c>
      <c r="AJ4" t="s">
        <v>2216</v>
      </c>
      <c r="AK4" t="s">
        <v>2179</v>
      </c>
      <c r="AL4">
        <v>0</v>
      </c>
      <c r="AM4">
        <v>0</v>
      </c>
      <c r="AN4">
        <v>0</v>
      </c>
      <c r="AO4" t="s">
        <v>2217</v>
      </c>
      <c r="AP4" t="s">
        <v>2218</v>
      </c>
      <c r="AR4" t="s">
        <v>2219</v>
      </c>
      <c r="AS4" t="s">
        <v>2220</v>
      </c>
      <c r="AT4" t="s">
        <v>2221</v>
      </c>
      <c r="AU4" t="s">
        <v>2218</v>
      </c>
      <c r="AV4" t="s">
        <v>2222</v>
      </c>
      <c r="AW4" t="s">
        <v>2223</v>
      </c>
      <c r="AX4" t="s">
        <v>2188</v>
      </c>
      <c r="AY4">
        <v>-4686</v>
      </c>
      <c r="AZ4">
        <v>108231</v>
      </c>
      <c r="BB4">
        <v>46007.190428240741</v>
      </c>
      <c r="BC4">
        <v>-4253</v>
      </c>
      <c r="BD4" t="s">
        <v>2189</v>
      </c>
      <c r="BE4" t="s">
        <v>2224</v>
      </c>
    </row>
    <row r="5" spans="1:57">
      <c r="A5" s="4" t="s">
        <v>2225</v>
      </c>
      <c r="B5" s="5" t="s">
        <v>2226</v>
      </c>
      <c r="C5" s="5" t="s">
        <v>2165</v>
      </c>
      <c r="E5" s="5" t="s">
        <v>2166</v>
      </c>
      <c r="F5" s="4" t="s">
        <v>2166</v>
      </c>
      <c r="G5" s="4" t="s">
        <v>2167</v>
      </c>
      <c r="I5">
        <v>46007.333680555559</v>
      </c>
      <c r="J5" t="s">
        <v>2168</v>
      </c>
      <c r="K5" t="s">
        <v>2227</v>
      </c>
      <c r="L5" t="s">
        <v>2228</v>
      </c>
      <c r="M5" t="s">
        <v>2227</v>
      </c>
      <c r="N5" t="s">
        <v>2171</v>
      </c>
      <c r="O5" t="s">
        <v>2172</v>
      </c>
      <c r="P5" t="s">
        <v>2173</v>
      </c>
      <c r="Q5">
        <v>46007.03706018519</v>
      </c>
      <c r="R5" t="s">
        <v>2174</v>
      </c>
      <c r="S5" t="s">
        <v>2175</v>
      </c>
      <c r="T5" t="s">
        <v>2176</v>
      </c>
      <c r="U5" t="s">
        <v>2177</v>
      </c>
      <c r="V5" t="s">
        <v>1577</v>
      </c>
      <c r="X5">
        <v>1</v>
      </c>
      <c r="Y5">
        <v>280500</v>
      </c>
      <c r="Z5">
        <v>19800</v>
      </c>
      <c r="AA5">
        <v>38220</v>
      </c>
      <c r="AB5">
        <v>38220</v>
      </c>
      <c r="AC5">
        <v>262080</v>
      </c>
      <c r="AD5" t="s">
        <v>2178</v>
      </c>
      <c r="AF5">
        <v>46007.99998842593</v>
      </c>
      <c r="AI5" t="s">
        <v>2179</v>
      </c>
      <c r="AJ5" t="s">
        <v>2229</v>
      </c>
      <c r="AK5" t="s">
        <v>2179</v>
      </c>
      <c r="AL5">
        <v>0</v>
      </c>
      <c r="AM5">
        <v>0</v>
      </c>
      <c r="AN5">
        <v>0</v>
      </c>
      <c r="AO5" t="s">
        <v>2181</v>
      </c>
      <c r="AP5" t="s">
        <v>2230</v>
      </c>
      <c r="AR5" t="s">
        <v>2231</v>
      </c>
      <c r="AS5" t="s">
        <v>2232</v>
      </c>
      <c r="AT5" t="s">
        <v>2233</v>
      </c>
      <c r="AU5" t="s">
        <v>2230</v>
      </c>
      <c r="AV5" t="s">
        <v>2234</v>
      </c>
      <c r="AW5" t="s">
        <v>2235</v>
      </c>
      <c r="AX5" t="s">
        <v>2188</v>
      </c>
      <c r="AY5">
        <v>-10483</v>
      </c>
      <c r="AZ5">
        <v>242085</v>
      </c>
      <c r="BB5">
        <v>46007.036979166667</v>
      </c>
      <c r="BC5">
        <v>-9512</v>
      </c>
      <c r="BD5" t="s">
        <v>2189</v>
      </c>
      <c r="BE5" t="s">
        <v>2236</v>
      </c>
    </row>
    <row r="6" spans="1:57">
      <c r="A6" s="4" t="s">
        <v>2237</v>
      </c>
      <c r="B6" s="5" t="s">
        <v>2238</v>
      </c>
      <c r="C6" s="5" t="s">
        <v>2165</v>
      </c>
      <c r="E6" s="5" t="s">
        <v>2166</v>
      </c>
      <c r="F6" s="4" t="s">
        <v>2166</v>
      </c>
      <c r="G6" s="4" t="s">
        <v>2167</v>
      </c>
      <c r="I6">
        <v>46007.333680555559</v>
      </c>
      <c r="J6" t="s">
        <v>2168</v>
      </c>
      <c r="K6" t="s">
        <v>2239</v>
      </c>
      <c r="L6" t="s">
        <v>2240</v>
      </c>
      <c r="M6" t="s">
        <v>2239</v>
      </c>
      <c r="N6" t="s">
        <v>2171</v>
      </c>
      <c r="O6" t="s">
        <v>2172</v>
      </c>
      <c r="P6" t="s">
        <v>2173</v>
      </c>
      <c r="Q6">
        <v>46007.011597222227</v>
      </c>
      <c r="R6" t="s">
        <v>2241</v>
      </c>
      <c r="S6" t="s">
        <v>2242</v>
      </c>
      <c r="T6" t="s">
        <v>2176</v>
      </c>
      <c r="U6" t="s">
        <v>2177</v>
      </c>
      <c r="V6" t="s">
        <v>1401</v>
      </c>
      <c r="X6">
        <v>6</v>
      </c>
      <c r="Y6">
        <v>0</v>
      </c>
      <c r="Z6">
        <v>23000</v>
      </c>
      <c r="AA6">
        <v>31600</v>
      </c>
      <c r="AB6">
        <v>31600</v>
      </c>
      <c r="AC6">
        <v>106400</v>
      </c>
      <c r="AF6">
        <v>46007.99998842593</v>
      </c>
      <c r="AI6" t="s">
        <v>2179</v>
      </c>
      <c r="AJ6" t="s">
        <v>2243</v>
      </c>
      <c r="AK6" t="s">
        <v>2179</v>
      </c>
      <c r="AL6">
        <v>0</v>
      </c>
      <c r="AM6">
        <v>0</v>
      </c>
      <c r="AN6">
        <v>0</v>
      </c>
      <c r="AO6" t="s">
        <v>2181</v>
      </c>
      <c r="AP6" t="s">
        <v>2244</v>
      </c>
      <c r="AR6" t="s">
        <v>2245</v>
      </c>
      <c r="AS6" t="s">
        <v>2246</v>
      </c>
      <c r="AT6" t="s">
        <v>2247</v>
      </c>
      <c r="AU6" t="s">
        <v>2244</v>
      </c>
      <c r="AV6" t="s">
        <v>2248</v>
      </c>
      <c r="AX6" t="s">
        <v>2188</v>
      </c>
      <c r="AY6">
        <v>-2128</v>
      </c>
      <c r="AZ6">
        <v>100410</v>
      </c>
      <c r="BB6">
        <v>46007.011562500003</v>
      </c>
      <c r="BC6">
        <v>-3862</v>
      </c>
      <c r="BD6" t="s">
        <v>2189</v>
      </c>
      <c r="BE6" t="s">
        <v>2249</v>
      </c>
    </row>
    <row r="7" spans="1:57">
      <c r="A7" s="4" t="s">
        <v>2250</v>
      </c>
      <c r="B7" s="5" t="s">
        <v>2251</v>
      </c>
      <c r="C7" s="5" t="s">
        <v>2165</v>
      </c>
      <c r="E7" s="5" t="s">
        <v>2166</v>
      </c>
      <c r="F7" s="4" t="s">
        <v>2166</v>
      </c>
      <c r="G7" s="4" t="s">
        <v>2167</v>
      </c>
      <c r="I7">
        <v>46007.333680555559</v>
      </c>
      <c r="J7" t="s">
        <v>2168</v>
      </c>
      <c r="K7" t="s">
        <v>2252</v>
      </c>
      <c r="L7" t="s">
        <v>2253</v>
      </c>
      <c r="M7" t="s">
        <v>2252</v>
      </c>
      <c r="N7" t="s">
        <v>2171</v>
      </c>
      <c r="O7" t="s">
        <v>2172</v>
      </c>
      <c r="P7" t="s">
        <v>2173</v>
      </c>
      <c r="Q7">
        <v>46006.994872685187</v>
      </c>
      <c r="R7" t="s">
        <v>2174</v>
      </c>
      <c r="S7" t="s">
        <v>2254</v>
      </c>
      <c r="T7" t="s">
        <v>2255</v>
      </c>
      <c r="U7" t="s">
        <v>2177</v>
      </c>
      <c r="V7" t="s">
        <v>57</v>
      </c>
      <c r="W7" t="s">
        <v>2181</v>
      </c>
      <c r="X7">
        <v>1</v>
      </c>
      <c r="Y7">
        <v>0</v>
      </c>
      <c r="Z7">
        <v>7900</v>
      </c>
      <c r="AA7">
        <v>0</v>
      </c>
      <c r="AB7">
        <v>0</v>
      </c>
      <c r="AC7">
        <v>7900</v>
      </c>
      <c r="AD7" t="s">
        <v>2178</v>
      </c>
      <c r="AF7">
        <v>46007.99998842593</v>
      </c>
      <c r="AI7" t="s">
        <v>2179</v>
      </c>
      <c r="AJ7" t="s">
        <v>2256</v>
      </c>
      <c r="AK7" t="s">
        <v>2179</v>
      </c>
      <c r="AL7">
        <v>0</v>
      </c>
      <c r="AM7">
        <v>0</v>
      </c>
      <c r="AN7">
        <v>0</v>
      </c>
      <c r="AO7" t="s">
        <v>2181</v>
      </c>
      <c r="AP7" t="s">
        <v>2257</v>
      </c>
      <c r="AR7" t="s">
        <v>2258</v>
      </c>
      <c r="AS7" t="s">
        <v>2259</v>
      </c>
      <c r="AT7" t="s">
        <v>2260</v>
      </c>
      <c r="AU7" t="s">
        <v>2261</v>
      </c>
      <c r="AV7" t="s">
        <v>2262</v>
      </c>
      <c r="AW7" t="s">
        <v>2223</v>
      </c>
      <c r="AX7" t="s">
        <v>2188</v>
      </c>
      <c r="AY7">
        <v>-158</v>
      </c>
      <c r="AZ7">
        <v>7456</v>
      </c>
      <c r="BB7">
        <v>46006.994768518518</v>
      </c>
      <c r="BC7">
        <v>-286</v>
      </c>
      <c r="BD7" t="s">
        <v>2189</v>
      </c>
      <c r="BE7" t="s">
        <v>2208</v>
      </c>
    </row>
    <row r="8" spans="1:57">
      <c r="A8" s="4" t="s">
        <v>2263</v>
      </c>
      <c r="B8" s="5" t="s">
        <v>2251</v>
      </c>
      <c r="C8" s="5" t="s">
        <v>2165</v>
      </c>
      <c r="E8" s="5" t="s">
        <v>2166</v>
      </c>
      <c r="F8" s="4" t="s">
        <v>2166</v>
      </c>
      <c r="G8" s="4" t="s">
        <v>2167</v>
      </c>
      <c r="I8">
        <v>46007.333680555559</v>
      </c>
      <c r="J8" t="s">
        <v>2168</v>
      </c>
      <c r="K8" t="s">
        <v>2252</v>
      </c>
      <c r="L8" t="s">
        <v>2253</v>
      </c>
      <c r="M8" t="s">
        <v>2252</v>
      </c>
      <c r="N8" t="s">
        <v>2171</v>
      </c>
      <c r="O8" t="s">
        <v>2172</v>
      </c>
      <c r="P8" t="s">
        <v>2173</v>
      </c>
      <c r="Q8">
        <v>46006.994872685187</v>
      </c>
      <c r="R8" t="s">
        <v>2174</v>
      </c>
      <c r="S8" t="s">
        <v>2175</v>
      </c>
      <c r="T8" t="s">
        <v>2176</v>
      </c>
      <c r="U8" t="s">
        <v>2177</v>
      </c>
      <c r="V8" t="s">
        <v>1825</v>
      </c>
      <c r="X8">
        <v>1</v>
      </c>
      <c r="Y8">
        <v>141100</v>
      </c>
      <c r="Z8">
        <v>19800</v>
      </c>
      <c r="AA8">
        <v>9100</v>
      </c>
      <c r="AB8">
        <v>9100</v>
      </c>
      <c r="AC8">
        <v>151800</v>
      </c>
      <c r="AD8" t="s">
        <v>2178</v>
      </c>
      <c r="AF8">
        <v>46007.99998842593</v>
      </c>
      <c r="AI8" t="s">
        <v>2179</v>
      </c>
      <c r="AJ8" t="s">
        <v>2256</v>
      </c>
      <c r="AK8" t="s">
        <v>2179</v>
      </c>
      <c r="AL8">
        <v>0</v>
      </c>
      <c r="AM8">
        <v>0</v>
      </c>
      <c r="AN8">
        <v>0</v>
      </c>
      <c r="AO8" t="s">
        <v>2181</v>
      </c>
      <c r="AP8" t="s">
        <v>2257</v>
      </c>
      <c r="AR8" t="s">
        <v>2258</v>
      </c>
      <c r="AS8" t="s">
        <v>2259</v>
      </c>
      <c r="AT8" t="s">
        <v>2260</v>
      </c>
      <c r="AU8" t="s">
        <v>2261</v>
      </c>
      <c r="AV8" t="s">
        <v>2262</v>
      </c>
      <c r="AW8" t="s">
        <v>2223</v>
      </c>
      <c r="AX8" t="s">
        <v>2188</v>
      </c>
      <c r="AY8">
        <v>-3036</v>
      </c>
      <c r="AZ8">
        <v>143255</v>
      </c>
      <c r="BB8">
        <v>46006.994768518518</v>
      </c>
      <c r="BC8">
        <v>-5509</v>
      </c>
      <c r="BD8" t="s">
        <v>2189</v>
      </c>
      <c r="BE8" t="s">
        <v>2208</v>
      </c>
    </row>
    <row r="9" spans="1:57">
      <c r="A9" s="4" t="s">
        <v>2264</v>
      </c>
      <c r="B9" s="5" t="s">
        <v>2251</v>
      </c>
      <c r="C9" s="5" t="s">
        <v>2165</v>
      </c>
      <c r="E9" s="5" t="s">
        <v>2166</v>
      </c>
      <c r="F9" s="4" t="s">
        <v>2166</v>
      </c>
      <c r="G9" s="4" t="s">
        <v>2167</v>
      </c>
      <c r="I9">
        <v>46007.333680555559</v>
      </c>
      <c r="J9" t="s">
        <v>2168</v>
      </c>
      <c r="K9" t="s">
        <v>2252</v>
      </c>
      <c r="L9" t="s">
        <v>2253</v>
      </c>
      <c r="M9" t="s">
        <v>2252</v>
      </c>
      <c r="N9" t="s">
        <v>2171</v>
      </c>
      <c r="O9" t="s">
        <v>2172</v>
      </c>
      <c r="P9" t="s">
        <v>2173</v>
      </c>
      <c r="Q9">
        <v>46006.994872685187</v>
      </c>
      <c r="R9" t="s">
        <v>2174</v>
      </c>
      <c r="S9" t="s">
        <v>2175</v>
      </c>
      <c r="T9" t="s">
        <v>2176</v>
      </c>
      <c r="U9" t="s">
        <v>2177</v>
      </c>
      <c r="V9" t="s">
        <v>1824</v>
      </c>
      <c r="X9">
        <v>2</v>
      </c>
      <c r="Y9">
        <v>127300</v>
      </c>
      <c r="Z9">
        <v>19800</v>
      </c>
      <c r="AA9">
        <v>45800</v>
      </c>
      <c r="AB9">
        <v>45800</v>
      </c>
      <c r="AC9">
        <v>248400</v>
      </c>
      <c r="AD9" t="s">
        <v>2178</v>
      </c>
      <c r="AF9">
        <v>46007.99998842593</v>
      </c>
      <c r="AI9" t="s">
        <v>2179</v>
      </c>
      <c r="AJ9" t="s">
        <v>2256</v>
      </c>
      <c r="AK9" t="s">
        <v>2179</v>
      </c>
      <c r="AL9">
        <v>0</v>
      </c>
      <c r="AM9">
        <v>0</v>
      </c>
      <c r="AN9">
        <v>0</v>
      </c>
      <c r="AO9" t="s">
        <v>2181</v>
      </c>
      <c r="AP9" t="s">
        <v>2257</v>
      </c>
      <c r="AR9" t="s">
        <v>2258</v>
      </c>
      <c r="AS9" t="s">
        <v>2259</v>
      </c>
      <c r="AT9" t="s">
        <v>2260</v>
      </c>
      <c r="AU9" t="s">
        <v>2261</v>
      </c>
      <c r="AV9" t="s">
        <v>2262</v>
      </c>
      <c r="AW9" t="s">
        <v>2223</v>
      </c>
      <c r="AX9" t="s">
        <v>2188</v>
      </c>
      <c r="AY9">
        <v>-4968</v>
      </c>
      <c r="AZ9">
        <v>234416</v>
      </c>
      <c r="BB9">
        <v>46006.994768518518</v>
      </c>
      <c r="BC9">
        <v>-9016</v>
      </c>
      <c r="BD9" t="s">
        <v>2189</v>
      </c>
      <c r="BE9" t="s">
        <v>2208</v>
      </c>
    </row>
    <row r="10" spans="1:57">
      <c r="A10" s="4" t="s">
        <v>2265</v>
      </c>
      <c r="B10" s="5" t="s">
        <v>2251</v>
      </c>
      <c r="C10" s="5" t="s">
        <v>2165</v>
      </c>
      <c r="E10" s="5" t="s">
        <v>2166</v>
      </c>
      <c r="F10" s="4" t="s">
        <v>2166</v>
      </c>
      <c r="G10" s="4" t="s">
        <v>2167</v>
      </c>
      <c r="I10">
        <v>46007.333680555559</v>
      </c>
      <c r="J10" t="s">
        <v>2168</v>
      </c>
      <c r="K10" t="s">
        <v>2252</v>
      </c>
      <c r="L10" t="s">
        <v>2253</v>
      </c>
      <c r="M10" t="s">
        <v>2252</v>
      </c>
      <c r="N10" t="s">
        <v>2171</v>
      </c>
      <c r="O10" t="s">
        <v>2172</v>
      </c>
      <c r="P10" t="s">
        <v>2173</v>
      </c>
      <c r="Q10">
        <v>46006.994872685187</v>
      </c>
      <c r="R10" t="s">
        <v>2174</v>
      </c>
      <c r="S10" t="s">
        <v>2175</v>
      </c>
      <c r="T10" t="s">
        <v>2176</v>
      </c>
      <c r="U10" t="s">
        <v>2177</v>
      </c>
      <c r="V10" t="s">
        <v>1843</v>
      </c>
      <c r="X10">
        <v>1</v>
      </c>
      <c r="Y10">
        <v>81100</v>
      </c>
      <c r="Z10">
        <v>19800</v>
      </c>
      <c r="AA10">
        <v>9100</v>
      </c>
      <c r="AB10">
        <v>9100</v>
      </c>
      <c r="AC10">
        <v>91800</v>
      </c>
      <c r="AD10" t="s">
        <v>2178</v>
      </c>
      <c r="AF10">
        <v>46007.99998842593</v>
      </c>
      <c r="AI10" t="s">
        <v>2179</v>
      </c>
      <c r="AJ10" t="s">
        <v>2256</v>
      </c>
      <c r="AK10" t="s">
        <v>2179</v>
      </c>
      <c r="AL10">
        <v>0</v>
      </c>
      <c r="AM10">
        <v>0</v>
      </c>
      <c r="AN10">
        <v>0</v>
      </c>
      <c r="AO10" t="s">
        <v>2181</v>
      </c>
      <c r="AP10" t="s">
        <v>2257</v>
      </c>
      <c r="AR10" t="s">
        <v>2258</v>
      </c>
      <c r="AS10" t="s">
        <v>2259</v>
      </c>
      <c r="AT10" t="s">
        <v>2260</v>
      </c>
      <c r="AU10" t="s">
        <v>2261</v>
      </c>
      <c r="AV10" t="s">
        <v>2262</v>
      </c>
      <c r="AW10" t="s">
        <v>2223</v>
      </c>
      <c r="AX10" t="s">
        <v>2188</v>
      </c>
      <c r="AY10">
        <v>-1836</v>
      </c>
      <c r="AZ10">
        <v>86632</v>
      </c>
      <c r="BB10">
        <v>46006.994768518518</v>
      </c>
      <c r="BC10">
        <v>-3332</v>
      </c>
      <c r="BD10" t="s">
        <v>2189</v>
      </c>
      <c r="BE10" t="s">
        <v>2208</v>
      </c>
    </row>
    <row r="11" spans="1:57">
      <c r="A11" s="4" t="s">
        <v>2266</v>
      </c>
      <c r="B11" s="5" t="s">
        <v>2251</v>
      </c>
      <c r="C11" s="5" t="s">
        <v>2165</v>
      </c>
      <c r="E11" s="5" t="s">
        <v>2166</v>
      </c>
      <c r="F11" s="4" t="s">
        <v>2166</v>
      </c>
      <c r="G11" s="4" t="s">
        <v>2167</v>
      </c>
      <c r="I11">
        <v>46007.333680555559</v>
      </c>
      <c r="J11" t="s">
        <v>2168</v>
      </c>
      <c r="K11" t="s">
        <v>2252</v>
      </c>
      <c r="L11" t="s">
        <v>2253</v>
      </c>
      <c r="M11" t="s">
        <v>2252</v>
      </c>
      <c r="N11" t="s">
        <v>2171</v>
      </c>
      <c r="O11" t="s">
        <v>2172</v>
      </c>
      <c r="P11" t="s">
        <v>2173</v>
      </c>
      <c r="Q11">
        <v>46006.994872685187</v>
      </c>
      <c r="R11" t="s">
        <v>2174</v>
      </c>
      <c r="S11" t="s">
        <v>2175</v>
      </c>
      <c r="T11" t="s">
        <v>2176</v>
      </c>
      <c r="U11" t="s">
        <v>2177</v>
      </c>
      <c r="V11" t="s">
        <v>1841</v>
      </c>
      <c r="X11">
        <v>1</v>
      </c>
      <c r="Y11">
        <v>50500</v>
      </c>
      <c r="Z11">
        <v>19800</v>
      </c>
      <c r="AA11">
        <v>11100</v>
      </c>
      <c r="AB11">
        <v>10100</v>
      </c>
      <c r="AC11">
        <v>59200</v>
      </c>
      <c r="AD11" t="s">
        <v>2178</v>
      </c>
      <c r="AF11">
        <v>46007.99998842593</v>
      </c>
      <c r="AI11" t="s">
        <v>2179</v>
      </c>
      <c r="AJ11" t="s">
        <v>2256</v>
      </c>
      <c r="AK11" t="s">
        <v>2179</v>
      </c>
      <c r="AL11">
        <v>0</v>
      </c>
      <c r="AM11">
        <v>0</v>
      </c>
      <c r="AN11">
        <v>0</v>
      </c>
      <c r="AO11" t="s">
        <v>2181</v>
      </c>
      <c r="AP11" t="s">
        <v>2257</v>
      </c>
      <c r="AR11" t="s">
        <v>2258</v>
      </c>
      <c r="AS11" t="s">
        <v>2259</v>
      </c>
      <c r="AT11" t="s">
        <v>2260</v>
      </c>
      <c r="AU11" t="s">
        <v>2261</v>
      </c>
      <c r="AV11" t="s">
        <v>2262</v>
      </c>
      <c r="AW11" t="s">
        <v>2223</v>
      </c>
      <c r="AX11" t="s">
        <v>2188</v>
      </c>
      <c r="AY11">
        <v>-1204</v>
      </c>
      <c r="AZ11">
        <v>56812</v>
      </c>
      <c r="BB11">
        <v>46006.994768518518</v>
      </c>
      <c r="BC11">
        <v>-2184</v>
      </c>
      <c r="BD11" t="s">
        <v>2189</v>
      </c>
      <c r="BE11" t="s">
        <v>2208</v>
      </c>
    </row>
    <row r="12" spans="1:57">
      <c r="A12" s="4" t="s">
        <v>2267</v>
      </c>
      <c r="B12" s="5" t="s">
        <v>2268</v>
      </c>
      <c r="C12" s="5" t="s">
        <v>2165</v>
      </c>
      <c r="E12" s="5" t="s">
        <v>2166</v>
      </c>
      <c r="F12" s="4" t="s">
        <v>2166</v>
      </c>
      <c r="G12" s="4" t="s">
        <v>2167</v>
      </c>
      <c r="I12">
        <v>46007.333680555559</v>
      </c>
      <c r="J12" t="s">
        <v>2168</v>
      </c>
      <c r="K12" t="s">
        <v>2269</v>
      </c>
      <c r="L12" t="s">
        <v>2270</v>
      </c>
      <c r="M12" t="s">
        <v>2269</v>
      </c>
      <c r="N12" t="s">
        <v>2171</v>
      </c>
      <c r="O12" t="s">
        <v>2172</v>
      </c>
      <c r="P12" t="s">
        <v>2271</v>
      </c>
      <c r="Q12">
        <v>46006.982164351852</v>
      </c>
      <c r="R12" t="s">
        <v>2272</v>
      </c>
      <c r="S12" t="s">
        <v>2273</v>
      </c>
      <c r="T12" t="s">
        <v>2176</v>
      </c>
      <c r="U12" t="s">
        <v>2177</v>
      </c>
      <c r="V12" t="s">
        <v>2274</v>
      </c>
      <c r="X12">
        <v>4</v>
      </c>
      <c r="Y12">
        <v>2800</v>
      </c>
      <c r="Z12">
        <v>15600</v>
      </c>
      <c r="AA12">
        <v>20800</v>
      </c>
      <c r="AB12">
        <v>20800</v>
      </c>
      <c r="AC12">
        <v>52800</v>
      </c>
      <c r="AD12" t="s">
        <v>2178</v>
      </c>
      <c r="AF12">
        <v>46007.99998842593</v>
      </c>
      <c r="AI12" t="s">
        <v>2179</v>
      </c>
      <c r="AJ12" t="s">
        <v>2275</v>
      </c>
      <c r="AK12" t="s">
        <v>2179</v>
      </c>
      <c r="AL12">
        <v>0</v>
      </c>
      <c r="AM12">
        <v>0</v>
      </c>
      <c r="AN12">
        <v>0</v>
      </c>
      <c r="AO12" t="s">
        <v>2181</v>
      </c>
      <c r="AP12" t="s">
        <v>2276</v>
      </c>
      <c r="AR12" t="s">
        <v>2277</v>
      </c>
      <c r="AS12" t="s">
        <v>2278</v>
      </c>
      <c r="AT12" t="s">
        <v>2279</v>
      </c>
      <c r="AU12" t="s">
        <v>2276</v>
      </c>
      <c r="AV12" t="s">
        <v>2280</v>
      </c>
      <c r="AX12" t="s">
        <v>2188</v>
      </c>
      <c r="AY12">
        <v>-2112</v>
      </c>
      <c r="AZ12">
        <v>48773</v>
      </c>
      <c r="BB12">
        <v>46006.982071759259</v>
      </c>
      <c r="BC12">
        <v>-1915</v>
      </c>
      <c r="BD12" t="s">
        <v>2189</v>
      </c>
      <c r="BE12" t="s">
        <v>2224</v>
      </c>
    </row>
    <row r="13" spans="1:57">
      <c r="A13" s="4" t="s">
        <v>2281</v>
      </c>
      <c r="B13" s="5" t="s">
        <v>2282</v>
      </c>
      <c r="C13" s="5" t="s">
        <v>2165</v>
      </c>
      <c r="E13" s="5" t="s">
        <v>2166</v>
      </c>
      <c r="F13" s="4" t="s">
        <v>2166</v>
      </c>
      <c r="G13" s="4" t="s">
        <v>2167</v>
      </c>
      <c r="I13">
        <v>46007.333680555559</v>
      </c>
      <c r="J13" t="s">
        <v>2168</v>
      </c>
      <c r="K13" t="s">
        <v>2283</v>
      </c>
      <c r="L13" t="s">
        <v>2284</v>
      </c>
      <c r="M13" t="s">
        <v>2283</v>
      </c>
      <c r="N13" t="s">
        <v>2171</v>
      </c>
      <c r="O13" t="s">
        <v>2172</v>
      </c>
      <c r="P13" t="s">
        <v>2173</v>
      </c>
      <c r="Q13">
        <v>46006.978958333333</v>
      </c>
      <c r="R13" t="s">
        <v>2241</v>
      </c>
      <c r="S13" t="s">
        <v>2242</v>
      </c>
      <c r="T13" t="s">
        <v>2176</v>
      </c>
      <c r="U13" t="s">
        <v>2177</v>
      </c>
      <c r="V13" t="s">
        <v>1408</v>
      </c>
      <c r="X13">
        <v>1</v>
      </c>
      <c r="Y13">
        <v>4900</v>
      </c>
      <c r="Z13">
        <v>23000</v>
      </c>
      <c r="AA13">
        <v>5100</v>
      </c>
      <c r="AB13">
        <v>5100</v>
      </c>
      <c r="AC13">
        <v>22800</v>
      </c>
      <c r="AF13">
        <v>46007.99998842593</v>
      </c>
      <c r="AI13" t="s">
        <v>2179</v>
      </c>
      <c r="AJ13" t="s">
        <v>2285</v>
      </c>
      <c r="AK13" t="s">
        <v>2179</v>
      </c>
      <c r="AL13">
        <v>0</v>
      </c>
      <c r="AM13">
        <v>0</v>
      </c>
      <c r="AN13">
        <v>0</v>
      </c>
      <c r="AO13" t="s">
        <v>2181</v>
      </c>
      <c r="AP13" t="s">
        <v>2286</v>
      </c>
      <c r="AR13" t="s">
        <v>2287</v>
      </c>
      <c r="AS13" t="s">
        <v>2288</v>
      </c>
      <c r="AT13" t="s">
        <v>2289</v>
      </c>
      <c r="AU13" t="s">
        <v>2286</v>
      </c>
      <c r="AV13" t="s">
        <v>2290</v>
      </c>
      <c r="AX13" t="s">
        <v>2188</v>
      </c>
      <c r="AY13">
        <v>-456</v>
      </c>
      <c r="AZ13">
        <v>21517</v>
      </c>
      <c r="BB13">
        <v>46006.978888888887</v>
      </c>
      <c r="BC13">
        <v>-827</v>
      </c>
      <c r="BD13" t="s">
        <v>2189</v>
      </c>
      <c r="BE13" t="s">
        <v>2208</v>
      </c>
    </row>
    <row r="14" spans="1:57">
      <c r="A14" s="4" t="s">
        <v>2291</v>
      </c>
      <c r="B14" s="5" t="s">
        <v>2292</v>
      </c>
      <c r="C14" s="5" t="s">
        <v>2165</v>
      </c>
      <c r="E14" s="5" t="s">
        <v>2166</v>
      </c>
      <c r="F14" s="4" t="s">
        <v>2166</v>
      </c>
      <c r="G14" s="4" t="s">
        <v>2167</v>
      </c>
      <c r="I14">
        <v>46007.333680555559</v>
      </c>
      <c r="J14" t="s">
        <v>2168</v>
      </c>
      <c r="K14" t="s">
        <v>2293</v>
      </c>
      <c r="L14" t="s">
        <v>2294</v>
      </c>
      <c r="M14" t="s">
        <v>2293</v>
      </c>
      <c r="N14" t="s">
        <v>2171</v>
      </c>
      <c r="O14" t="s">
        <v>2172</v>
      </c>
      <c r="P14" t="s">
        <v>2173</v>
      </c>
      <c r="Q14">
        <v>46006.974722222221</v>
      </c>
      <c r="R14" t="s">
        <v>2174</v>
      </c>
      <c r="S14" t="s">
        <v>2175</v>
      </c>
      <c r="T14" t="s">
        <v>2176</v>
      </c>
      <c r="U14" t="s">
        <v>2177</v>
      </c>
      <c r="V14" t="s">
        <v>1509</v>
      </c>
      <c r="X14">
        <v>2</v>
      </c>
      <c r="Y14">
        <v>127300</v>
      </c>
      <c r="Z14">
        <v>19800</v>
      </c>
      <c r="AA14">
        <v>45800</v>
      </c>
      <c r="AB14">
        <v>45800</v>
      </c>
      <c r="AC14">
        <v>248400</v>
      </c>
      <c r="AD14" t="s">
        <v>2178</v>
      </c>
      <c r="AF14">
        <v>46007.99998842593</v>
      </c>
      <c r="AI14" t="s">
        <v>2179</v>
      </c>
      <c r="AJ14" t="s">
        <v>2295</v>
      </c>
      <c r="AK14" t="s">
        <v>2179</v>
      </c>
      <c r="AL14">
        <v>0</v>
      </c>
      <c r="AM14">
        <v>0</v>
      </c>
      <c r="AN14">
        <v>0</v>
      </c>
      <c r="AO14" t="s">
        <v>2181</v>
      </c>
      <c r="AP14" t="s">
        <v>2296</v>
      </c>
      <c r="AQ14" t="s">
        <v>2297</v>
      </c>
      <c r="AR14" t="s">
        <v>2298</v>
      </c>
      <c r="AS14" t="s">
        <v>2299</v>
      </c>
      <c r="AT14" t="s">
        <v>2300</v>
      </c>
      <c r="AU14" t="s">
        <v>2296</v>
      </c>
      <c r="AV14" t="s">
        <v>2301</v>
      </c>
      <c r="AX14" t="s">
        <v>2302</v>
      </c>
      <c r="AY14">
        <v>-4968</v>
      </c>
      <c r="AZ14">
        <v>234416</v>
      </c>
      <c r="BB14">
        <v>46006.974675925929</v>
      </c>
      <c r="BC14">
        <v>-9016</v>
      </c>
      <c r="BD14" t="s">
        <v>2189</v>
      </c>
      <c r="BE14" t="s">
        <v>2208</v>
      </c>
    </row>
    <row r="15" spans="1:57">
      <c r="A15" s="4" t="s">
        <v>2303</v>
      </c>
      <c r="B15" s="5" t="s">
        <v>2304</v>
      </c>
      <c r="C15" s="5" t="s">
        <v>2165</v>
      </c>
      <c r="E15" s="5" t="s">
        <v>2166</v>
      </c>
      <c r="F15" s="4" t="s">
        <v>2166</v>
      </c>
      <c r="G15" s="4" t="s">
        <v>2167</v>
      </c>
      <c r="I15">
        <v>46007.333680555559</v>
      </c>
      <c r="J15" t="s">
        <v>2168</v>
      </c>
      <c r="K15" t="s">
        <v>2305</v>
      </c>
      <c r="L15" t="s">
        <v>2306</v>
      </c>
      <c r="M15" t="s">
        <v>2305</v>
      </c>
      <c r="N15" t="s">
        <v>2171</v>
      </c>
      <c r="O15" t="s">
        <v>2172</v>
      </c>
      <c r="P15" t="s">
        <v>2173</v>
      </c>
      <c r="Q15">
        <v>46006.929340277777</v>
      </c>
      <c r="R15" t="s">
        <v>2241</v>
      </c>
      <c r="S15" t="s">
        <v>2242</v>
      </c>
      <c r="T15" t="s">
        <v>2176</v>
      </c>
      <c r="U15" t="s">
        <v>2177</v>
      </c>
      <c r="V15" t="s">
        <v>1401</v>
      </c>
      <c r="X15">
        <v>2</v>
      </c>
      <c r="Y15">
        <v>0</v>
      </c>
      <c r="Z15">
        <v>23000</v>
      </c>
      <c r="AA15">
        <v>11280</v>
      </c>
      <c r="AB15">
        <v>11280</v>
      </c>
      <c r="AC15">
        <v>34720</v>
      </c>
      <c r="AF15">
        <v>46007.99998842593</v>
      </c>
      <c r="AI15" t="s">
        <v>2179</v>
      </c>
      <c r="AJ15" t="s">
        <v>2307</v>
      </c>
      <c r="AK15" t="s">
        <v>2179</v>
      </c>
      <c r="AL15">
        <v>0</v>
      </c>
      <c r="AM15">
        <v>0</v>
      </c>
      <c r="AN15">
        <v>0</v>
      </c>
      <c r="AO15" t="s">
        <v>2181</v>
      </c>
      <c r="AP15" t="s">
        <v>2308</v>
      </c>
      <c r="AR15" t="s">
        <v>2309</v>
      </c>
      <c r="AS15" t="s">
        <v>2310</v>
      </c>
      <c r="AT15" t="s">
        <v>2311</v>
      </c>
      <c r="AU15" t="s">
        <v>2308</v>
      </c>
      <c r="AV15" t="s">
        <v>2312</v>
      </c>
      <c r="AX15" t="s">
        <v>2188</v>
      </c>
      <c r="AY15">
        <v>-1388</v>
      </c>
      <c r="AZ15">
        <v>32072</v>
      </c>
      <c r="BB15">
        <v>46006.929189814815</v>
      </c>
      <c r="BC15">
        <v>-1260</v>
      </c>
      <c r="BD15" t="s">
        <v>2189</v>
      </c>
      <c r="BE15" t="s">
        <v>2224</v>
      </c>
    </row>
    <row r="16" spans="1:57">
      <c r="A16" s="4" t="s">
        <v>2313</v>
      </c>
      <c r="B16" s="5" t="s">
        <v>2314</v>
      </c>
      <c r="C16" s="5" t="s">
        <v>2165</v>
      </c>
      <c r="E16" s="5" t="s">
        <v>2166</v>
      </c>
      <c r="F16" s="4" t="s">
        <v>2166</v>
      </c>
      <c r="G16" s="4" t="s">
        <v>2167</v>
      </c>
      <c r="I16">
        <v>46007.333680555559</v>
      </c>
      <c r="J16" t="s">
        <v>2168</v>
      </c>
      <c r="K16" t="s">
        <v>2315</v>
      </c>
      <c r="L16" t="s">
        <v>2316</v>
      </c>
      <c r="M16" t="s">
        <v>2315</v>
      </c>
      <c r="N16" t="s">
        <v>2171</v>
      </c>
      <c r="O16" t="s">
        <v>2172</v>
      </c>
      <c r="P16" t="s">
        <v>2173</v>
      </c>
      <c r="Q16">
        <v>46006.924340277779</v>
      </c>
      <c r="R16" t="s">
        <v>2174</v>
      </c>
      <c r="S16" t="s">
        <v>2175</v>
      </c>
      <c r="T16" t="s">
        <v>2176</v>
      </c>
      <c r="U16" t="s">
        <v>2177</v>
      </c>
      <c r="V16" t="s">
        <v>2317</v>
      </c>
      <c r="X16">
        <v>1</v>
      </c>
      <c r="Y16">
        <v>50500</v>
      </c>
      <c r="Z16">
        <v>19800</v>
      </c>
      <c r="AA16">
        <v>15220</v>
      </c>
      <c r="AB16">
        <v>15220</v>
      </c>
      <c r="AC16">
        <v>55080</v>
      </c>
      <c r="AD16" t="s">
        <v>2178</v>
      </c>
      <c r="AF16">
        <v>46007.99998842593</v>
      </c>
      <c r="AI16" t="s">
        <v>2179</v>
      </c>
      <c r="AJ16" t="s">
        <v>2318</v>
      </c>
      <c r="AK16" t="s">
        <v>2179</v>
      </c>
      <c r="AL16">
        <v>0</v>
      </c>
      <c r="AM16">
        <v>0</v>
      </c>
      <c r="AN16">
        <v>0</v>
      </c>
      <c r="AO16" t="s">
        <v>2181</v>
      </c>
      <c r="AP16" t="s">
        <v>2319</v>
      </c>
      <c r="AQ16" t="s">
        <v>2320</v>
      </c>
      <c r="AR16" t="s">
        <v>2321</v>
      </c>
      <c r="AS16" t="s">
        <v>2322</v>
      </c>
      <c r="AT16" t="s">
        <v>2323</v>
      </c>
      <c r="AU16" t="s">
        <v>2319</v>
      </c>
      <c r="AV16" t="s">
        <v>2324</v>
      </c>
      <c r="AX16" t="s">
        <v>2207</v>
      </c>
      <c r="AY16">
        <v>-2203</v>
      </c>
      <c r="AZ16">
        <v>50878</v>
      </c>
      <c r="BB16">
        <v>46006.924120370371</v>
      </c>
      <c r="BC16">
        <v>-1999</v>
      </c>
      <c r="BD16" t="s">
        <v>2189</v>
      </c>
      <c r="BE16" t="s">
        <v>2325</v>
      </c>
    </row>
    <row r="17" spans="1:57">
      <c r="A17" s="4" t="s">
        <v>2326</v>
      </c>
      <c r="B17" s="5" t="s">
        <v>2327</v>
      </c>
      <c r="C17" s="5" t="s">
        <v>2165</v>
      </c>
      <c r="E17" s="5" t="s">
        <v>2166</v>
      </c>
      <c r="F17" s="4" t="s">
        <v>2166</v>
      </c>
      <c r="G17" s="4" t="s">
        <v>2167</v>
      </c>
      <c r="I17">
        <v>46007.333680555559</v>
      </c>
      <c r="J17" t="s">
        <v>2168</v>
      </c>
      <c r="K17" t="s">
        <v>2328</v>
      </c>
      <c r="L17" t="s">
        <v>2329</v>
      </c>
      <c r="M17" t="s">
        <v>2328</v>
      </c>
      <c r="N17" t="s">
        <v>2171</v>
      </c>
      <c r="O17" t="s">
        <v>2172</v>
      </c>
      <c r="P17" t="s">
        <v>2173</v>
      </c>
      <c r="Q17">
        <v>46006.922685185185</v>
      </c>
      <c r="R17" t="s">
        <v>2241</v>
      </c>
      <c r="S17" t="s">
        <v>2242</v>
      </c>
      <c r="T17" t="s">
        <v>2176</v>
      </c>
      <c r="U17" t="s">
        <v>2177</v>
      </c>
      <c r="V17" t="s">
        <v>1400</v>
      </c>
      <c r="X17">
        <v>8</v>
      </c>
      <c r="Y17">
        <v>0</v>
      </c>
      <c r="Z17">
        <v>23000</v>
      </c>
      <c r="AA17">
        <v>40800</v>
      </c>
      <c r="AB17">
        <v>40800</v>
      </c>
      <c r="AC17">
        <v>143200</v>
      </c>
      <c r="AF17">
        <v>46007.99998842593</v>
      </c>
      <c r="AI17" t="s">
        <v>2179</v>
      </c>
      <c r="AJ17" t="s">
        <v>2330</v>
      </c>
      <c r="AK17" t="s">
        <v>2179</v>
      </c>
      <c r="AL17">
        <v>0</v>
      </c>
      <c r="AM17">
        <v>0</v>
      </c>
      <c r="AN17">
        <v>0</v>
      </c>
      <c r="AO17" t="s">
        <v>2181</v>
      </c>
      <c r="AP17" t="s">
        <v>2331</v>
      </c>
      <c r="AR17" t="s">
        <v>2332</v>
      </c>
      <c r="AS17" t="s">
        <v>2333</v>
      </c>
      <c r="AT17" t="s">
        <v>2334</v>
      </c>
      <c r="AU17" t="s">
        <v>2331</v>
      </c>
      <c r="AV17" t="s">
        <v>2335</v>
      </c>
      <c r="AW17" t="s">
        <v>2336</v>
      </c>
      <c r="AX17" t="s">
        <v>2188</v>
      </c>
      <c r="AY17">
        <v>-5728</v>
      </c>
      <c r="AZ17">
        <v>132274</v>
      </c>
      <c r="BB17">
        <v>46006.922615740739</v>
      </c>
      <c r="BC17">
        <v>-5198</v>
      </c>
      <c r="BD17" t="s">
        <v>2189</v>
      </c>
      <c r="BE17" t="s">
        <v>2190</v>
      </c>
    </row>
    <row r="18" spans="1:57">
      <c r="A18" s="4" t="s">
        <v>2337</v>
      </c>
      <c r="B18" s="5" t="s">
        <v>2327</v>
      </c>
      <c r="C18" s="5" t="s">
        <v>2165</v>
      </c>
      <c r="E18" s="5" t="s">
        <v>2166</v>
      </c>
      <c r="F18" s="4" t="s">
        <v>2166</v>
      </c>
      <c r="G18" s="4" t="s">
        <v>2167</v>
      </c>
      <c r="I18">
        <v>46007.333680555559</v>
      </c>
      <c r="J18" t="s">
        <v>2168</v>
      </c>
      <c r="K18" t="s">
        <v>2328</v>
      </c>
      <c r="L18" t="s">
        <v>2329</v>
      </c>
      <c r="M18" t="s">
        <v>2328</v>
      </c>
      <c r="N18" t="s">
        <v>2171</v>
      </c>
      <c r="O18" t="s">
        <v>2172</v>
      </c>
      <c r="P18" t="s">
        <v>2173</v>
      </c>
      <c r="Q18">
        <v>46006.922685185185</v>
      </c>
      <c r="R18" t="s">
        <v>2241</v>
      </c>
      <c r="S18" t="s">
        <v>2242</v>
      </c>
      <c r="T18" t="s">
        <v>2176</v>
      </c>
      <c r="U18" t="s">
        <v>2177</v>
      </c>
      <c r="V18" t="s">
        <v>1401</v>
      </c>
      <c r="X18">
        <v>2</v>
      </c>
      <c r="Y18">
        <v>0</v>
      </c>
      <c r="Z18">
        <v>23000</v>
      </c>
      <c r="AA18">
        <v>11200</v>
      </c>
      <c r="AB18">
        <v>11200</v>
      </c>
      <c r="AC18">
        <v>34800</v>
      </c>
      <c r="AF18">
        <v>46007.99998842593</v>
      </c>
      <c r="AI18" t="s">
        <v>2179</v>
      </c>
      <c r="AJ18" t="s">
        <v>2330</v>
      </c>
      <c r="AK18" t="s">
        <v>2179</v>
      </c>
      <c r="AL18">
        <v>0</v>
      </c>
      <c r="AM18">
        <v>0</v>
      </c>
      <c r="AN18">
        <v>0</v>
      </c>
      <c r="AO18" t="s">
        <v>2181</v>
      </c>
      <c r="AP18" t="s">
        <v>2331</v>
      </c>
      <c r="AR18" t="s">
        <v>2332</v>
      </c>
      <c r="AS18" t="s">
        <v>2333</v>
      </c>
      <c r="AT18" t="s">
        <v>2334</v>
      </c>
      <c r="AU18" t="s">
        <v>2331</v>
      </c>
      <c r="AV18" t="s">
        <v>2335</v>
      </c>
      <c r="AW18" t="s">
        <v>2336</v>
      </c>
      <c r="AX18" t="s">
        <v>2188</v>
      </c>
      <c r="AY18">
        <v>-1392</v>
      </c>
      <c r="AZ18">
        <v>32145</v>
      </c>
      <c r="BB18">
        <v>46006.922615740739</v>
      </c>
      <c r="BC18">
        <v>-1263</v>
      </c>
      <c r="BD18" t="s">
        <v>2189</v>
      </c>
      <c r="BE18" t="s">
        <v>2190</v>
      </c>
    </row>
    <row r="19" spans="1:57">
      <c r="A19" s="4" t="s">
        <v>2338</v>
      </c>
      <c r="B19" s="5" t="s">
        <v>2339</v>
      </c>
      <c r="C19" s="5" t="s">
        <v>2165</v>
      </c>
      <c r="E19" s="5" t="s">
        <v>2166</v>
      </c>
      <c r="F19" s="4" t="s">
        <v>2166</v>
      </c>
      <c r="G19" s="4" t="s">
        <v>2167</v>
      </c>
      <c r="I19">
        <v>46007.333680555559</v>
      </c>
      <c r="J19" t="s">
        <v>2168</v>
      </c>
      <c r="K19" t="s">
        <v>2340</v>
      </c>
      <c r="L19" t="s">
        <v>2341</v>
      </c>
      <c r="M19" t="s">
        <v>2340</v>
      </c>
      <c r="N19" t="s">
        <v>2171</v>
      </c>
      <c r="O19" t="s">
        <v>2172</v>
      </c>
      <c r="P19" t="s">
        <v>2271</v>
      </c>
      <c r="Q19">
        <v>46006.911828703705</v>
      </c>
      <c r="R19" t="s">
        <v>2241</v>
      </c>
      <c r="S19" t="s">
        <v>2242</v>
      </c>
      <c r="T19" t="s">
        <v>2176</v>
      </c>
      <c r="U19" t="s">
        <v>2177</v>
      </c>
      <c r="V19" t="s">
        <v>1400</v>
      </c>
      <c r="X19">
        <v>9</v>
      </c>
      <c r="Y19">
        <v>0</v>
      </c>
      <c r="Z19">
        <v>23000</v>
      </c>
      <c r="AA19">
        <v>45900</v>
      </c>
      <c r="AB19">
        <v>45900</v>
      </c>
      <c r="AC19">
        <v>161100</v>
      </c>
      <c r="AF19">
        <v>46007.99998842593</v>
      </c>
      <c r="AI19" t="s">
        <v>2179</v>
      </c>
      <c r="AJ19" t="s">
        <v>2342</v>
      </c>
      <c r="AK19" t="s">
        <v>2179</v>
      </c>
      <c r="AL19">
        <v>0</v>
      </c>
      <c r="AM19">
        <v>0</v>
      </c>
      <c r="AN19">
        <v>0</v>
      </c>
      <c r="AO19" t="s">
        <v>2181</v>
      </c>
      <c r="AP19" t="s">
        <v>2343</v>
      </c>
      <c r="AR19" t="s">
        <v>2344</v>
      </c>
      <c r="AS19" t="s">
        <v>2345</v>
      </c>
      <c r="AT19" t="s">
        <v>2346</v>
      </c>
      <c r="AU19" t="s">
        <v>2343</v>
      </c>
      <c r="AV19" t="s">
        <v>2347</v>
      </c>
      <c r="AX19" t="s">
        <v>2188</v>
      </c>
      <c r="AY19">
        <v>-6444</v>
      </c>
      <c r="AZ19">
        <v>148809</v>
      </c>
      <c r="BB19">
        <v>46006.911736111113</v>
      </c>
      <c r="BC19">
        <v>-5847</v>
      </c>
      <c r="BD19" t="s">
        <v>2189</v>
      </c>
      <c r="BE19" t="s">
        <v>2348</v>
      </c>
    </row>
    <row r="20" spans="1:57">
      <c r="A20" s="4" t="s">
        <v>2349</v>
      </c>
      <c r="B20" s="5" t="s">
        <v>2350</v>
      </c>
      <c r="C20" s="5" t="s">
        <v>2165</v>
      </c>
      <c r="E20" s="5" t="s">
        <v>2166</v>
      </c>
      <c r="F20" s="4" t="s">
        <v>2166</v>
      </c>
      <c r="G20" s="4" t="s">
        <v>2167</v>
      </c>
      <c r="I20">
        <v>46007.333680555559</v>
      </c>
      <c r="J20" t="s">
        <v>2168</v>
      </c>
      <c r="K20" t="s">
        <v>2351</v>
      </c>
      <c r="L20" t="s">
        <v>2352</v>
      </c>
      <c r="M20" t="s">
        <v>2351</v>
      </c>
      <c r="N20" t="s">
        <v>2171</v>
      </c>
      <c r="O20" t="s">
        <v>2172</v>
      </c>
      <c r="P20" t="s">
        <v>2173</v>
      </c>
      <c r="Q20">
        <v>46006.889641203699</v>
      </c>
      <c r="R20" t="s">
        <v>2241</v>
      </c>
      <c r="S20" t="s">
        <v>2242</v>
      </c>
      <c r="T20" t="s">
        <v>2176</v>
      </c>
      <c r="U20" t="s">
        <v>2177</v>
      </c>
      <c r="V20" t="s">
        <v>1400</v>
      </c>
      <c r="X20">
        <v>8</v>
      </c>
      <c r="Y20">
        <v>0</v>
      </c>
      <c r="Z20">
        <v>23000</v>
      </c>
      <c r="AA20">
        <v>42800</v>
      </c>
      <c r="AB20">
        <v>41800</v>
      </c>
      <c r="AC20">
        <v>141200</v>
      </c>
      <c r="AF20">
        <v>46007.99998842593</v>
      </c>
      <c r="AI20" t="s">
        <v>2179</v>
      </c>
      <c r="AJ20" t="s">
        <v>2353</v>
      </c>
      <c r="AK20" t="s">
        <v>2179</v>
      </c>
      <c r="AL20">
        <v>0</v>
      </c>
      <c r="AM20">
        <v>0</v>
      </c>
      <c r="AN20">
        <v>0</v>
      </c>
      <c r="AO20" t="s">
        <v>2181</v>
      </c>
      <c r="AP20" t="s">
        <v>2354</v>
      </c>
      <c r="AR20" t="s">
        <v>2355</v>
      </c>
      <c r="AS20" t="s">
        <v>2356</v>
      </c>
      <c r="AT20" t="s">
        <v>2357</v>
      </c>
      <c r="AU20" t="s">
        <v>2354</v>
      </c>
      <c r="AV20" t="s">
        <v>2358</v>
      </c>
      <c r="AX20" t="s">
        <v>2188</v>
      </c>
      <c r="AY20">
        <v>-5688</v>
      </c>
      <c r="AZ20">
        <v>131351</v>
      </c>
      <c r="BB20">
        <v>46006.88957175926</v>
      </c>
      <c r="BC20">
        <v>-5161</v>
      </c>
      <c r="BD20" t="s">
        <v>2189</v>
      </c>
      <c r="BE20" t="s">
        <v>2224</v>
      </c>
    </row>
    <row r="21" spans="1:57">
      <c r="A21" s="4" t="s">
        <v>2359</v>
      </c>
      <c r="B21" s="5" t="s">
        <v>2360</v>
      </c>
      <c r="C21" s="5" t="s">
        <v>2165</v>
      </c>
      <c r="E21" s="5" t="s">
        <v>2166</v>
      </c>
      <c r="F21" s="4" t="s">
        <v>2166</v>
      </c>
      <c r="G21" s="4" t="s">
        <v>2167</v>
      </c>
      <c r="I21">
        <v>46007.333680555559</v>
      </c>
      <c r="J21" t="s">
        <v>2168</v>
      </c>
      <c r="K21" t="s">
        <v>2361</v>
      </c>
      <c r="L21" t="s">
        <v>2362</v>
      </c>
      <c r="M21" t="s">
        <v>2361</v>
      </c>
      <c r="N21" t="s">
        <v>2171</v>
      </c>
      <c r="O21" t="s">
        <v>2172</v>
      </c>
      <c r="P21" t="s">
        <v>2173</v>
      </c>
      <c r="Q21">
        <v>46006.874201388884</v>
      </c>
      <c r="R21" t="s">
        <v>2174</v>
      </c>
      <c r="S21" t="s">
        <v>2175</v>
      </c>
      <c r="T21" t="s">
        <v>2176</v>
      </c>
      <c r="U21" t="s">
        <v>2177</v>
      </c>
      <c r="V21" t="s">
        <v>1477</v>
      </c>
      <c r="X21">
        <v>1</v>
      </c>
      <c r="Y21">
        <v>157300</v>
      </c>
      <c r="Z21">
        <v>19800</v>
      </c>
      <c r="AA21">
        <v>25900</v>
      </c>
      <c r="AB21">
        <v>25900</v>
      </c>
      <c r="AC21">
        <v>151200</v>
      </c>
      <c r="AD21" t="s">
        <v>2178</v>
      </c>
      <c r="AF21">
        <v>46007.99998842593</v>
      </c>
      <c r="AI21" t="s">
        <v>2179</v>
      </c>
      <c r="AJ21" t="s">
        <v>2363</v>
      </c>
      <c r="AK21" t="s">
        <v>2179</v>
      </c>
      <c r="AL21">
        <v>0</v>
      </c>
      <c r="AM21">
        <v>0</v>
      </c>
      <c r="AN21">
        <v>0</v>
      </c>
      <c r="AO21" t="s">
        <v>2181</v>
      </c>
      <c r="AP21" t="s">
        <v>2364</v>
      </c>
      <c r="AR21" t="s">
        <v>2365</v>
      </c>
      <c r="AS21" t="s">
        <v>2366</v>
      </c>
      <c r="AT21" t="s">
        <v>2367</v>
      </c>
      <c r="AU21" t="s">
        <v>2364</v>
      </c>
      <c r="AV21" t="s">
        <v>2368</v>
      </c>
      <c r="AX21" t="s">
        <v>2188</v>
      </c>
      <c r="AY21">
        <v>-6048</v>
      </c>
      <c r="AZ21">
        <v>139664</v>
      </c>
      <c r="BB21">
        <v>46006.874131944445</v>
      </c>
      <c r="BC21">
        <v>-5488</v>
      </c>
      <c r="BD21" t="s">
        <v>2189</v>
      </c>
      <c r="BE21" t="s">
        <v>2369</v>
      </c>
    </row>
    <row r="22" spans="1:57">
      <c r="A22" s="4" t="s">
        <v>2370</v>
      </c>
      <c r="B22" s="5" t="s">
        <v>2371</v>
      </c>
      <c r="C22" s="5" t="s">
        <v>2165</v>
      </c>
      <c r="E22" s="5" t="s">
        <v>2166</v>
      </c>
      <c r="F22" s="4" t="s">
        <v>2166</v>
      </c>
      <c r="G22" s="4" t="s">
        <v>2167</v>
      </c>
      <c r="I22">
        <v>46007.333680555559</v>
      </c>
      <c r="J22" t="s">
        <v>2168</v>
      </c>
      <c r="K22" t="s">
        <v>2372</v>
      </c>
      <c r="L22" t="s">
        <v>2373</v>
      </c>
      <c r="M22" t="s">
        <v>2372</v>
      </c>
      <c r="N22" t="s">
        <v>2171</v>
      </c>
      <c r="O22" t="s">
        <v>2172</v>
      </c>
      <c r="P22" t="s">
        <v>2173</v>
      </c>
      <c r="Q22">
        <v>46006.826319444444</v>
      </c>
      <c r="R22" t="s">
        <v>2272</v>
      </c>
      <c r="S22" t="s">
        <v>2273</v>
      </c>
      <c r="T22" t="s">
        <v>2176</v>
      </c>
      <c r="U22" t="s">
        <v>2177</v>
      </c>
      <c r="V22" t="s">
        <v>2374</v>
      </c>
      <c r="X22">
        <v>15</v>
      </c>
      <c r="Y22">
        <v>500</v>
      </c>
      <c r="Z22">
        <v>15600</v>
      </c>
      <c r="AA22">
        <v>94350</v>
      </c>
      <c r="AB22">
        <v>94350</v>
      </c>
      <c r="AC22">
        <v>147150</v>
      </c>
      <c r="AD22" t="s">
        <v>2178</v>
      </c>
      <c r="AF22">
        <v>46007.99998842593</v>
      </c>
      <c r="AI22" t="s">
        <v>2179</v>
      </c>
      <c r="AJ22" t="s">
        <v>2375</v>
      </c>
      <c r="AK22" t="s">
        <v>2179</v>
      </c>
      <c r="AL22">
        <v>0</v>
      </c>
      <c r="AM22">
        <v>0</v>
      </c>
      <c r="AN22">
        <v>0</v>
      </c>
      <c r="AO22" t="s">
        <v>2181</v>
      </c>
      <c r="AP22" t="s">
        <v>2376</v>
      </c>
      <c r="AR22" t="s">
        <v>2377</v>
      </c>
      <c r="AS22" t="s">
        <v>2378</v>
      </c>
      <c r="AT22" t="s">
        <v>2379</v>
      </c>
      <c r="AU22" t="s">
        <v>2376</v>
      </c>
      <c r="AV22" t="s">
        <v>2380</v>
      </c>
      <c r="AW22" t="s">
        <v>2381</v>
      </c>
      <c r="AX22" t="s">
        <v>2188</v>
      </c>
      <c r="AY22">
        <v>-5886</v>
      </c>
      <c r="AZ22">
        <v>135923</v>
      </c>
      <c r="BB22">
        <v>46006.826249999998</v>
      </c>
      <c r="BC22">
        <v>-5341</v>
      </c>
      <c r="BD22" t="s">
        <v>2189</v>
      </c>
      <c r="BE22" t="s">
        <v>2224</v>
      </c>
    </row>
    <row r="23" spans="1:57">
      <c r="A23" s="4" t="s">
        <v>2382</v>
      </c>
      <c r="B23" s="5" t="s">
        <v>2371</v>
      </c>
      <c r="C23" s="5" t="s">
        <v>2165</v>
      </c>
      <c r="E23" s="5" t="s">
        <v>2166</v>
      </c>
      <c r="F23" s="4" t="s">
        <v>2166</v>
      </c>
      <c r="G23" s="4" t="s">
        <v>2167</v>
      </c>
      <c r="I23">
        <v>46007.333680555559</v>
      </c>
      <c r="J23" t="s">
        <v>2168</v>
      </c>
      <c r="K23" t="s">
        <v>2372</v>
      </c>
      <c r="L23" t="s">
        <v>2373</v>
      </c>
      <c r="M23" t="s">
        <v>2372</v>
      </c>
      <c r="N23" t="s">
        <v>2171</v>
      </c>
      <c r="O23" t="s">
        <v>2172</v>
      </c>
      <c r="P23" t="s">
        <v>2173</v>
      </c>
      <c r="Q23">
        <v>46006.826319444444</v>
      </c>
      <c r="R23" t="s">
        <v>2272</v>
      </c>
      <c r="S23" t="s">
        <v>2273</v>
      </c>
      <c r="T23" t="s">
        <v>2176</v>
      </c>
      <c r="U23" t="s">
        <v>2177</v>
      </c>
      <c r="V23" t="s">
        <v>2383</v>
      </c>
      <c r="X23">
        <v>5</v>
      </c>
      <c r="Y23">
        <v>3100</v>
      </c>
      <c r="Z23">
        <v>15600</v>
      </c>
      <c r="AA23">
        <v>26000</v>
      </c>
      <c r="AB23">
        <v>26000</v>
      </c>
      <c r="AC23">
        <v>67500</v>
      </c>
      <c r="AD23" t="s">
        <v>2178</v>
      </c>
      <c r="AF23">
        <v>46007.99998842593</v>
      </c>
      <c r="AI23" t="s">
        <v>2179</v>
      </c>
      <c r="AJ23" t="s">
        <v>2375</v>
      </c>
      <c r="AK23" t="s">
        <v>2179</v>
      </c>
      <c r="AL23">
        <v>0</v>
      </c>
      <c r="AM23">
        <v>0</v>
      </c>
      <c r="AN23">
        <v>0</v>
      </c>
      <c r="AO23" t="s">
        <v>2181</v>
      </c>
      <c r="AP23" t="s">
        <v>2376</v>
      </c>
      <c r="AR23" t="s">
        <v>2377</v>
      </c>
      <c r="AS23" t="s">
        <v>2378</v>
      </c>
      <c r="AT23" t="s">
        <v>2379</v>
      </c>
      <c r="AU23" t="s">
        <v>2376</v>
      </c>
      <c r="AV23" t="s">
        <v>2380</v>
      </c>
      <c r="AW23" t="s">
        <v>2381</v>
      </c>
      <c r="AX23" t="s">
        <v>2188</v>
      </c>
      <c r="AY23">
        <v>-2700</v>
      </c>
      <c r="AZ23">
        <v>62350</v>
      </c>
      <c r="BB23">
        <v>46006.826249999998</v>
      </c>
      <c r="BC23">
        <v>-2450</v>
      </c>
      <c r="BD23" t="s">
        <v>2189</v>
      </c>
      <c r="BE23" t="s">
        <v>2224</v>
      </c>
    </row>
    <row r="24" spans="1:57">
      <c r="A24" s="4" t="s">
        <v>2384</v>
      </c>
      <c r="B24" s="5" t="s">
        <v>2385</v>
      </c>
      <c r="C24" s="5" t="s">
        <v>2165</v>
      </c>
      <c r="E24" s="5" t="s">
        <v>2166</v>
      </c>
      <c r="F24" s="4" t="s">
        <v>2166</v>
      </c>
      <c r="G24" s="4" t="s">
        <v>2167</v>
      </c>
      <c r="I24">
        <v>46007.333680555559</v>
      </c>
      <c r="J24" t="s">
        <v>2168</v>
      </c>
      <c r="K24" t="s">
        <v>2386</v>
      </c>
      <c r="L24" t="s">
        <v>2387</v>
      </c>
      <c r="M24" t="s">
        <v>2386</v>
      </c>
      <c r="N24" t="s">
        <v>2171</v>
      </c>
      <c r="O24" t="s">
        <v>2172</v>
      </c>
      <c r="P24" t="s">
        <v>2173</v>
      </c>
      <c r="Q24">
        <v>46006.752708333333</v>
      </c>
      <c r="R24" t="s">
        <v>2241</v>
      </c>
      <c r="S24" t="s">
        <v>2242</v>
      </c>
      <c r="T24" t="s">
        <v>2176</v>
      </c>
      <c r="U24" t="s">
        <v>2177</v>
      </c>
      <c r="V24" t="s">
        <v>1408</v>
      </c>
      <c r="X24">
        <v>1</v>
      </c>
      <c r="Y24">
        <v>4900</v>
      </c>
      <c r="Z24">
        <v>23000</v>
      </c>
      <c r="AA24">
        <v>7100</v>
      </c>
      <c r="AB24">
        <v>6100</v>
      </c>
      <c r="AC24">
        <v>20800</v>
      </c>
      <c r="AF24">
        <v>46007.99998842593</v>
      </c>
      <c r="AI24" t="s">
        <v>2179</v>
      </c>
      <c r="AJ24" t="s">
        <v>2388</v>
      </c>
      <c r="AK24" t="s">
        <v>2179</v>
      </c>
      <c r="AL24">
        <v>0</v>
      </c>
      <c r="AM24">
        <v>0</v>
      </c>
      <c r="AN24">
        <v>0</v>
      </c>
      <c r="AO24" t="s">
        <v>2181</v>
      </c>
      <c r="AP24" t="s">
        <v>2389</v>
      </c>
      <c r="AR24" t="s">
        <v>2390</v>
      </c>
      <c r="AS24" t="s">
        <v>2391</v>
      </c>
      <c r="AT24" t="s">
        <v>2392</v>
      </c>
      <c r="AU24" t="s">
        <v>2389</v>
      </c>
      <c r="AV24" t="s">
        <v>2393</v>
      </c>
      <c r="AX24" t="s">
        <v>2302</v>
      </c>
      <c r="AY24">
        <v>-872</v>
      </c>
      <c r="AZ24">
        <v>20137</v>
      </c>
      <c r="BB24">
        <v>46006.75267361111</v>
      </c>
      <c r="BC24">
        <v>-791</v>
      </c>
      <c r="BD24" t="s">
        <v>2189</v>
      </c>
      <c r="BE24" t="s">
        <v>2224</v>
      </c>
    </row>
    <row r="25" spans="1:57">
      <c r="A25" s="4" t="s">
        <v>2394</v>
      </c>
      <c r="B25" s="5" t="s">
        <v>2395</v>
      </c>
      <c r="C25" s="5" t="s">
        <v>2165</v>
      </c>
      <c r="E25" s="5" t="s">
        <v>2166</v>
      </c>
      <c r="F25" s="4" t="s">
        <v>2166</v>
      </c>
      <c r="G25" s="4" t="s">
        <v>2167</v>
      </c>
      <c r="I25">
        <v>46007.333680555559</v>
      </c>
      <c r="J25" t="s">
        <v>2168</v>
      </c>
      <c r="K25" t="s">
        <v>2396</v>
      </c>
      <c r="L25" t="s">
        <v>2397</v>
      </c>
      <c r="M25" t="s">
        <v>2396</v>
      </c>
      <c r="N25" t="s">
        <v>2171</v>
      </c>
      <c r="O25" t="s">
        <v>2172</v>
      </c>
      <c r="P25" t="s">
        <v>2271</v>
      </c>
      <c r="Q25">
        <v>46006.69263888889</v>
      </c>
      <c r="R25" t="s">
        <v>2241</v>
      </c>
      <c r="S25" t="s">
        <v>2242</v>
      </c>
      <c r="T25" t="s">
        <v>2176</v>
      </c>
      <c r="U25" t="s">
        <v>2177</v>
      </c>
      <c r="V25" t="s">
        <v>1400</v>
      </c>
      <c r="X25">
        <v>12</v>
      </c>
      <c r="Y25">
        <v>0</v>
      </c>
      <c r="Z25">
        <v>23000</v>
      </c>
      <c r="AA25">
        <v>61200</v>
      </c>
      <c r="AB25">
        <v>61200</v>
      </c>
      <c r="AC25">
        <v>214800</v>
      </c>
      <c r="AF25">
        <v>46007.99998842593</v>
      </c>
      <c r="AI25" t="s">
        <v>2179</v>
      </c>
      <c r="AJ25" t="s">
        <v>2398</v>
      </c>
      <c r="AK25" t="s">
        <v>2179</v>
      </c>
      <c r="AL25">
        <v>0</v>
      </c>
      <c r="AM25">
        <v>0</v>
      </c>
      <c r="AN25">
        <v>0</v>
      </c>
      <c r="AO25" t="s">
        <v>2181</v>
      </c>
      <c r="AP25" t="s">
        <v>2399</v>
      </c>
      <c r="AR25" t="s">
        <v>2400</v>
      </c>
      <c r="AS25" t="s">
        <v>2401</v>
      </c>
      <c r="AT25" t="s">
        <v>2402</v>
      </c>
      <c r="AU25" t="s">
        <v>2399</v>
      </c>
      <c r="AV25" t="s">
        <v>2403</v>
      </c>
      <c r="AX25" t="s">
        <v>2188</v>
      </c>
      <c r="AY25">
        <v>-8592</v>
      </c>
      <c r="AZ25">
        <v>198411</v>
      </c>
      <c r="BB25">
        <v>46006.692523148144</v>
      </c>
      <c r="BC25">
        <v>-7797</v>
      </c>
      <c r="BD25" t="s">
        <v>2189</v>
      </c>
      <c r="BE25" t="s">
        <v>2404</v>
      </c>
    </row>
    <row r="26" spans="1:57">
      <c r="A26" s="4" t="s">
        <v>2405</v>
      </c>
      <c r="B26" s="5" t="s">
        <v>2395</v>
      </c>
      <c r="C26" s="5" t="s">
        <v>2165</v>
      </c>
      <c r="E26" s="5" t="s">
        <v>2166</v>
      </c>
      <c r="F26" s="4" t="s">
        <v>2166</v>
      </c>
      <c r="G26" s="4" t="s">
        <v>2167</v>
      </c>
      <c r="I26">
        <v>46007.333680555559</v>
      </c>
      <c r="J26" t="s">
        <v>2168</v>
      </c>
      <c r="K26" t="s">
        <v>2396</v>
      </c>
      <c r="L26" t="s">
        <v>2397</v>
      </c>
      <c r="M26" t="s">
        <v>2396</v>
      </c>
      <c r="N26" t="s">
        <v>2171</v>
      </c>
      <c r="O26" t="s">
        <v>2172</v>
      </c>
      <c r="P26" t="s">
        <v>2271</v>
      </c>
      <c r="Q26">
        <v>46006.69263888889</v>
      </c>
      <c r="R26" t="s">
        <v>2241</v>
      </c>
      <c r="S26" t="s">
        <v>2242</v>
      </c>
      <c r="T26" t="s">
        <v>2176</v>
      </c>
      <c r="U26" t="s">
        <v>2177</v>
      </c>
      <c r="V26" t="s">
        <v>1404</v>
      </c>
      <c r="X26">
        <v>2</v>
      </c>
      <c r="Y26">
        <v>0</v>
      </c>
      <c r="Z26">
        <v>23000</v>
      </c>
      <c r="AA26">
        <v>12200</v>
      </c>
      <c r="AB26">
        <v>11200</v>
      </c>
      <c r="AC26">
        <v>33800</v>
      </c>
      <c r="AF26">
        <v>46007.99998842593</v>
      </c>
      <c r="AI26" t="s">
        <v>2179</v>
      </c>
      <c r="AJ26" t="s">
        <v>2398</v>
      </c>
      <c r="AK26" t="s">
        <v>2179</v>
      </c>
      <c r="AL26">
        <v>0</v>
      </c>
      <c r="AM26">
        <v>0</v>
      </c>
      <c r="AN26">
        <v>0</v>
      </c>
      <c r="AO26" t="s">
        <v>2181</v>
      </c>
      <c r="AP26" t="s">
        <v>2399</v>
      </c>
      <c r="AR26" t="s">
        <v>2400</v>
      </c>
      <c r="AS26" t="s">
        <v>2401</v>
      </c>
      <c r="AT26" t="s">
        <v>2402</v>
      </c>
      <c r="AU26" t="s">
        <v>2399</v>
      </c>
      <c r="AV26" t="s">
        <v>2403</v>
      </c>
      <c r="AX26" t="s">
        <v>2188</v>
      </c>
      <c r="AY26">
        <v>-1392</v>
      </c>
      <c r="AZ26">
        <v>32146</v>
      </c>
      <c r="BB26">
        <v>46006.692523148144</v>
      </c>
      <c r="BC26">
        <v>-1262</v>
      </c>
      <c r="BD26" t="s">
        <v>2189</v>
      </c>
      <c r="BE26" t="s">
        <v>2404</v>
      </c>
    </row>
    <row r="27" spans="1:57">
      <c r="A27" s="4" t="s">
        <v>2406</v>
      </c>
      <c r="B27" s="5" t="s">
        <v>2395</v>
      </c>
      <c r="C27" s="5" t="s">
        <v>2165</v>
      </c>
      <c r="E27" s="5" t="s">
        <v>2166</v>
      </c>
      <c r="F27" s="4" t="s">
        <v>2166</v>
      </c>
      <c r="G27" s="4" t="s">
        <v>2167</v>
      </c>
      <c r="I27">
        <v>46007.333680555559</v>
      </c>
      <c r="J27" t="s">
        <v>2168</v>
      </c>
      <c r="K27" t="s">
        <v>2396</v>
      </c>
      <c r="L27" t="s">
        <v>2397</v>
      </c>
      <c r="M27" t="s">
        <v>2396</v>
      </c>
      <c r="N27" t="s">
        <v>2171</v>
      </c>
      <c r="O27" t="s">
        <v>2172</v>
      </c>
      <c r="P27" t="s">
        <v>2271</v>
      </c>
      <c r="Q27">
        <v>46006.69263888889</v>
      </c>
      <c r="R27" t="s">
        <v>2241</v>
      </c>
      <c r="S27" t="s">
        <v>2242</v>
      </c>
      <c r="T27" t="s">
        <v>2176</v>
      </c>
      <c r="U27" t="s">
        <v>2177</v>
      </c>
      <c r="V27" t="s">
        <v>1406</v>
      </c>
      <c r="X27">
        <v>2</v>
      </c>
      <c r="Y27">
        <v>0</v>
      </c>
      <c r="Z27">
        <v>23000</v>
      </c>
      <c r="AA27">
        <v>10200</v>
      </c>
      <c r="AB27">
        <v>10200</v>
      </c>
      <c r="AC27">
        <v>35800</v>
      </c>
      <c r="AF27">
        <v>46007.99998842593</v>
      </c>
      <c r="AI27" t="s">
        <v>2179</v>
      </c>
      <c r="AJ27" t="s">
        <v>2398</v>
      </c>
      <c r="AK27" t="s">
        <v>2179</v>
      </c>
      <c r="AL27">
        <v>0</v>
      </c>
      <c r="AM27">
        <v>0</v>
      </c>
      <c r="AN27">
        <v>0</v>
      </c>
      <c r="AO27" t="s">
        <v>2181</v>
      </c>
      <c r="AP27" t="s">
        <v>2399</v>
      </c>
      <c r="AR27" t="s">
        <v>2400</v>
      </c>
      <c r="AS27" t="s">
        <v>2401</v>
      </c>
      <c r="AT27" t="s">
        <v>2402</v>
      </c>
      <c r="AU27" t="s">
        <v>2399</v>
      </c>
      <c r="AV27" t="s">
        <v>2403</v>
      </c>
      <c r="AX27" t="s">
        <v>2188</v>
      </c>
      <c r="AY27">
        <v>-1432</v>
      </c>
      <c r="AZ27">
        <v>33069</v>
      </c>
      <c r="BB27">
        <v>46006.692523148144</v>
      </c>
      <c r="BC27">
        <v>-1299</v>
      </c>
      <c r="BD27" t="s">
        <v>2189</v>
      </c>
      <c r="BE27" t="s">
        <v>2404</v>
      </c>
    </row>
    <row r="28" spans="1:57">
      <c r="A28" s="4" t="s">
        <v>2407</v>
      </c>
      <c r="B28" s="5" t="s">
        <v>2408</v>
      </c>
      <c r="C28" s="5" t="s">
        <v>2165</v>
      </c>
      <c r="E28" s="5" t="s">
        <v>2166</v>
      </c>
      <c r="F28" s="4" t="s">
        <v>2166</v>
      </c>
      <c r="G28" s="4" t="s">
        <v>2167</v>
      </c>
      <c r="I28">
        <v>46007.333680555559</v>
      </c>
      <c r="J28" t="s">
        <v>2168</v>
      </c>
      <c r="K28" t="s">
        <v>2409</v>
      </c>
      <c r="L28" t="s">
        <v>2410</v>
      </c>
      <c r="M28" t="s">
        <v>2409</v>
      </c>
      <c r="N28" t="s">
        <v>2171</v>
      </c>
      <c r="O28" t="s">
        <v>2172</v>
      </c>
      <c r="P28" t="s">
        <v>2173</v>
      </c>
      <c r="Q28">
        <v>46006.671793981484</v>
      </c>
      <c r="R28" t="s">
        <v>2241</v>
      </c>
      <c r="S28" t="s">
        <v>2242</v>
      </c>
      <c r="T28" t="s">
        <v>2176</v>
      </c>
      <c r="U28" t="s">
        <v>2177</v>
      </c>
      <c r="V28" t="s">
        <v>1400</v>
      </c>
      <c r="X28">
        <v>15</v>
      </c>
      <c r="Y28">
        <v>0</v>
      </c>
      <c r="Z28">
        <v>23000</v>
      </c>
      <c r="AA28">
        <v>78500</v>
      </c>
      <c r="AB28">
        <v>77500</v>
      </c>
      <c r="AC28">
        <v>266500</v>
      </c>
      <c r="AF28">
        <v>46007.99998842593</v>
      </c>
      <c r="AI28" t="s">
        <v>2179</v>
      </c>
      <c r="AJ28" t="s">
        <v>2411</v>
      </c>
      <c r="AK28" t="s">
        <v>2179</v>
      </c>
      <c r="AL28">
        <v>0</v>
      </c>
      <c r="AM28">
        <v>0</v>
      </c>
      <c r="AN28">
        <v>0</v>
      </c>
      <c r="AO28" t="s">
        <v>2181</v>
      </c>
      <c r="AP28" t="s">
        <v>2412</v>
      </c>
      <c r="AR28" t="s">
        <v>2413</v>
      </c>
      <c r="AS28" t="s">
        <v>2414</v>
      </c>
      <c r="AT28" t="s">
        <v>2415</v>
      </c>
      <c r="AU28" t="s">
        <v>2416</v>
      </c>
      <c r="AV28" t="s">
        <v>2417</v>
      </c>
      <c r="AX28" t="s">
        <v>2418</v>
      </c>
      <c r="AY28">
        <v>-10700</v>
      </c>
      <c r="AZ28">
        <v>247091</v>
      </c>
      <c r="BB28">
        <v>46006.670532407406</v>
      </c>
      <c r="BC28">
        <v>-9709</v>
      </c>
      <c r="BD28" t="s">
        <v>2189</v>
      </c>
      <c r="BE28" t="s">
        <v>2404</v>
      </c>
    </row>
    <row r="29" spans="1:57">
      <c r="A29" s="4" t="s">
        <v>2419</v>
      </c>
      <c r="B29" s="5" t="s">
        <v>2420</v>
      </c>
      <c r="C29" s="5" t="s">
        <v>2165</v>
      </c>
      <c r="E29" s="5" t="s">
        <v>2166</v>
      </c>
      <c r="F29" s="4" t="s">
        <v>2166</v>
      </c>
      <c r="G29" s="4" t="s">
        <v>2167</v>
      </c>
      <c r="I29">
        <v>46007.333680555559</v>
      </c>
      <c r="J29" t="s">
        <v>2168</v>
      </c>
      <c r="K29" t="s">
        <v>2421</v>
      </c>
      <c r="L29" t="s">
        <v>2422</v>
      </c>
      <c r="M29" t="s">
        <v>2421</v>
      </c>
      <c r="N29" t="s">
        <v>2171</v>
      </c>
      <c r="O29" t="s">
        <v>2172</v>
      </c>
      <c r="P29" t="s">
        <v>2173</v>
      </c>
      <c r="Q29">
        <v>46006.64439814815</v>
      </c>
      <c r="R29" t="s">
        <v>2241</v>
      </c>
      <c r="S29" t="s">
        <v>2242</v>
      </c>
      <c r="T29" t="s">
        <v>2176</v>
      </c>
      <c r="U29" t="s">
        <v>2177</v>
      </c>
      <c r="V29" t="s">
        <v>1402</v>
      </c>
      <c r="X29">
        <v>3</v>
      </c>
      <c r="Y29">
        <v>8400</v>
      </c>
      <c r="Z29">
        <v>23000</v>
      </c>
      <c r="AA29">
        <v>16300</v>
      </c>
      <c r="AB29">
        <v>16300</v>
      </c>
      <c r="AC29">
        <v>77900</v>
      </c>
      <c r="AF29">
        <v>46007.99998842593</v>
      </c>
      <c r="AI29" t="s">
        <v>2179</v>
      </c>
      <c r="AJ29" t="s">
        <v>2423</v>
      </c>
      <c r="AK29" t="s">
        <v>2179</v>
      </c>
      <c r="AL29">
        <v>0</v>
      </c>
      <c r="AM29">
        <v>0</v>
      </c>
      <c r="AN29">
        <v>0</v>
      </c>
      <c r="AO29" t="s">
        <v>2181</v>
      </c>
      <c r="AP29" t="s">
        <v>2424</v>
      </c>
      <c r="AR29" t="s">
        <v>2425</v>
      </c>
      <c r="AS29" t="s">
        <v>2426</v>
      </c>
      <c r="AT29" t="s">
        <v>2427</v>
      </c>
      <c r="AU29" t="s">
        <v>2424</v>
      </c>
      <c r="AV29" t="s">
        <v>2428</v>
      </c>
      <c r="AW29" t="s">
        <v>2223</v>
      </c>
      <c r="AX29" t="s">
        <v>2302</v>
      </c>
      <c r="AY29">
        <v>-1558</v>
      </c>
      <c r="AZ29">
        <v>73515</v>
      </c>
      <c r="BB29">
        <v>46006.644328703704</v>
      </c>
      <c r="BC29">
        <v>-2827</v>
      </c>
      <c r="BD29" t="s">
        <v>2189</v>
      </c>
      <c r="BE29" t="s">
        <v>2208</v>
      </c>
    </row>
    <row r="30" spans="1:57">
      <c r="A30" s="4" t="s">
        <v>2429</v>
      </c>
      <c r="B30" s="5" t="s">
        <v>2430</v>
      </c>
      <c r="C30" s="5" t="s">
        <v>2165</v>
      </c>
      <c r="E30" s="5" t="s">
        <v>2166</v>
      </c>
      <c r="F30" s="4" t="s">
        <v>2166</v>
      </c>
      <c r="G30" s="4" t="s">
        <v>2167</v>
      </c>
      <c r="I30">
        <v>46007.333680555559</v>
      </c>
      <c r="J30" t="s">
        <v>2168</v>
      </c>
      <c r="K30" t="s">
        <v>2431</v>
      </c>
      <c r="L30" t="s">
        <v>2432</v>
      </c>
      <c r="M30" t="s">
        <v>2431</v>
      </c>
      <c r="N30" t="s">
        <v>2171</v>
      </c>
      <c r="O30" t="s">
        <v>2172</v>
      </c>
      <c r="P30" t="s">
        <v>2271</v>
      </c>
      <c r="Q30">
        <v>46006.590810185182</v>
      </c>
      <c r="R30" t="s">
        <v>2241</v>
      </c>
      <c r="S30" t="s">
        <v>2242</v>
      </c>
      <c r="T30" t="s">
        <v>2176</v>
      </c>
      <c r="U30" t="s">
        <v>2177</v>
      </c>
      <c r="V30" t="s">
        <v>1400</v>
      </c>
      <c r="X30">
        <v>18</v>
      </c>
      <c r="Y30">
        <v>0</v>
      </c>
      <c r="Z30">
        <v>23000</v>
      </c>
      <c r="AA30">
        <v>91800</v>
      </c>
      <c r="AB30">
        <v>91800</v>
      </c>
      <c r="AC30">
        <v>322200</v>
      </c>
      <c r="AF30">
        <v>46007.99998842593</v>
      </c>
      <c r="AI30" t="s">
        <v>2179</v>
      </c>
      <c r="AJ30" t="s">
        <v>2433</v>
      </c>
      <c r="AK30" t="s">
        <v>2179</v>
      </c>
      <c r="AL30">
        <v>0</v>
      </c>
      <c r="AM30">
        <v>0</v>
      </c>
      <c r="AN30">
        <v>0</v>
      </c>
      <c r="AO30" t="s">
        <v>2181</v>
      </c>
      <c r="AP30" t="s">
        <v>2434</v>
      </c>
      <c r="AR30" t="s">
        <v>2435</v>
      </c>
      <c r="AS30" t="s">
        <v>2436</v>
      </c>
      <c r="AT30" t="s">
        <v>2437</v>
      </c>
      <c r="AU30" t="s">
        <v>2434</v>
      </c>
      <c r="AV30" t="s">
        <v>2438</v>
      </c>
      <c r="AX30" t="s">
        <v>2418</v>
      </c>
      <c r="AY30">
        <v>-6444</v>
      </c>
      <c r="AZ30">
        <v>304061</v>
      </c>
      <c r="BB30">
        <v>46006.588321759264</v>
      </c>
      <c r="BC30">
        <v>-11695</v>
      </c>
      <c r="BD30" t="s">
        <v>2189</v>
      </c>
      <c r="BE30" t="s">
        <v>2439</v>
      </c>
    </row>
    <row r="31" spans="1:57">
      <c r="A31" s="4" t="s">
        <v>2440</v>
      </c>
      <c r="B31" s="5" t="s">
        <v>2441</v>
      </c>
      <c r="C31" s="5" t="s">
        <v>2165</v>
      </c>
      <c r="E31" s="5" t="s">
        <v>2166</v>
      </c>
      <c r="F31" s="4" t="s">
        <v>2166</v>
      </c>
      <c r="G31" s="4" t="s">
        <v>2167</v>
      </c>
      <c r="I31">
        <v>46007.333680555559</v>
      </c>
      <c r="J31" t="s">
        <v>2168</v>
      </c>
      <c r="K31" t="s">
        <v>2442</v>
      </c>
      <c r="L31" t="s">
        <v>2443</v>
      </c>
      <c r="M31" t="s">
        <v>2442</v>
      </c>
      <c r="N31" t="s">
        <v>2171</v>
      </c>
      <c r="O31" t="s">
        <v>2172</v>
      </c>
      <c r="P31" t="s">
        <v>2173</v>
      </c>
      <c r="Q31">
        <v>46006.537893518514</v>
      </c>
      <c r="R31" t="s">
        <v>2174</v>
      </c>
      <c r="S31" t="s">
        <v>2175</v>
      </c>
      <c r="T31" t="s">
        <v>2176</v>
      </c>
      <c r="U31" t="s">
        <v>2177</v>
      </c>
      <c r="V31" t="s">
        <v>1412</v>
      </c>
      <c r="X31">
        <v>1</v>
      </c>
      <c r="Y31">
        <v>134900</v>
      </c>
      <c r="Z31">
        <v>19800</v>
      </c>
      <c r="AA31">
        <v>9100</v>
      </c>
      <c r="AB31">
        <v>9100</v>
      </c>
      <c r="AC31">
        <v>145600</v>
      </c>
      <c r="AD31" t="s">
        <v>2178</v>
      </c>
      <c r="AF31">
        <v>46007.99998842593</v>
      </c>
      <c r="AI31" t="s">
        <v>2179</v>
      </c>
      <c r="AJ31" t="s">
        <v>2444</v>
      </c>
      <c r="AK31" t="s">
        <v>2179</v>
      </c>
      <c r="AL31">
        <v>0</v>
      </c>
      <c r="AM31">
        <v>0</v>
      </c>
      <c r="AN31">
        <v>0</v>
      </c>
      <c r="AO31" t="s">
        <v>2181</v>
      </c>
      <c r="AP31" t="s">
        <v>2445</v>
      </c>
      <c r="AR31" t="s">
        <v>2446</v>
      </c>
      <c r="AS31" t="s">
        <v>2447</v>
      </c>
      <c r="AT31" t="s">
        <v>2448</v>
      </c>
      <c r="AU31" t="s">
        <v>2445</v>
      </c>
      <c r="AV31" t="s">
        <v>2449</v>
      </c>
      <c r="AX31" t="s">
        <v>2188</v>
      </c>
      <c r="AY31">
        <v>-5824</v>
      </c>
      <c r="AZ31">
        <v>134491</v>
      </c>
      <c r="BB31">
        <v>46006.537835648152</v>
      </c>
      <c r="BC31">
        <v>-5285</v>
      </c>
      <c r="BD31" t="s">
        <v>2189</v>
      </c>
      <c r="BE31" t="s">
        <v>2369</v>
      </c>
    </row>
    <row r="32" spans="1:57">
      <c r="A32" s="4" t="s">
        <v>2450</v>
      </c>
      <c r="B32" s="5" t="s">
        <v>2441</v>
      </c>
      <c r="C32" s="5" t="s">
        <v>2165</v>
      </c>
      <c r="E32" s="5" t="s">
        <v>2166</v>
      </c>
      <c r="F32" s="4" t="s">
        <v>2166</v>
      </c>
      <c r="G32" s="4" t="s">
        <v>2167</v>
      </c>
      <c r="I32">
        <v>46007.333680555559</v>
      </c>
      <c r="J32" t="s">
        <v>2168</v>
      </c>
      <c r="K32" t="s">
        <v>2442</v>
      </c>
      <c r="L32" t="s">
        <v>2443</v>
      </c>
      <c r="M32" t="s">
        <v>2442</v>
      </c>
      <c r="N32" t="s">
        <v>2171</v>
      </c>
      <c r="O32" t="s">
        <v>2172</v>
      </c>
      <c r="P32" t="s">
        <v>2173</v>
      </c>
      <c r="Q32">
        <v>46006.537893518514</v>
      </c>
      <c r="R32" t="s">
        <v>2174</v>
      </c>
      <c r="S32" t="s">
        <v>2175</v>
      </c>
      <c r="T32" t="s">
        <v>2176</v>
      </c>
      <c r="U32" t="s">
        <v>2177</v>
      </c>
      <c r="V32" t="s">
        <v>1413</v>
      </c>
      <c r="X32">
        <v>1</v>
      </c>
      <c r="Y32">
        <v>80300</v>
      </c>
      <c r="Z32">
        <v>19800</v>
      </c>
      <c r="AA32">
        <v>10100</v>
      </c>
      <c r="AB32">
        <v>10100</v>
      </c>
      <c r="AC32">
        <v>90000</v>
      </c>
      <c r="AD32" t="s">
        <v>2178</v>
      </c>
      <c r="AF32">
        <v>46007.99998842593</v>
      </c>
      <c r="AI32" t="s">
        <v>2179</v>
      </c>
      <c r="AJ32" t="s">
        <v>2444</v>
      </c>
      <c r="AK32" t="s">
        <v>2179</v>
      </c>
      <c r="AL32">
        <v>0</v>
      </c>
      <c r="AM32">
        <v>0</v>
      </c>
      <c r="AN32">
        <v>0</v>
      </c>
      <c r="AO32" t="s">
        <v>2181</v>
      </c>
      <c r="AP32" t="s">
        <v>2445</v>
      </c>
      <c r="AR32" t="s">
        <v>2446</v>
      </c>
      <c r="AS32" t="s">
        <v>2447</v>
      </c>
      <c r="AT32" t="s">
        <v>2448</v>
      </c>
      <c r="AU32" t="s">
        <v>2445</v>
      </c>
      <c r="AV32" t="s">
        <v>2449</v>
      </c>
      <c r="AX32" t="s">
        <v>2188</v>
      </c>
      <c r="AY32">
        <v>-3600</v>
      </c>
      <c r="AZ32">
        <v>83133</v>
      </c>
      <c r="BB32">
        <v>46006.537835648152</v>
      </c>
      <c r="BC32">
        <v>-3267</v>
      </c>
      <c r="BD32" t="s">
        <v>2189</v>
      </c>
      <c r="BE32" t="s">
        <v>2369</v>
      </c>
    </row>
    <row r="33" spans="1:57">
      <c r="A33" s="4" t="s">
        <v>2451</v>
      </c>
      <c r="B33" s="5" t="s">
        <v>2441</v>
      </c>
      <c r="C33" s="5" t="s">
        <v>2165</v>
      </c>
      <c r="E33" s="5" t="s">
        <v>2166</v>
      </c>
      <c r="F33" s="4" t="s">
        <v>2166</v>
      </c>
      <c r="G33" s="4" t="s">
        <v>2167</v>
      </c>
      <c r="I33">
        <v>46007.333680555559</v>
      </c>
      <c r="J33" t="s">
        <v>2168</v>
      </c>
      <c r="K33" t="s">
        <v>2442</v>
      </c>
      <c r="L33" t="s">
        <v>2443</v>
      </c>
      <c r="M33" t="s">
        <v>2442</v>
      </c>
      <c r="N33" t="s">
        <v>2171</v>
      </c>
      <c r="O33" t="s">
        <v>2172</v>
      </c>
      <c r="P33" t="s">
        <v>2173</v>
      </c>
      <c r="Q33">
        <v>46006.537893518514</v>
      </c>
      <c r="R33" t="s">
        <v>2174</v>
      </c>
      <c r="S33" t="s">
        <v>2175</v>
      </c>
      <c r="T33" t="s">
        <v>2176</v>
      </c>
      <c r="U33" t="s">
        <v>2177</v>
      </c>
      <c r="V33" t="s">
        <v>1414</v>
      </c>
      <c r="X33">
        <v>1</v>
      </c>
      <c r="Y33">
        <v>234100</v>
      </c>
      <c r="Z33">
        <v>19800</v>
      </c>
      <c r="AA33">
        <v>9100</v>
      </c>
      <c r="AB33">
        <v>9100</v>
      </c>
      <c r="AC33">
        <v>244800</v>
      </c>
      <c r="AD33" t="s">
        <v>2178</v>
      </c>
      <c r="AF33">
        <v>46007.99998842593</v>
      </c>
      <c r="AI33" t="s">
        <v>2179</v>
      </c>
      <c r="AJ33" t="s">
        <v>2444</v>
      </c>
      <c r="AK33" t="s">
        <v>2179</v>
      </c>
      <c r="AL33">
        <v>0</v>
      </c>
      <c r="AM33">
        <v>0</v>
      </c>
      <c r="AN33">
        <v>0</v>
      </c>
      <c r="AO33" t="s">
        <v>2181</v>
      </c>
      <c r="AP33" t="s">
        <v>2445</v>
      </c>
      <c r="AR33" t="s">
        <v>2446</v>
      </c>
      <c r="AS33" t="s">
        <v>2447</v>
      </c>
      <c r="AT33" t="s">
        <v>2448</v>
      </c>
      <c r="AU33" t="s">
        <v>2445</v>
      </c>
      <c r="AV33" t="s">
        <v>2449</v>
      </c>
      <c r="AX33" t="s">
        <v>2188</v>
      </c>
      <c r="AY33">
        <v>-9792</v>
      </c>
      <c r="AZ33">
        <v>226122</v>
      </c>
      <c r="BB33">
        <v>46006.537835648152</v>
      </c>
      <c r="BC33">
        <v>-8886</v>
      </c>
      <c r="BD33" t="s">
        <v>2189</v>
      </c>
      <c r="BE33" t="s">
        <v>2369</v>
      </c>
    </row>
    <row r="34" spans="1:57">
      <c r="A34" s="4" t="s">
        <v>2452</v>
      </c>
      <c r="B34" s="5" t="s">
        <v>2453</v>
      </c>
      <c r="C34" s="5" t="s">
        <v>2165</v>
      </c>
      <c r="E34" s="5" t="s">
        <v>2166</v>
      </c>
      <c r="F34" s="4" t="s">
        <v>2166</v>
      </c>
      <c r="G34" s="4" t="s">
        <v>2167</v>
      </c>
      <c r="I34">
        <v>46007.333680555559</v>
      </c>
      <c r="J34" t="s">
        <v>2168</v>
      </c>
      <c r="K34" t="s">
        <v>2454</v>
      </c>
      <c r="L34" t="s">
        <v>2455</v>
      </c>
      <c r="M34" t="s">
        <v>2454</v>
      </c>
      <c r="N34" t="s">
        <v>2171</v>
      </c>
      <c r="O34" t="s">
        <v>2172</v>
      </c>
      <c r="P34" t="s">
        <v>2173</v>
      </c>
      <c r="Q34">
        <v>46006.531747685185</v>
      </c>
      <c r="R34" t="s">
        <v>2241</v>
      </c>
      <c r="S34" t="s">
        <v>2242</v>
      </c>
      <c r="T34" t="s">
        <v>2176</v>
      </c>
      <c r="U34" t="s">
        <v>2177</v>
      </c>
      <c r="V34" t="s">
        <v>1398</v>
      </c>
      <c r="X34">
        <v>3</v>
      </c>
      <c r="Y34">
        <v>0</v>
      </c>
      <c r="Z34">
        <v>23000</v>
      </c>
      <c r="AA34">
        <v>16300</v>
      </c>
      <c r="AB34">
        <v>16300</v>
      </c>
      <c r="AC34">
        <v>52700</v>
      </c>
      <c r="AF34">
        <v>46007.99998842593</v>
      </c>
      <c r="AI34" t="s">
        <v>2179</v>
      </c>
      <c r="AJ34" t="s">
        <v>2456</v>
      </c>
      <c r="AK34" t="s">
        <v>2179</v>
      </c>
      <c r="AL34">
        <v>0</v>
      </c>
      <c r="AM34">
        <v>0</v>
      </c>
      <c r="AN34">
        <v>0</v>
      </c>
      <c r="AO34" t="s">
        <v>2181</v>
      </c>
      <c r="AP34" t="s">
        <v>2457</v>
      </c>
      <c r="AR34" t="s">
        <v>2458</v>
      </c>
      <c r="AS34" t="s">
        <v>2459</v>
      </c>
      <c r="AT34" t="s">
        <v>2460</v>
      </c>
      <c r="AU34" t="s">
        <v>2457</v>
      </c>
      <c r="AV34" t="s">
        <v>2461</v>
      </c>
      <c r="AX34" t="s">
        <v>2302</v>
      </c>
      <c r="AY34">
        <v>-2108</v>
      </c>
      <c r="AZ34">
        <v>48679</v>
      </c>
      <c r="BB34">
        <v>46006.531689814816</v>
      </c>
      <c r="BC34">
        <v>-1913</v>
      </c>
      <c r="BD34" t="s">
        <v>2189</v>
      </c>
      <c r="BE34" t="s">
        <v>2404</v>
      </c>
    </row>
    <row r="35" spans="1:57">
      <c r="A35" s="4" t="s">
        <v>2462</v>
      </c>
      <c r="B35" s="5" t="s">
        <v>2463</v>
      </c>
      <c r="C35" s="5" t="s">
        <v>2165</v>
      </c>
      <c r="E35" s="5" t="s">
        <v>2166</v>
      </c>
      <c r="F35" s="4" t="s">
        <v>2166</v>
      </c>
      <c r="G35" s="4" t="s">
        <v>2167</v>
      </c>
      <c r="I35">
        <v>46007.333680555559</v>
      </c>
      <c r="J35" t="s">
        <v>2168</v>
      </c>
      <c r="K35" t="s">
        <v>2464</v>
      </c>
      <c r="L35" t="s">
        <v>2465</v>
      </c>
      <c r="M35" t="s">
        <v>2464</v>
      </c>
      <c r="N35" t="s">
        <v>2171</v>
      </c>
      <c r="O35" t="s">
        <v>2172</v>
      </c>
      <c r="P35" t="s">
        <v>2173</v>
      </c>
      <c r="Q35">
        <v>46006.503576388888</v>
      </c>
      <c r="R35" t="s">
        <v>2174</v>
      </c>
      <c r="S35" t="s">
        <v>2254</v>
      </c>
      <c r="T35" t="s">
        <v>2255</v>
      </c>
      <c r="U35" t="s">
        <v>2177</v>
      </c>
      <c r="V35" t="s">
        <v>57</v>
      </c>
      <c r="W35" t="s">
        <v>2181</v>
      </c>
      <c r="X35">
        <v>1</v>
      </c>
      <c r="Y35">
        <v>0</v>
      </c>
      <c r="Z35">
        <v>7900</v>
      </c>
      <c r="AA35">
        <v>0</v>
      </c>
      <c r="AB35">
        <v>0</v>
      </c>
      <c r="AC35">
        <v>7900</v>
      </c>
      <c r="AD35" t="s">
        <v>2178</v>
      </c>
      <c r="AF35">
        <v>46007.99998842593</v>
      </c>
      <c r="AI35" t="s">
        <v>2179</v>
      </c>
      <c r="AJ35" t="s">
        <v>2466</v>
      </c>
      <c r="AK35" t="s">
        <v>2179</v>
      </c>
      <c r="AL35">
        <v>0</v>
      </c>
      <c r="AM35">
        <v>0</v>
      </c>
      <c r="AN35">
        <v>0</v>
      </c>
      <c r="AO35" t="s">
        <v>2181</v>
      </c>
      <c r="AP35" t="s">
        <v>2467</v>
      </c>
      <c r="AR35" t="s">
        <v>2468</v>
      </c>
      <c r="AS35" t="s">
        <v>2469</v>
      </c>
      <c r="AT35" t="s">
        <v>2470</v>
      </c>
      <c r="AU35" t="s">
        <v>2467</v>
      </c>
      <c r="AV35" t="s">
        <v>2471</v>
      </c>
      <c r="AW35" t="s">
        <v>2472</v>
      </c>
      <c r="AX35" t="s">
        <v>2188</v>
      </c>
      <c r="AY35">
        <v>-158</v>
      </c>
      <c r="AZ35">
        <v>7457</v>
      </c>
      <c r="BB35">
        <v>46006.503506944442</v>
      </c>
      <c r="BC35">
        <v>-285</v>
      </c>
      <c r="BD35" t="s">
        <v>2189</v>
      </c>
      <c r="BE35" t="s">
        <v>2473</v>
      </c>
    </row>
    <row r="36" spans="1:57">
      <c r="A36" s="4" t="s">
        <v>2474</v>
      </c>
      <c r="B36" s="5" t="s">
        <v>2463</v>
      </c>
      <c r="C36" s="5" t="s">
        <v>2165</v>
      </c>
      <c r="E36" s="5" t="s">
        <v>2166</v>
      </c>
      <c r="F36" s="4" t="s">
        <v>2166</v>
      </c>
      <c r="G36" s="4" t="s">
        <v>2167</v>
      </c>
      <c r="I36">
        <v>46007.333680555559</v>
      </c>
      <c r="J36" t="s">
        <v>2168</v>
      </c>
      <c r="K36" t="s">
        <v>2464</v>
      </c>
      <c r="L36" t="s">
        <v>2465</v>
      </c>
      <c r="M36" t="s">
        <v>2464</v>
      </c>
      <c r="N36" t="s">
        <v>2171</v>
      </c>
      <c r="O36" t="s">
        <v>2172</v>
      </c>
      <c r="P36" t="s">
        <v>2173</v>
      </c>
      <c r="Q36">
        <v>46006.503576388888</v>
      </c>
      <c r="R36" t="s">
        <v>2174</v>
      </c>
      <c r="S36" t="s">
        <v>2175</v>
      </c>
      <c r="T36" t="s">
        <v>2176</v>
      </c>
      <c r="U36" t="s">
        <v>2177</v>
      </c>
      <c r="V36" t="s">
        <v>1415</v>
      </c>
      <c r="X36">
        <v>1</v>
      </c>
      <c r="Y36">
        <v>93800</v>
      </c>
      <c r="Z36">
        <v>19800</v>
      </c>
      <c r="AA36">
        <v>19550</v>
      </c>
      <c r="AB36">
        <v>19550</v>
      </c>
      <c r="AC36">
        <v>94050</v>
      </c>
      <c r="AD36" t="s">
        <v>2178</v>
      </c>
      <c r="AF36">
        <v>46007.99998842593</v>
      </c>
      <c r="AI36" t="s">
        <v>2179</v>
      </c>
      <c r="AJ36" t="s">
        <v>2466</v>
      </c>
      <c r="AK36" t="s">
        <v>2179</v>
      </c>
      <c r="AL36">
        <v>0</v>
      </c>
      <c r="AM36">
        <v>0</v>
      </c>
      <c r="AN36">
        <v>0</v>
      </c>
      <c r="AO36" t="s">
        <v>2181</v>
      </c>
      <c r="AP36" t="s">
        <v>2467</v>
      </c>
      <c r="AR36" t="s">
        <v>2468</v>
      </c>
      <c r="AS36" t="s">
        <v>2469</v>
      </c>
      <c r="AT36" t="s">
        <v>2470</v>
      </c>
      <c r="AU36" t="s">
        <v>2467</v>
      </c>
      <c r="AV36" t="s">
        <v>2471</v>
      </c>
      <c r="AW36" t="s">
        <v>2472</v>
      </c>
      <c r="AX36" t="s">
        <v>2188</v>
      </c>
      <c r="AY36">
        <v>-1881</v>
      </c>
      <c r="AZ36">
        <v>88756</v>
      </c>
      <c r="BB36">
        <v>46006.503506944442</v>
      </c>
      <c r="BC36">
        <v>-3413</v>
      </c>
      <c r="BD36" t="s">
        <v>2189</v>
      </c>
      <c r="BE36" t="s">
        <v>2473</v>
      </c>
    </row>
    <row r="37" spans="1:57">
      <c r="A37" s="4" t="s">
        <v>2475</v>
      </c>
      <c r="B37" s="5" t="s">
        <v>2463</v>
      </c>
      <c r="C37" s="5" t="s">
        <v>2165</v>
      </c>
      <c r="E37" s="5" t="s">
        <v>2166</v>
      </c>
      <c r="F37" s="4" t="s">
        <v>2166</v>
      </c>
      <c r="G37" s="4" t="s">
        <v>2167</v>
      </c>
      <c r="I37">
        <v>46007.333680555559</v>
      </c>
      <c r="J37" t="s">
        <v>2168</v>
      </c>
      <c r="K37" t="s">
        <v>2464</v>
      </c>
      <c r="L37" t="s">
        <v>2465</v>
      </c>
      <c r="M37" t="s">
        <v>2464</v>
      </c>
      <c r="N37" t="s">
        <v>2171</v>
      </c>
      <c r="O37" t="s">
        <v>2172</v>
      </c>
      <c r="P37" t="s">
        <v>2173</v>
      </c>
      <c r="Q37">
        <v>46006.503576388888</v>
      </c>
      <c r="R37" t="s">
        <v>2174</v>
      </c>
      <c r="S37" t="s">
        <v>2175</v>
      </c>
      <c r="T37" t="s">
        <v>2176</v>
      </c>
      <c r="U37" t="s">
        <v>2177</v>
      </c>
      <c r="V37" t="s">
        <v>1416</v>
      </c>
      <c r="X37">
        <v>1</v>
      </c>
      <c r="Y37">
        <v>84800</v>
      </c>
      <c r="Z37">
        <v>19800</v>
      </c>
      <c r="AA37">
        <v>10100</v>
      </c>
      <c r="AB37">
        <v>10100</v>
      </c>
      <c r="AC37">
        <v>94500</v>
      </c>
      <c r="AD37" t="s">
        <v>2178</v>
      </c>
      <c r="AF37">
        <v>46007.99998842593</v>
      </c>
      <c r="AI37" t="s">
        <v>2179</v>
      </c>
      <c r="AJ37" t="s">
        <v>2466</v>
      </c>
      <c r="AK37" t="s">
        <v>2179</v>
      </c>
      <c r="AL37">
        <v>0</v>
      </c>
      <c r="AM37">
        <v>0</v>
      </c>
      <c r="AN37">
        <v>0</v>
      </c>
      <c r="AO37" t="s">
        <v>2181</v>
      </c>
      <c r="AP37" t="s">
        <v>2467</v>
      </c>
      <c r="AR37" t="s">
        <v>2468</v>
      </c>
      <c r="AS37" t="s">
        <v>2469</v>
      </c>
      <c r="AT37" t="s">
        <v>2470</v>
      </c>
      <c r="AU37" t="s">
        <v>2467</v>
      </c>
      <c r="AV37" t="s">
        <v>2471</v>
      </c>
      <c r="AW37" t="s">
        <v>2472</v>
      </c>
      <c r="AX37" t="s">
        <v>2188</v>
      </c>
      <c r="AY37">
        <v>-1890</v>
      </c>
      <c r="AZ37">
        <v>89181</v>
      </c>
      <c r="BB37">
        <v>46006.503506944442</v>
      </c>
      <c r="BC37">
        <v>-3429</v>
      </c>
      <c r="BD37" t="s">
        <v>2189</v>
      </c>
      <c r="BE37" t="s">
        <v>2473</v>
      </c>
    </row>
    <row r="38" spans="1:57">
      <c r="A38" s="4" t="s">
        <v>2476</v>
      </c>
      <c r="B38" s="5" t="s">
        <v>2477</v>
      </c>
      <c r="C38" s="5" t="s">
        <v>2165</v>
      </c>
      <c r="E38" s="5" t="s">
        <v>2166</v>
      </c>
      <c r="F38" s="4" t="s">
        <v>2166</v>
      </c>
      <c r="G38" s="4" t="s">
        <v>2167</v>
      </c>
      <c r="I38">
        <v>46007.333680555559</v>
      </c>
      <c r="J38" t="s">
        <v>2168</v>
      </c>
      <c r="K38" t="s">
        <v>2478</v>
      </c>
      <c r="L38" t="s">
        <v>2479</v>
      </c>
      <c r="M38" t="s">
        <v>2478</v>
      </c>
      <c r="N38" t="s">
        <v>2171</v>
      </c>
      <c r="O38" t="s">
        <v>2172</v>
      </c>
      <c r="P38" t="s">
        <v>2271</v>
      </c>
      <c r="Q38">
        <v>46006.450173611112</v>
      </c>
      <c r="R38" t="s">
        <v>2241</v>
      </c>
      <c r="S38" t="s">
        <v>2242</v>
      </c>
      <c r="T38" t="s">
        <v>2176</v>
      </c>
      <c r="U38" t="s">
        <v>2177</v>
      </c>
      <c r="V38" t="s">
        <v>1411</v>
      </c>
      <c r="X38">
        <v>10</v>
      </c>
      <c r="Y38">
        <v>4900</v>
      </c>
      <c r="Z38">
        <v>23000</v>
      </c>
      <c r="AA38">
        <v>51000</v>
      </c>
      <c r="AB38">
        <v>51000</v>
      </c>
      <c r="AC38">
        <v>228000</v>
      </c>
      <c r="AF38">
        <v>46007.99998842593</v>
      </c>
      <c r="AI38" t="s">
        <v>2179</v>
      </c>
      <c r="AJ38" t="s">
        <v>2480</v>
      </c>
      <c r="AK38" t="s">
        <v>2179</v>
      </c>
      <c r="AL38">
        <v>0</v>
      </c>
      <c r="AM38">
        <v>0</v>
      </c>
      <c r="AN38">
        <v>0</v>
      </c>
      <c r="AO38" t="s">
        <v>2181</v>
      </c>
      <c r="AP38" t="s">
        <v>2481</v>
      </c>
      <c r="AR38" t="s">
        <v>2482</v>
      </c>
      <c r="AS38" t="s">
        <v>2483</v>
      </c>
      <c r="AT38" t="s">
        <v>2484</v>
      </c>
      <c r="AU38" t="s">
        <v>2481</v>
      </c>
      <c r="AV38" t="s">
        <v>2485</v>
      </c>
      <c r="AX38" t="s">
        <v>2207</v>
      </c>
      <c r="AY38">
        <v>-4560</v>
      </c>
      <c r="AZ38">
        <v>215164</v>
      </c>
      <c r="BB38">
        <v>46006.449641203704</v>
      </c>
      <c r="BC38">
        <v>-8276</v>
      </c>
      <c r="BD38" t="s">
        <v>2189</v>
      </c>
      <c r="BE38" t="s">
        <v>2208</v>
      </c>
    </row>
    <row r="39" spans="1:57">
      <c r="A39" s="4" t="s">
        <v>2486</v>
      </c>
      <c r="B39" s="5" t="s">
        <v>2477</v>
      </c>
      <c r="C39" s="5" t="s">
        <v>2165</v>
      </c>
      <c r="E39" s="5" t="s">
        <v>2166</v>
      </c>
      <c r="F39" s="4" t="s">
        <v>2166</v>
      </c>
      <c r="G39" s="4" t="s">
        <v>2167</v>
      </c>
      <c r="I39">
        <v>46007.333680555559</v>
      </c>
      <c r="J39" t="s">
        <v>2168</v>
      </c>
      <c r="K39" t="s">
        <v>2478</v>
      </c>
      <c r="L39" t="s">
        <v>2479</v>
      </c>
      <c r="M39" t="s">
        <v>2478</v>
      </c>
      <c r="N39" t="s">
        <v>2171</v>
      </c>
      <c r="O39" t="s">
        <v>2172</v>
      </c>
      <c r="P39" t="s">
        <v>2271</v>
      </c>
      <c r="Q39">
        <v>46006.450173611112</v>
      </c>
      <c r="R39" t="s">
        <v>2241</v>
      </c>
      <c r="S39" t="s">
        <v>2242</v>
      </c>
      <c r="T39" t="s">
        <v>2176</v>
      </c>
      <c r="U39" t="s">
        <v>2177</v>
      </c>
      <c r="V39" t="s">
        <v>1410</v>
      </c>
      <c r="X39">
        <v>20</v>
      </c>
      <c r="Y39">
        <v>4900</v>
      </c>
      <c r="Z39">
        <v>23000</v>
      </c>
      <c r="AA39">
        <v>102000</v>
      </c>
      <c r="AB39">
        <v>102000</v>
      </c>
      <c r="AC39">
        <v>456000</v>
      </c>
      <c r="AF39">
        <v>46007.99998842593</v>
      </c>
      <c r="AI39" t="s">
        <v>2179</v>
      </c>
      <c r="AJ39" t="s">
        <v>2480</v>
      </c>
      <c r="AK39" t="s">
        <v>2179</v>
      </c>
      <c r="AL39">
        <v>0</v>
      </c>
      <c r="AM39">
        <v>0</v>
      </c>
      <c r="AN39">
        <v>0</v>
      </c>
      <c r="AO39" t="s">
        <v>2181</v>
      </c>
      <c r="AP39" t="s">
        <v>2481</v>
      </c>
      <c r="AR39" t="s">
        <v>2482</v>
      </c>
      <c r="AS39" t="s">
        <v>2483</v>
      </c>
      <c r="AT39" t="s">
        <v>2484</v>
      </c>
      <c r="AU39" t="s">
        <v>2481</v>
      </c>
      <c r="AV39" t="s">
        <v>2485</v>
      </c>
      <c r="AX39" t="s">
        <v>2207</v>
      </c>
      <c r="AY39">
        <v>-9120</v>
      </c>
      <c r="AZ39">
        <v>430328</v>
      </c>
      <c r="BB39">
        <v>46006.449641203704</v>
      </c>
      <c r="BC39">
        <v>-16552</v>
      </c>
      <c r="BD39" t="s">
        <v>2189</v>
      </c>
      <c r="BE39" t="s">
        <v>2208</v>
      </c>
    </row>
    <row r="40" spans="1:57">
      <c r="A40" s="4" t="s">
        <v>2487</v>
      </c>
      <c r="B40" s="5" t="s">
        <v>2488</v>
      </c>
      <c r="C40" s="5" t="s">
        <v>2165</v>
      </c>
      <c r="E40" s="5" t="s">
        <v>2166</v>
      </c>
      <c r="F40" s="4" t="s">
        <v>2166</v>
      </c>
      <c r="G40" s="4" t="s">
        <v>2167</v>
      </c>
      <c r="I40">
        <v>46007.333680555559</v>
      </c>
      <c r="J40" t="s">
        <v>2168</v>
      </c>
      <c r="K40" t="s">
        <v>2489</v>
      </c>
      <c r="L40" t="s">
        <v>2490</v>
      </c>
      <c r="M40" t="s">
        <v>2489</v>
      </c>
      <c r="N40" t="s">
        <v>2171</v>
      </c>
      <c r="O40" t="s">
        <v>2172</v>
      </c>
      <c r="P40" t="s">
        <v>2173</v>
      </c>
      <c r="Q40">
        <v>46006.44253472222</v>
      </c>
      <c r="R40" t="s">
        <v>2174</v>
      </c>
      <c r="S40" t="s">
        <v>2175</v>
      </c>
      <c r="T40" t="s">
        <v>2176</v>
      </c>
      <c r="U40" t="s">
        <v>2177</v>
      </c>
      <c r="V40" t="s">
        <v>1417</v>
      </c>
      <c r="X40">
        <v>2</v>
      </c>
      <c r="Y40">
        <v>142300</v>
      </c>
      <c r="Z40">
        <v>19800</v>
      </c>
      <c r="AA40">
        <v>18200</v>
      </c>
      <c r="AB40">
        <v>18200</v>
      </c>
      <c r="AC40">
        <v>306000</v>
      </c>
      <c r="AD40" t="s">
        <v>2178</v>
      </c>
      <c r="AF40">
        <v>46007.99998842593</v>
      </c>
      <c r="AI40" t="s">
        <v>2179</v>
      </c>
      <c r="AJ40" t="s">
        <v>2491</v>
      </c>
      <c r="AK40" t="s">
        <v>2179</v>
      </c>
      <c r="AL40">
        <v>0</v>
      </c>
      <c r="AM40">
        <v>0</v>
      </c>
      <c r="AN40">
        <v>0</v>
      </c>
      <c r="AO40" t="s">
        <v>2181</v>
      </c>
      <c r="AP40" t="s">
        <v>2492</v>
      </c>
      <c r="AR40" t="s">
        <v>2493</v>
      </c>
      <c r="AS40" t="s">
        <v>2494</v>
      </c>
      <c r="AT40" t="s">
        <v>2495</v>
      </c>
      <c r="AU40" t="s">
        <v>2492</v>
      </c>
      <c r="AV40" t="s">
        <v>2496</v>
      </c>
      <c r="AX40" t="s">
        <v>2207</v>
      </c>
      <c r="AY40">
        <v>-12240</v>
      </c>
      <c r="AZ40">
        <v>282653</v>
      </c>
      <c r="BB40">
        <v>46006.44222222222</v>
      </c>
      <c r="BC40">
        <v>-11107</v>
      </c>
      <c r="BD40" t="s">
        <v>2189</v>
      </c>
      <c r="BE40" t="s">
        <v>2497</v>
      </c>
    </row>
    <row r="41" spans="1:57">
      <c r="A41" s="4" t="s">
        <v>2498</v>
      </c>
      <c r="B41" s="5" t="s">
        <v>2499</v>
      </c>
      <c r="C41" s="5" t="s">
        <v>2165</v>
      </c>
      <c r="E41" s="5" t="s">
        <v>2166</v>
      </c>
      <c r="F41" s="4" t="s">
        <v>2166</v>
      </c>
      <c r="G41" s="4" t="s">
        <v>2167</v>
      </c>
      <c r="I41">
        <v>46007.333680555559</v>
      </c>
      <c r="J41" t="s">
        <v>2168</v>
      </c>
      <c r="K41" t="s">
        <v>2500</v>
      </c>
      <c r="L41" t="s">
        <v>2501</v>
      </c>
      <c r="M41" t="s">
        <v>2500</v>
      </c>
      <c r="N41" t="s">
        <v>2171</v>
      </c>
      <c r="O41" t="s">
        <v>2172</v>
      </c>
      <c r="P41" t="s">
        <v>2173</v>
      </c>
      <c r="Q41">
        <v>46006.44158564815</v>
      </c>
      <c r="R41" t="s">
        <v>2241</v>
      </c>
      <c r="S41" t="s">
        <v>2242</v>
      </c>
      <c r="T41" t="s">
        <v>2176</v>
      </c>
      <c r="U41" t="s">
        <v>2177</v>
      </c>
      <c r="V41" t="s">
        <v>1400</v>
      </c>
      <c r="X41">
        <v>2</v>
      </c>
      <c r="Y41">
        <v>0</v>
      </c>
      <c r="Z41">
        <v>23000</v>
      </c>
      <c r="AA41">
        <v>11280</v>
      </c>
      <c r="AB41">
        <v>11280</v>
      </c>
      <c r="AC41">
        <v>34720</v>
      </c>
      <c r="AF41">
        <v>46007.99998842593</v>
      </c>
      <c r="AI41" t="s">
        <v>2179</v>
      </c>
      <c r="AJ41" t="s">
        <v>2502</v>
      </c>
      <c r="AK41" t="s">
        <v>2179</v>
      </c>
      <c r="AL41">
        <v>0</v>
      </c>
      <c r="AM41">
        <v>0</v>
      </c>
      <c r="AN41">
        <v>0</v>
      </c>
      <c r="AO41" t="s">
        <v>2181</v>
      </c>
      <c r="AP41" t="s">
        <v>2503</v>
      </c>
      <c r="AR41" t="s">
        <v>2504</v>
      </c>
      <c r="AS41" t="s">
        <v>2505</v>
      </c>
      <c r="AT41" t="s">
        <v>2506</v>
      </c>
      <c r="AU41" t="s">
        <v>2503</v>
      </c>
      <c r="AV41" t="s">
        <v>2507</v>
      </c>
      <c r="AX41" t="s">
        <v>2188</v>
      </c>
      <c r="AY41">
        <v>-1388</v>
      </c>
      <c r="AZ41">
        <v>32072</v>
      </c>
      <c r="BB41">
        <v>46006.441516203704</v>
      </c>
      <c r="BC41">
        <v>-1260</v>
      </c>
      <c r="BD41" t="s">
        <v>2189</v>
      </c>
      <c r="BE41" t="s">
        <v>2224</v>
      </c>
    </row>
    <row r="42" spans="1:57">
      <c r="A42" s="4" t="s">
        <v>2508</v>
      </c>
      <c r="B42" s="5" t="s">
        <v>2499</v>
      </c>
      <c r="C42" s="5" t="s">
        <v>2165</v>
      </c>
      <c r="E42" s="5" t="s">
        <v>2166</v>
      </c>
      <c r="F42" s="4" t="s">
        <v>2166</v>
      </c>
      <c r="G42" s="4" t="s">
        <v>2167</v>
      </c>
      <c r="I42">
        <v>46007.333680555559</v>
      </c>
      <c r="J42" t="s">
        <v>2168</v>
      </c>
      <c r="K42" t="s">
        <v>2500</v>
      </c>
      <c r="L42" t="s">
        <v>2501</v>
      </c>
      <c r="M42" t="s">
        <v>2500</v>
      </c>
      <c r="N42" t="s">
        <v>2171</v>
      </c>
      <c r="O42" t="s">
        <v>2172</v>
      </c>
      <c r="P42" t="s">
        <v>2173</v>
      </c>
      <c r="Q42">
        <v>46006.44158564815</v>
      </c>
      <c r="R42" t="s">
        <v>2241</v>
      </c>
      <c r="S42" t="s">
        <v>2242</v>
      </c>
      <c r="T42" t="s">
        <v>2176</v>
      </c>
      <c r="U42" t="s">
        <v>2177</v>
      </c>
      <c r="V42" t="s">
        <v>1401</v>
      </c>
      <c r="X42">
        <v>1</v>
      </c>
      <c r="Y42">
        <v>0</v>
      </c>
      <c r="Z42">
        <v>23000</v>
      </c>
      <c r="AA42">
        <v>6100</v>
      </c>
      <c r="AB42">
        <v>6100</v>
      </c>
      <c r="AC42">
        <v>16900</v>
      </c>
      <c r="AF42">
        <v>46007.99998842593</v>
      </c>
      <c r="AI42" t="s">
        <v>2179</v>
      </c>
      <c r="AJ42" t="s">
        <v>2502</v>
      </c>
      <c r="AK42" t="s">
        <v>2179</v>
      </c>
      <c r="AL42">
        <v>0</v>
      </c>
      <c r="AM42">
        <v>0</v>
      </c>
      <c r="AN42">
        <v>0</v>
      </c>
      <c r="AO42" t="s">
        <v>2181</v>
      </c>
      <c r="AP42" t="s">
        <v>2503</v>
      </c>
      <c r="AR42" t="s">
        <v>2504</v>
      </c>
      <c r="AS42" t="s">
        <v>2505</v>
      </c>
      <c r="AT42" t="s">
        <v>2506</v>
      </c>
      <c r="AU42" t="s">
        <v>2503</v>
      </c>
      <c r="AV42" t="s">
        <v>2507</v>
      </c>
      <c r="AX42" t="s">
        <v>2188</v>
      </c>
      <c r="AY42">
        <v>-676</v>
      </c>
      <c r="AZ42">
        <v>15611</v>
      </c>
      <c r="BB42">
        <v>46006.441516203704</v>
      </c>
      <c r="BC42">
        <v>-613</v>
      </c>
      <c r="BD42" t="s">
        <v>2189</v>
      </c>
      <c r="BE42" t="s">
        <v>2224</v>
      </c>
    </row>
    <row r="43" spans="1:57">
      <c r="A43" s="4" t="s">
        <v>2509</v>
      </c>
      <c r="B43" s="5" t="s">
        <v>2510</v>
      </c>
      <c r="C43" s="5" t="s">
        <v>2165</v>
      </c>
      <c r="E43" s="5" t="s">
        <v>2166</v>
      </c>
      <c r="F43" s="4" t="s">
        <v>2166</v>
      </c>
      <c r="G43" s="4" t="s">
        <v>2167</v>
      </c>
      <c r="I43">
        <v>46007.333680555559</v>
      </c>
      <c r="J43" t="s">
        <v>2168</v>
      </c>
      <c r="K43" t="s">
        <v>2511</v>
      </c>
      <c r="L43" t="s">
        <v>2512</v>
      </c>
      <c r="M43" t="s">
        <v>2511</v>
      </c>
      <c r="N43" t="s">
        <v>2171</v>
      </c>
      <c r="O43" t="s">
        <v>2172</v>
      </c>
      <c r="P43" t="s">
        <v>2173</v>
      </c>
      <c r="Q43">
        <v>46006.410046296296</v>
      </c>
      <c r="R43" t="s">
        <v>2174</v>
      </c>
      <c r="S43" t="s">
        <v>2175</v>
      </c>
      <c r="T43" t="s">
        <v>2176</v>
      </c>
      <c r="U43" t="s">
        <v>2177</v>
      </c>
      <c r="V43" t="s">
        <v>1418</v>
      </c>
      <c r="X43">
        <v>1</v>
      </c>
      <c r="Y43">
        <v>244100</v>
      </c>
      <c r="Z43">
        <v>19800</v>
      </c>
      <c r="AA43">
        <v>34580</v>
      </c>
      <c r="AB43">
        <v>34580</v>
      </c>
      <c r="AC43">
        <v>229320</v>
      </c>
      <c r="AD43" t="s">
        <v>2178</v>
      </c>
      <c r="AF43">
        <v>46007.99998842593</v>
      </c>
      <c r="AI43" t="s">
        <v>2179</v>
      </c>
      <c r="AJ43" t="s">
        <v>2513</v>
      </c>
      <c r="AK43" t="s">
        <v>2179</v>
      </c>
      <c r="AL43">
        <v>0</v>
      </c>
      <c r="AM43">
        <v>0</v>
      </c>
      <c r="AN43">
        <v>0</v>
      </c>
      <c r="AO43" t="s">
        <v>2181</v>
      </c>
      <c r="AP43" t="s">
        <v>2514</v>
      </c>
      <c r="AR43" t="s">
        <v>2515</v>
      </c>
      <c r="AS43" t="s">
        <v>2516</v>
      </c>
      <c r="AT43" t="s">
        <v>2517</v>
      </c>
      <c r="AU43" t="s">
        <v>2514</v>
      </c>
      <c r="AV43" t="s">
        <v>2518</v>
      </c>
      <c r="AX43" t="s">
        <v>2188</v>
      </c>
      <c r="AY43">
        <v>-9172</v>
      </c>
      <c r="AZ43">
        <v>211824</v>
      </c>
      <c r="BB43">
        <v>46006.40997685185</v>
      </c>
      <c r="BC43">
        <v>-8324</v>
      </c>
      <c r="BD43" t="s">
        <v>2189</v>
      </c>
      <c r="BE43" t="s">
        <v>2404</v>
      </c>
    </row>
  </sheetData>
  <autoFilter ref="A1:BE121" xr:uid="{40336305-18AE-4A4C-9956-C9C144B176C5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715E-21DD-42B9-A977-E1217BD4C4EA}">
  <dimension ref="A1:Q772"/>
  <sheetViews>
    <sheetView tabSelected="1" zoomScaleNormal="100" zoomScaleSheetLayoutView="80" workbookViewId="0">
      <pane ySplit="1" topLeftCell="A2" activePane="bottomLeft" state="frozen"/>
      <selection pane="bottomLeft" activeCell="E18" sqref="E18"/>
    </sheetView>
  </sheetViews>
  <sheetFormatPr defaultColWidth="8.875" defaultRowHeight="16.5"/>
  <cols>
    <col min="1" max="1" width="15.875" customWidth="1"/>
    <col min="2" max="4" width="9" customWidth="1"/>
    <col min="5" max="5" width="23" customWidth="1"/>
    <col min="6" max="6" width="6" style="13" bestFit="1" customWidth="1"/>
    <col min="7" max="7" width="5.25" style="8" bestFit="1" customWidth="1"/>
    <col min="8" max="8" width="10" bestFit="1" customWidth="1"/>
    <col min="9" max="9" width="27.25" customWidth="1"/>
    <col min="10" max="10" width="5.75" customWidth="1"/>
    <col min="11" max="11" width="19.875" customWidth="1"/>
    <col min="12" max="12" width="13.625" customWidth="1"/>
    <col min="13" max="13" width="13.5" customWidth="1"/>
    <col min="14" max="14" width="6.25" customWidth="1"/>
    <col min="15" max="15" width="17.125" customWidth="1"/>
    <col min="16" max="16" width="9" customWidth="1"/>
    <col min="17" max="17" width="11.375" style="2" customWidth="1"/>
  </cols>
  <sheetData>
    <row r="1" spans="1:17">
      <c r="A1" s="1" t="s">
        <v>0</v>
      </c>
      <c r="B1" s="1" t="s">
        <v>12</v>
      </c>
      <c r="C1" s="1" t="s">
        <v>63</v>
      </c>
      <c r="D1" s="1" t="s">
        <v>64</v>
      </c>
      <c r="E1" s="1" t="s">
        <v>65</v>
      </c>
      <c r="F1" s="12" t="s">
        <v>66</v>
      </c>
      <c r="G1" s="11" t="s">
        <v>23</v>
      </c>
      <c r="H1" s="1" t="s">
        <v>67</v>
      </c>
      <c r="I1" s="1" t="s">
        <v>48</v>
      </c>
      <c r="J1" s="1" t="s">
        <v>275</v>
      </c>
      <c r="K1" s="1" t="s">
        <v>276</v>
      </c>
      <c r="L1" s="1" t="s">
        <v>60</v>
      </c>
      <c r="M1" s="1" t="s">
        <v>61</v>
      </c>
      <c r="N1" s="1" t="s">
        <v>47</v>
      </c>
      <c r="O1" s="1" t="s">
        <v>62</v>
      </c>
      <c r="P1" s="1" t="s">
        <v>69</v>
      </c>
      <c r="Q1" s="6" t="s">
        <v>68</v>
      </c>
    </row>
    <row r="2" spans="1:17" s="82" customFormat="1">
      <c r="A2" s="82" t="str">
        <f>발송처리!A2</f>
        <v>2025121699647131</v>
      </c>
      <c r="B2" s="82" t="str">
        <f>발송처리!M2</f>
        <v>이주현</v>
      </c>
      <c r="E2" s="82" t="str">
        <f>VLOOKUP(발송처리!V2,'상품DB(수정x)'!B:E,2,0)</f>
        <v>(140)17T퓨어아이보리</v>
      </c>
      <c r="F2" s="93" t="str">
        <f>VLOOKUP(발송처리!V2,'상품DB(수정x)'!B:E,4,0)</f>
        <v>8m</v>
      </c>
      <c r="G2" s="84">
        <f>발송처리!X2</f>
        <v>1</v>
      </c>
      <c r="I2" s="82" t="str">
        <f>발송처리!AW2</f>
        <v>문 앞에 놓아주세요</v>
      </c>
      <c r="K2" s="82" t="str">
        <f>IF(LEFT(E2,1)="2","",IF(LEFT(E2,1)="4","",IF(Q2&gt;=500000,"★증정★테이프20mx2",IF(Q2&gt;=95000,"★증정★테이프20mx1",""))))</f>
        <v>★증정★테이프20mx1</v>
      </c>
      <c r="L2" s="82" t="str">
        <f>발송처리!AU2</f>
        <v>010-6412-7957</v>
      </c>
      <c r="M2" s="82" t="str">
        <f>발송처리!AP2</f>
        <v>010-6412-7957</v>
      </c>
      <c r="N2" s="82" t="str">
        <f>발송처리!AV2</f>
        <v>10562</v>
      </c>
      <c r="O2" s="82" t="str">
        <f>발송처리!AR2</f>
        <v>경기도 고양시 덕양구 원흥1로 31 (원흥동, 고양삼송엘에이치10단지아파트) 1004-502</v>
      </c>
      <c r="P2" s="82" t="str">
        <f>발송처리!K2</f>
        <v>이주현</v>
      </c>
      <c r="Q2" s="94">
        <f>발송처리!AC2</f>
        <v>262080</v>
      </c>
    </row>
    <row r="3" spans="1:17" s="82" customFormat="1">
      <c r="A3" s="82" t="str">
        <f>발송처리!A3</f>
        <v>2025121699509111</v>
      </c>
      <c r="B3" s="82" t="str">
        <f>발송처리!M3</f>
        <v>김기민</v>
      </c>
      <c r="E3" s="82" t="str">
        <f>VLOOKUP(발송처리!V3,'상품DB(수정x)'!B:E,2,0)</f>
        <v>(110)15TPE딜라이트우드</v>
      </c>
      <c r="F3" s="93" t="str">
        <f>VLOOKUP(발송처리!V3,'상품DB(수정x)'!B:E,4,0)</f>
        <v>2m</v>
      </c>
      <c r="G3" s="84">
        <f>발송처리!X3</f>
        <v>1</v>
      </c>
      <c r="I3" s="82">
        <f>발송처리!AW3</f>
        <v>0</v>
      </c>
      <c r="K3" s="82" t="str">
        <f t="shared" ref="K3:K66" si="0">IF(LEFT(E3,1)="2","",IF(LEFT(E3,1)="4","",IF(Q3&gt;=500000,"★증정★테이프20mx2",IF(Q3&gt;=95000,"★증정★테이프20mx1",""))))</f>
        <v/>
      </c>
      <c r="L3" s="82" t="str">
        <f>발송처리!AU3</f>
        <v>010-2914-9937</v>
      </c>
      <c r="M3" s="82" t="str">
        <f>발송처리!AP3</f>
        <v>010-2914-9937</v>
      </c>
      <c r="N3" s="82" t="str">
        <f>발송처리!AV3</f>
        <v>10811</v>
      </c>
      <c r="O3" s="82" t="str">
        <f>발송처리!AR3</f>
        <v>경기도 파주시 문산읍 통일로 1750 (문산읍, 문산어울림) 문산어울림 105동 501호</v>
      </c>
      <c r="P3" s="82" t="str">
        <f>발송처리!K3</f>
        <v>김기민</v>
      </c>
      <c r="Q3" s="94">
        <f>발송처리!AC3</f>
        <v>32560</v>
      </c>
    </row>
    <row r="4" spans="1:17" s="82" customFormat="1">
      <c r="A4" s="82" t="str">
        <f>발송처리!A4</f>
        <v>2025121698258721</v>
      </c>
      <c r="B4" s="82" t="str">
        <f>발송처리!M4</f>
        <v>이미라</v>
      </c>
      <c r="E4" s="82" t="str">
        <f>VLOOKUP(발송처리!V4,'상품DB(수정x)'!B:E,2,0)</f>
        <v>패브릭트윈 XL [240x140 12T]</v>
      </c>
      <c r="F4" s="93" t="str">
        <f>VLOOKUP(발송처리!V4,'상품DB(수정x)'!B:E,4,0)</f>
        <v>XL</v>
      </c>
      <c r="G4" s="84">
        <f>발송처리!X4</f>
        <v>1</v>
      </c>
      <c r="I4" s="82" t="str">
        <f>발송처리!AW4</f>
        <v>배송 전 미리 연락해 주세요</v>
      </c>
      <c r="K4" s="82" t="str">
        <f t="shared" si="0"/>
        <v>★증정★테이프20mx1</v>
      </c>
      <c r="L4" s="82" t="str">
        <f>발송처리!AU4</f>
        <v>010-7184-2910</v>
      </c>
      <c r="M4" s="82" t="str">
        <f>발송처리!AP4</f>
        <v>010-7184-2910</v>
      </c>
      <c r="N4" s="82" t="str">
        <f>발송처리!AV4</f>
        <v>18127</v>
      </c>
      <c r="O4" s="82" t="str">
        <f>발송처리!AR4</f>
        <v>경기도 오산시 초평중앙로 10 (탑동, 오산세교 한신더휴) 2201동 903호</v>
      </c>
      <c r="P4" s="82" t="str">
        <f>발송처리!K4</f>
        <v>김인혜</v>
      </c>
      <c r="Q4" s="94">
        <f>발송처리!AC4</f>
        <v>117170</v>
      </c>
    </row>
    <row r="5" spans="1:17" s="82" customFormat="1">
      <c r="A5" s="82" t="str">
        <f>발송처리!A5</f>
        <v>2025121696405561</v>
      </c>
      <c r="B5" s="82" t="str">
        <f>발송처리!M5</f>
        <v>전준하</v>
      </c>
      <c r="E5" s="82" t="str">
        <f>VLOOKUP(발송처리!V5,'상품DB(수정x)'!B:E,2,0)</f>
        <v>(140)17T퓨어아이보리</v>
      </c>
      <c r="F5" s="93" t="str">
        <f>VLOOKUP(발송처리!V5,'상품DB(수정x)'!B:E,4,0)</f>
        <v>8m</v>
      </c>
      <c r="G5" s="84">
        <f>발송처리!X5</f>
        <v>1</v>
      </c>
      <c r="I5" s="82" t="str">
        <f>발송처리!AW5</f>
        <v>물품 잘 확인해서 보내주세요. 배송시 문자주시고 문앞에 놓아주세요. 감사합니다.</v>
      </c>
      <c r="K5" s="82" t="str">
        <f t="shared" si="0"/>
        <v>★증정★테이프20mx1</v>
      </c>
      <c r="L5" s="82" t="str">
        <f>발송처리!AU5</f>
        <v>010-5153-1054</v>
      </c>
      <c r="M5" s="82" t="str">
        <f>발송처리!AP5</f>
        <v>010-5153-1054</v>
      </c>
      <c r="N5" s="82" t="str">
        <f>발송처리!AV5</f>
        <v>18405</v>
      </c>
      <c r="O5" s="82" t="str">
        <f>발송처리!AR5</f>
        <v>경기도 화성시 병점3로 117 (병점동, 안화동마을주공9단지) 901동 1605호</v>
      </c>
      <c r="P5" s="82" t="str">
        <f>발송처리!K5</f>
        <v>전준하</v>
      </c>
      <c r="Q5" s="94">
        <f>발송처리!AC5</f>
        <v>262080</v>
      </c>
    </row>
    <row r="6" spans="1:17" s="82" customFormat="1">
      <c r="A6" s="82" t="str">
        <f>발송처리!A6</f>
        <v>2025121695559201</v>
      </c>
      <c r="B6" s="82" t="str">
        <f>발송처리!M6</f>
        <v>나병준</v>
      </c>
      <c r="E6" s="82" t="str">
        <f>VLOOKUP(발송처리!V6,'상품DB(수정x)'!B:E,2,0)</f>
        <v>25T(퍼즐)아이보리(50)</v>
      </c>
      <c r="F6" s="93" t="str">
        <f>VLOOKUP(발송처리!V6,'상품DB(수정x)'!B:E,4,0)</f>
        <v/>
      </c>
      <c r="G6" s="84">
        <f>발송처리!X6</f>
        <v>6</v>
      </c>
      <c r="I6" s="82">
        <f>발송처리!AW6</f>
        <v>0</v>
      </c>
      <c r="K6" s="82" t="str">
        <f t="shared" si="0"/>
        <v/>
      </c>
      <c r="L6" s="82" t="str">
        <f>발송처리!AU6</f>
        <v>010-9174-1121</v>
      </c>
      <c r="M6" s="82" t="str">
        <f>발송처리!AP6</f>
        <v>010-9174-1121</v>
      </c>
      <c r="N6" s="82" t="str">
        <f>발송처리!AV6</f>
        <v>16823</v>
      </c>
      <c r="O6" s="82" t="str">
        <f>발송처리!AR6</f>
        <v>경기도 용인시 수지구 손곡로 82 (동천동, 수진마을써니벨리아파트) 106동 506호</v>
      </c>
      <c r="P6" s="82" t="str">
        <f>발송처리!K6</f>
        <v>나병준</v>
      </c>
      <c r="Q6" s="94">
        <f>발송처리!AC6</f>
        <v>106400</v>
      </c>
    </row>
    <row r="7" spans="1:17" s="85" customFormat="1">
      <c r="A7" s="85" t="str">
        <f>발송처리!A7</f>
        <v>2025121594828291</v>
      </c>
      <c r="B7" s="85" t="str">
        <f>발송처리!M7</f>
        <v>나대남</v>
      </c>
      <c r="E7" s="85" t="str">
        <f>VLOOKUP(발송처리!V7,'상품DB(수정x)'!B:E,2,0)</f>
        <v>★판매★테이프20m</v>
      </c>
      <c r="F7" s="95">
        <f>VLOOKUP(발송처리!V7,'상품DB(수정x)'!B:E,4,0)</f>
        <v>0</v>
      </c>
      <c r="G7" s="87">
        <f>발송처리!X7</f>
        <v>1</v>
      </c>
      <c r="I7" s="85" t="str">
        <f>발송처리!AW7</f>
        <v>배송 전 미리 연락해 주세요</v>
      </c>
      <c r="K7" s="85" t="str">
        <f t="shared" si="0"/>
        <v/>
      </c>
      <c r="L7" s="85" t="str">
        <f>발송처리!AU7</f>
        <v>010-8965-2389</v>
      </c>
      <c r="M7" s="85" t="str">
        <f>발송처리!AP7</f>
        <v>0502-3214-2132</v>
      </c>
      <c r="N7" s="85" t="str">
        <f>발송처리!AV7</f>
        <v>01014</v>
      </c>
      <c r="O7" s="85" t="str">
        <f>발송처리!AR7</f>
        <v>서울특별시 강북구 4.19로13길 9 (수유동, 우이블루빌) 402호</v>
      </c>
      <c r="P7" s="85" t="str">
        <f>발송처리!K7</f>
        <v>나대남</v>
      </c>
      <c r="Q7" s="86">
        <f>발송처리!AC7</f>
        <v>7900</v>
      </c>
    </row>
    <row r="8" spans="1:17" s="85" customFormat="1">
      <c r="A8" s="85" t="str">
        <f>발송처리!A8</f>
        <v>2025121594828281</v>
      </c>
      <c r="B8" s="85" t="str">
        <f>발송처리!M8</f>
        <v>나대남</v>
      </c>
      <c r="E8" s="85" t="str">
        <f>VLOOKUP(발송처리!V8,'상품DB(수정x)'!B:E,2,0)</f>
        <v>(110)17T마블아이보리</v>
      </c>
      <c r="F8" s="95" t="str">
        <f>VLOOKUP(발송처리!V8,'상품DB(수정x)'!B:E,4,0)</f>
        <v>5.5m</v>
      </c>
      <c r="G8" s="87">
        <f>발송처리!X8</f>
        <v>1</v>
      </c>
      <c r="I8" s="85" t="str">
        <f>발송처리!AW8</f>
        <v>배송 전 미리 연락해 주세요</v>
      </c>
      <c r="K8" s="85" t="str">
        <f t="shared" si="0"/>
        <v>★증정★테이프20mx1</v>
      </c>
      <c r="L8" s="85" t="str">
        <f>발송처리!AU8</f>
        <v>010-8965-2389</v>
      </c>
      <c r="M8" s="85" t="str">
        <f>발송처리!AP8</f>
        <v>0502-3214-2132</v>
      </c>
      <c r="N8" s="85" t="str">
        <f>발송처리!AV8</f>
        <v>01014</v>
      </c>
      <c r="O8" s="85" t="str">
        <f>발송처리!AR8</f>
        <v>서울특별시 강북구 4.19로13길 9 (수유동, 우이블루빌) 402호</v>
      </c>
      <c r="P8" s="85" t="str">
        <f>발송처리!K8</f>
        <v>나대남</v>
      </c>
      <c r="Q8" s="86">
        <f>발송처리!AC8</f>
        <v>151800</v>
      </c>
    </row>
    <row r="9" spans="1:17" s="85" customFormat="1">
      <c r="A9" s="85" t="str">
        <f>발송처리!A9</f>
        <v>2025121594828271</v>
      </c>
      <c r="B9" s="85" t="str">
        <f>발송처리!M9</f>
        <v>나대남</v>
      </c>
      <c r="E9" s="85" t="str">
        <f>VLOOKUP(발송처리!V9,'상품DB(수정x)'!B:E,2,0)</f>
        <v>(110)17T마블아이보리</v>
      </c>
      <c r="F9" s="95" t="str">
        <f>VLOOKUP(발송처리!V9,'상품DB(수정x)'!B:E,4,0)</f>
        <v>5m</v>
      </c>
      <c r="G9" s="87">
        <f>발송처리!X9</f>
        <v>2</v>
      </c>
      <c r="I9" s="85" t="str">
        <f>발송처리!AW9</f>
        <v>배송 전 미리 연락해 주세요</v>
      </c>
      <c r="K9" s="85" t="str">
        <f t="shared" si="0"/>
        <v>★증정★테이프20mx1</v>
      </c>
      <c r="L9" s="85" t="str">
        <f>발송처리!AU9</f>
        <v>010-8965-2389</v>
      </c>
      <c r="M9" s="85" t="str">
        <f>발송처리!AP9</f>
        <v>0502-3214-2132</v>
      </c>
      <c r="N9" s="85" t="str">
        <f>발송처리!AV9</f>
        <v>01014</v>
      </c>
      <c r="O9" s="85" t="str">
        <f>발송처리!AR9</f>
        <v>서울특별시 강북구 4.19로13길 9 (수유동, 우이블루빌) 402호</v>
      </c>
      <c r="P9" s="85" t="str">
        <f>발송처리!K9</f>
        <v>나대남</v>
      </c>
      <c r="Q9" s="86">
        <f>발송처리!AC9</f>
        <v>248400</v>
      </c>
    </row>
    <row r="10" spans="1:17" s="85" customFormat="1">
      <c r="A10" s="85" t="str">
        <f>발송처리!A10</f>
        <v>2025121594828261</v>
      </c>
      <c r="B10" s="85" t="str">
        <f>발송처리!M10</f>
        <v>나대남</v>
      </c>
      <c r="E10" s="85" t="str">
        <f>VLOOKUP(발송처리!V10,'상품DB(수정x)'!B:E,2,0)</f>
        <v>(120)17T마블아이보리</v>
      </c>
      <c r="F10" s="95" t="str">
        <f>VLOOKUP(발송처리!V10,'상품DB(수정x)'!B:E,4,0)</f>
        <v>3m</v>
      </c>
      <c r="G10" s="87">
        <f>발송처리!X10</f>
        <v>1</v>
      </c>
      <c r="I10" s="85" t="str">
        <f>발송처리!AW10</f>
        <v>배송 전 미리 연락해 주세요</v>
      </c>
      <c r="K10" s="85" t="str">
        <f t="shared" si="0"/>
        <v/>
      </c>
      <c r="L10" s="85" t="str">
        <f>발송처리!AU10</f>
        <v>010-8965-2389</v>
      </c>
      <c r="M10" s="85" t="str">
        <f>발송처리!AP10</f>
        <v>0502-3214-2132</v>
      </c>
      <c r="N10" s="85" t="str">
        <f>발송처리!AV10</f>
        <v>01014</v>
      </c>
      <c r="O10" s="85" t="str">
        <f>발송처리!AR10</f>
        <v>서울특별시 강북구 4.19로13길 9 (수유동, 우이블루빌) 402호</v>
      </c>
      <c r="P10" s="85" t="str">
        <f>발송처리!K10</f>
        <v>나대남</v>
      </c>
      <c r="Q10" s="86">
        <f>발송처리!AC10</f>
        <v>91800</v>
      </c>
    </row>
    <row r="11" spans="1:17" s="85" customFormat="1">
      <c r="A11" s="85" t="str">
        <f>발송처리!A11</f>
        <v>2025121594828251</v>
      </c>
      <c r="B11" s="85" t="str">
        <f>발송처리!M11</f>
        <v>나대남</v>
      </c>
      <c r="E11" s="85" t="str">
        <f>VLOOKUP(발송처리!V11,'상품DB(수정x)'!B:E,2,0)</f>
        <v>(120)17T마블아이보리</v>
      </c>
      <c r="F11" s="95" t="str">
        <f>VLOOKUP(발송처리!V11,'상품DB(수정x)'!B:E,4,0)</f>
        <v>2m</v>
      </c>
      <c r="G11" s="87">
        <f>발송처리!X11</f>
        <v>1</v>
      </c>
      <c r="I11" s="85" t="str">
        <f>발송처리!AW11</f>
        <v>배송 전 미리 연락해 주세요</v>
      </c>
      <c r="K11" s="85" t="str">
        <f t="shared" si="0"/>
        <v/>
      </c>
      <c r="L11" s="85" t="str">
        <f>발송처리!AU11</f>
        <v>010-8965-2389</v>
      </c>
      <c r="M11" s="85" t="str">
        <f>발송처리!AP11</f>
        <v>0502-3214-2132</v>
      </c>
      <c r="N11" s="85" t="str">
        <f>발송처리!AV11</f>
        <v>01014</v>
      </c>
      <c r="O11" s="85" t="str">
        <f>발송처리!AR11</f>
        <v>서울특별시 강북구 4.19로13길 9 (수유동, 우이블루빌) 402호</v>
      </c>
      <c r="P11" s="85" t="str">
        <f>발송처리!K11</f>
        <v>나대남</v>
      </c>
      <c r="Q11" s="86">
        <f>발송처리!AC11</f>
        <v>59200</v>
      </c>
    </row>
    <row r="12" spans="1:17" s="82" customFormat="1">
      <c r="A12" s="82" t="str">
        <f>발송처리!A12</f>
        <v>2025121594230371</v>
      </c>
      <c r="B12" s="82" t="str">
        <f>발송처리!M12</f>
        <v>최규철</v>
      </c>
      <c r="E12" s="82" t="str">
        <f>VLOOKUP(발송처리!V12,'상품DB(수정x)'!B:E,2,0)</f>
        <v>(140)6T소프트그레이</v>
      </c>
      <c r="F12" s="93" t="str">
        <f>VLOOKUP(발송처리!V12,'상품DB(수정x)'!B:E,4,0)</f>
        <v>0.5m</v>
      </c>
      <c r="G12" s="84">
        <f>발송처리!X12</f>
        <v>4</v>
      </c>
      <c r="I12" s="82">
        <f>발송처리!AW12</f>
        <v>0</v>
      </c>
      <c r="K12" s="82" t="str">
        <f t="shared" si="0"/>
        <v/>
      </c>
      <c r="L12" s="82" t="str">
        <f>발송처리!AU12</f>
        <v>010-8823-9437</v>
      </c>
      <c r="M12" s="82" t="str">
        <f>발송처리!AP12</f>
        <v>010-8823-9437</v>
      </c>
      <c r="N12" s="82" t="str">
        <f>발송처리!AV12</f>
        <v>37107</v>
      </c>
      <c r="O12" s="82" t="str">
        <f>발송처리!AR12</f>
        <v>경상북도 상주시 이안면 양범안룡길 80 (이안면) 양범교회</v>
      </c>
      <c r="P12" s="82" t="str">
        <f>발송처리!K12</f>
        <v>최규철</v>
      </c>
      <c r="Q12" s="94">
        <f>발송처리!AC12</f>
        <v>52800</v>
      </c>
    </row>
    <row r="13" spans="1:17" s="82" customFormat="1">
      <c r="A13" s="82" t="str">
        <f>발송처리!A13</f>
        <v>2025121594072441</v>
      </c>
      <c r="B13" s="82" t="str">
        <f>발송처리!M13</f>
        <v>한정우</v>
      </c>
      <c r="E13" s="82" t="str">
        <f>VLOOKUP(발송처리!V13,'상품DB(수정x)'!B:E,2,0)</f>
        <v>플러스♥25T아이(100)</v>
      </c>
      <c r="F13" s="93">
        <f>VLOOKUP(발송처리!V13,'상품DB(수정x)'!B:E,4,0)</f>
        <v>0</v>
      </c>
      <c r="G13" s="84">
        <f>발송처리!X13</f>
        <v>1</v>
      </c>
      <c r="I13" s="82">
        <f>발송처리!AW13</f>
        <v>0</v>
      </c>
      <c r="K13" s="82" t="str">
        <f t="shared" si="0"/>
        <v/>
      </c>
      <c r="L13" s="82" t="str">
        <f>발송처리!AU13</f>
        <v>010-9524-9234</v>
      </c>
      <c r="M13" s="82" t="str">
        <f>발송처리!AP13</f>
        <v>010-9524-9234</v>
      </c>
      <c r="N13" s="82" t="str">
        <f>발송처리!AV13</f>
        <v>07520</v>
      </c>
      <c r="O13" s="82" t="str">
        <f>발송처리!AR13</f>
        <v>서울특별시 강서구 양천로 177 (마곡동, 가양하수처리장직원아파트) 2동 206호</v>
      </c>
      <c r="P13" s="82" t="str">
        <f>발송처리!K13</f>
        <v>한정우</v>
      </c>
      <c r="Q13" s="94">
        <f>발송처리!AC13</f>
        <v>22800</v>
      </c>
    </row>
    <row r="14" spans="1:17" s="82" customFormat="1">
      <c r="A14" s="82" t="str">
        <f>발송처리!A14</f>
        <v>2025121593854551</v>
      </c>
      <c r="B14" s="82" t="str">
        <f>발송처리!M14</f>
        <v>류춘렬</v>
      </c>
      <c r="E14" s="82" t="str">
        <f>VLOOKUP(발송처리!V14,'상품DB(수정x)'!B:E,2,0)</f>
        <v>(110)17T퓨어아이보리</v>
      </c>
      <c r="F14" s="93" t="str">
        <f>VLOOKUP(발송처리!V14,'상품DB(수정x)'!B:E,4,0)</f>
        <v>5m</v>
      </c>
      <c r="G14" s="84">
        <f>발송처리!X14</f>
        <v>2</v>
      </c>
      <c r="I14" s="82">
        <f>발송처리!AW14</f>
        <v>0</v>
      </c>
      <c r="K14" s="82" t="str">
        <f t="shared" si="0"/>
        <v>★증정★테이프20mx1</v>
      </c>
      <c r="L14" s="82" t="str">
        <f>발송처리!AU14</f>
        <v>010-8736-8737</v>
      </c>
      <c r="M14" s="82" t="str">
        <f>발송처리!AP14</f>
        <v>010-8736-8737</v>
      </c>
      <c r="N14" s="82" t="str">
        <f>발송처리!AV14</f>
        <v>34049</v>
      </c>
      <c r="O14" s="82" t="str">
        <f>발송처리!AR14</f>
        <v>대전광역시 유성구 엑스포로 448 엑스포아파트 202동 1701호</v>
      </c>
      <c r="P14" s="82" t="str">
        <f>발송처리!K14</f>
        <v>류춘렬</v>
      </c>
      <c r="Q14" s="94">
        <f>발송처리!AC14</f>
        <v>248400</v>
      </c>
    </row>
    <row r="15" spans="1:17" s="82" customFormat="1">
      <c r="A15" s="82" t="str">
        <f>발송처리!A15</f>
        <v>2025121591163141</v>
      </c>
      <c r="B15" s="82" t="str">
        <f>발송처리!M15</f>
        <v>서혜린</v>
      </c>
      <c r="E15" s="82" t="str">
        <f>VLOOKUP(발송처리!V15,'상품DB(수정x)'!B:E,2,0)</f>
        <v>25T(퍼즐)아이보리(50)</v>
      </c>
      <c r="F15" s="93" t="str">
        <f>VLOOKUP(발송처리!V15,'상품DB(수정x)'!B:E,4,0)</f>
        <v/>
      </c>
      <c r="G15" s="84">
        <f>발송처리!X15</f>
        <v>2</v>
      </c>
      <c r="I15" s="82">
        <f>발송처리!AW15</f>
        <v>0</v>
      </c>
      <c r="K15" s="82" t="str">
        <f t="shared" si="0"/>
        <v/>
      </c>
      <c r="L15" s="82" t="str">
        <f>발송처리!AU15</f>
        <v>010-3959-9166</v>
      </c>
      <c r="M15" s="82" t="str">
        <f>발송처리!AP15</f>
        <v>010-3959-9166</v>
      </c>
      <c r="N15" s="82" t="str">
        <f>발송처리!AV15</f>
        <v>17066</v>
      </c>
      <c r="O15" s="82" t="str">
        <f>발송처리!AR15</f>
        <v>경기도 용인시 기흥구 기흥역로58번길 56 (구갈동, 기흥역 파크 푸르지오) 301동3302호</v>
      </c>
      <c r="P15" s="82" t="str">
        <f>발송처리!K15</f>
        <v>서혜린</v>
      </c>
      <c r="Q15" s="94">
        <f>발송처리!AC15</f>
        <v>34720</v>
      </c>
    </row>
    <row r="16" spans="1:17" s="82" customFormat="1">
      <c r="A16" s="82" t="str">
        <f>발송처리!A16</f>
        <v>2025121590839141</v>
      </c>
      <c r="B16" s="82" t="str">
        <f>발송처리!M16</f>
        <v>최향</v>
      </c>
      <c r="E16" s="82" t="str">
        <f>VLOOKUP(발송처리!V16,'상품DB(수정x)'!B:E,2,0)</f>
        <v>(120)17T소프트그레이</v>
      </c>
      <c r="F16" s="93" t="str">
        <f>VLOOKUP(발송처리!V16,'상품DB(수정x)'!B:E,4,0)</f>
        <v>2m</v>
      </c>
      <c r="G16" s="84">
        <f>발송처리!X16</f>
        <v>1</v>
      </c>
      <c r="I16" s="82">
        <f>발송처리!AW16</f>
        <v>0</v>
      </c>
      <c r="K16" s="82" t="str">
        <f t="shared" si="0"/>
        <v/>
      </c>
      <c r="L16" s="82" t="str">
        <f>발송처리!AU16</f>
        <v>010-5550-1258</v>
      </c>
      <c r="M16" s="82" t="str">
        <f>발송처리!AP16</f>
        <v>010-5550-1258</v>
      </c>
      <c r="N16" s="82" t="str">
        <f>발송처리!AV16</f>
        <v>11748</v>
      </c>
      <c r="O16" s="82" t="str">
        <f>발송처리!AR16</f>
        <v>경기도 의정부시 시민로 287 (신곡동) 이편한세상 신곡파크비스타 109동301호</v>
      </c>
      <c r="P16" s="82" t="str">
        <f>발송처리!K16</f>
        <v>최향</v>
      </c>
      <c r="Q16" s="94">
        <f>발송처리!AC16</f>
        <v>55080</v>
      </c>
    </row>
    <row r="17" spans="1:17" s="82" customFormat="1">
      <c r="A17" s="82" t="str">
        <f>발송처리!A17</f>
        <v>2025121590742721</v>
      </c>
      <c r="B17" s="82" t="str">
        <f>발송처리!M17</f>
        <v>이규원</v>
      </c>
      <c r="E17" s="82" t="str">
        <f>VLOOKUP(발송처리!V17,'상품DB(수정x)'!B:E,2,0)</f>
        <v>25T(퍼즐)아이보리(100)</v>
      </c>
      <c r="F17" s="93" t="str">
        <f>VLOOKUP(발송처리!V17,'상품DB(수정x)'!B:E,4,0)</f>
        <v/>
      </c>
      <c r="G17" s="84">
        <f>발송처리!X17</f>
        <v>8</v>
      </c>
      <c r="I17" s="82" t="str">
        <f>발송처리!AW17</f>
        <v>부재시 문앞에 놔주세용</v>
      </c>
      <c r="K17" s="82" t="str">
        <f t="shared" si="0"/>
        <v/>
      </c>
      <c r="L17" s="82" t="str">
        <f>발송처리!AU17</f>
        <v>010-8919-4157</v>
      </c>
      <c r="M17" s="82" t="str">
        <f>발송처리!AP17</f>
        <v>010-8919-4157</v>
      </c>
      <c r="N17" s="82" t="str">
        <f>발송처리!AV17</f>
        <v>11941</v>
      </c>
      <c r="O17" s="82" t="str">
        <f>발송처리!AR17</f>
        <v>경기도 구리시 원수택로32번길 60 (수택동, 성경아파트) 3동 402호</v>
      </c>
      <c r="P17" s="82" t="str">
        <f>발송처리!K17</f>
        <v>이규원</v>
      </c>
      <c r="Q17" s="94">
        <f>발송처리!AC17</f>
        <v>143200</v>
      </c>
    </row>
    <row r="18" spans="1:17" s="82" customFormat="1">
      <c r="A18" s="82" t="str">
        <f>발송처리!A18</f>
        <v>2025121590742711</v>
      </c>
      <c r="B18" s="82" t="str">
        <f>발송처리!M18</f>
        <v>이규원</v>
      </c>
      <c r="E18" s="82" t="str">
        <f>VLOOKUP(발송처리!V18,'상품DB(수정x)'!B:E,2,0)</f>
        <v>25T(퍼즐)아이보리(50)</v>
      </c>
      <c r="F18" s="93" t="str">
        <f>VLOOKUP(발송처리!V18,'상품DB(수정x)'!B:E,4,0)</f>
        <v/>
      </c>
      <c r="G18" s="84">
        <f>발송처리!X18</f>
        <v>2</v>
      </c>
      <c r="I18" s="82" t="str">
        <f>발송처리!AW18</f>
        <v>부재시 문앞에 놔주세용</v>
      </c>
      <c r="K18" s="82" t="str">
        <f t="shared" si="0"/>
        <v/>
      </c>
      <c r="L18" s="82" t="str">
        <f>발송처리!AU18</f>
        <v>010-8919-4157</v>
      </c>
      <c r="M18" s="82" t="str">
        <f>발송처리!AP18</f>
        <v>010-8919-4157</v>
      </c>
      <c r="N18" s="82" t="str">
        <f>발송처리!AV18</f>
        <v>11941</v>
      </c>
      <c r="O18" s="82" t="str">
        <f>발송처리!AR18</f>
        <v>경기도 구리시 원수택로32번길 60 (수택동, 성경아파트) 3동 402호</v>
      </c>
      <c r="P18" s="82" t="str">
        <f>발송처리!K18</f>
        <v>이규원</v>
      </c>
      <c r="Q18" s="94">
        <f>발송처리!AC18</f>
        <v>34800</v>
      </c>
    </row>
    <row r="19" spans="1:17" s="82" customFormat="1">
      <c r="A19" s="82" t="str">
        <f>발송처리!A19</f>
        <v>2025121590061171</v>
      </c>
      <c r="B19" s="82" t="str">
        <f>발송처리!M19</f>
        <v>김예찬</v>
      </c>
      <c r="E19" s="82" t="str">
        <f>VLOOKUP(발송처리!V19,'상품DB(수정x)'!B:E,2,0)</f>
        <v>25T(퍼즐)아이보리(100)</v>
      </c>
      <c r="F19" s="93" t="str">
        <f>VLOOKUP(발송처리!V19,'상품DB(수정x)'!B:E,4,0)</f>
        <v/>
      </c>
      <c r="G19" s="84">
        <f>발송처리!X19</f>
        <v>9</v>
      </c>
      <c r="I19" s="82">
        <f>발송처리!AW19</f>
        <v>0</v>
      </c>
      <c r="K19" s="82" t="str">
        <f t="shared" si="0"/>
        <v/>
      </c>
      <c r="L19" s="82" t="str">
        <f>발송처리!AU19</f>
        <v>010-6886-3860</v>
      </c>
      <c r="M19" s="82" t="str">
        <f>발송처리!AP19</f>
        <v>010-6886-3860</v>
      </c>
      <c r="N19" s="82" t="str">
        <f>발송처리!AV19</f>
        <v>34899</v>
      </c>
      <c r="O19" s="82" t="str">
        <f>발송처리!AR19</f>
        <v>대전광역시 중구 계백로1615번길 34 (유천동, 현대아파트) 113동 1407호</v>
      </c>
      <c r="P19" s="82" t="str">
        <f>발송처리!K19</f>
        <v>김예찬</v>
      </c>
      <c r="Q19" s="94">
        <f>발송처리!AC19</f>
        <v>161100</v>
      </c>
    </row>
    <row r="20" spans="1:17" s="82" customFormat="1">
      <c r="A20" s="82" t="str">
        <f>발송처리!A20</f>
        <v>2025121588680721</v>
      </c>
      <c r="B20" s="82" t="str">
        <f>발송처리!M20</f>
        <v>최영미</v>
      </c>
      <c r="E20" s="82" t="str">
        <f>VLOOKUP(발송처리!V20,'상품DB(수정x)'!B:E,2,0)</f>
        <v>25T(퍼즐)아이보리(100)</v>
      </c>
      <c r="F20" s="93" t="str">
        <f>VLOOKUP(발송처리!V20,'상품DB(수정x)'!B:E,4,0)</f>
        <v/>
      </c>
      <c r="G20" s="84">
        <f>발송처리!X20</f>
        <v>8</v>
      </c>
      <c r="I20" s="82">
        <f>발송처리!AW20</f>
        <v>0</v>
      </c>
      <c r="K20" s="82" t="str">
        <f t="shared" si="0"/>
        <v/>
      </c>
      <c r="L20" s="82" t="str">
        <f>발송처리!AU20</f>
        <v>010-5574-4480</v>
      </c>
      <c r="M20" s="82" t="str">
        <f>발송처리!AP20</f>
        <v>010-5574-4480</v>
      </c>
      <c r="N20" s="82" t="str">
        <f>발송처리!AV20</f>
        <v>10931</v>
      </c>
      <c r="O20" s="82" t="str">
        <f>발송처리!AR20</f>
        <v>경기도 파주시 시청로 85 (아동동, 신안실크밸리2차 아파트) 206동303호</v>
      </c>
      <c r="P20" s="82" t="str">
        <f>발송처리!K20</f>
        <v>최영미</v>
      </c>
      <c r="Q20" s="94">
        <f>발송처리!AC20</f>
        <v>141200</v>
      </c>
    </row>
    <row r="21" spans="1:17" s="82" customFormat="1">
      <c r="A21" s="82" t="str">
        <f>발송처리!A21</f>
        <v>2025121587720071</v>
      </c>
      <c r="B21" s="82" t="str">
        <f>발송처리!M21</f>
        <v>문경은</v>
      </c>
      <c r="E21" s="82" t="str">
        <f>VLOOKUP(발송처리!V21,'상품DB(수정x)'!B:E,2,0)</f>
        <v>(140)12T퓨어아이보리</v>
      </c>
      <c r="F21" s="93" t="str">
        <f>VLOOKUP(발송처리!V21,'상품DB(수정x)'!B:E,4,0)</f>
        <v>5m</v>
      </c>
      <c r="G21" s="84">
        <f>발송처리!X21</f>
        <v>1</v>
      </c>
      <c r="I21" s="82">
        <f>발송처리!AW21</f>
        <v>0</v>
      </c>
      <c r="K21" s="82" t="str">
        <f t="shared" si="0"/>
        <v>★증정★테이프20mx1</v>
      </c>
      <c r="L21" s="82" t="str">
        <f>발송처리!AU21</f>
        <v>010-3537-9446</v>
      </c>
      <c r="M21" s="82" t="str">
        <f>발송처리!AP21</f>
        <v>010-3537-9446</v>
      </c>
      <c r="N21" s="82" t="str">
        <f>발송처리!AV21</f>
        <v>06920</v>
      </c>
      <c r="O21" s="82" t="str">
        <f>발송처리!AR21</f>
        <v>서울특별시 동작구 만양로 19 (노량진동, 상도신동아리버파크아파트) 707동 1405호</v>
      </c>
      <c r="P21" s="82" t="str">
        <f>발송처리!K21</f>
        <v>문경은</v>
      </c>
      <c r="Q21" s="94">
        <f>발송처리!AC21</f>
        <v>151200</v>
      </c>
    </row>
    <row r="22" spans="1:17" s="82" customFormat="1">
      <c r="A22" s="82" t="str">
        <f>발송처리!A22</f>
        <v>2025121584846521</v>
      </c>
      <c r="B22" s="82" t="str">
        <f>발송처리!M22</f>
        <v>이영진</v>
      </c>
      <c r="E22" s="82" t="str">
        <f>VLOOKUP(발송처리!V22,'상품DB(수정x)'!B:E,2,0)</f>
        <v>(110)9T도그프린트</v>
      </c>
      <c r="F22" s="93" t="str">
        <f>VLOOKUP(발송처리!V22,'상품DB(수정x)'!B:E,4,0)</f>
        <v>0.5m</v>
      </c>
      <c r="G22" s="84">
        <f>발송처리!X22</f>
        <v>15</v>
      </c>
      <c r="I22" s="82" t="str">
        <f>발송처리!AW22</f>
        <v>현관문 앞에다가 나둬두세요~</v>
      </c>
      <c r="K22" s="82" t="str">
        <f t="shared" si="0"/>
        <v>★증정★테이프20mx1</v>
      </c>
      <c r="L22" s="82" t="str">
        <f>발송처리!AU22</f>
        <v>010-3013-8148</v>
      </c>
      <c r="M22" s="82" t="str">
        <f>발송처리!AP22</f>
        <v>010-3013-8148</v>
      </c>
      <c r="N22" s="82" t="str">
        <f>발송처리!AV22</f>
        <v>11611</v>
      </c>
      <c r="O22" s="82" t="str">
        <f>발송처리!AR22</f>
        <v>경기도 의정부시 가금로34번길 23 (가능동, 힐스테이트 녹양역) 103동2302호</v>
      </c>
      <c r="P22" s="82" t="str">
        <f>발송처리!K22</f>
        <v>이영진</v>
      </c>
      <c r="Q22" s="94">
        <f>발송처리!AC22</f>
        <v>147150</v>
      </c>
    </row>
    <row r="23" spans="1:17" s="82" customFormat="1">
      <c r="A23" s="82" t="str">
        <f>발송처리!A23</f>
        <v>2025121584846511</v>
      </c>
      <c r="B23" s="82" t="str">
        <f>발송처리!M23</f>
        <v>이영진</v>
      </c>
      <c r="E23" s="82" t="str">
        <f>VLOOKUP(발송처리!V23,'상품DB(수정x)'!B:E,2,0)</f>
        <v>(140)9T도그프린트</v>
      </c>
      <c r="F23" s="93" t="str">
        <f>VLOOKUP(발송처리!V23,'상품DB(수정x)'!B:E,4,0)</f>
        <v>0.5m</v>
      </c>
      <c r="G23" s="84">
        <f>발송처리!X23</f>
        <v>5</v>
      </c>
      <c r="I23" s="82" t="str">
        <f>발송처리!AW23</f>
        <v>현관문 앞에다가 나둬두세요~</v>
      </c>
      <c r="K23" s="82" t="str">
        <f t="shared" si="0"/>
        <v/>
      </c>
      <c r="L23" s="82" t="str">
        <f>발송처리!AU23</f>
        <v>010-3013-8148</v>
      </c>
      <c r="M23" s="82" t="str">
        <f>발송처리!AP23</f>
        <v>010-3013-8148</v>
      </c>
      <c r="N23" s="82" t="str">
        <f>발송처리!AV23</f>
        <v>11611</v>
      </c>
      <c r="O23" s="82" t="str">
        <f>발송처리!AR23</f>
        <v>경기도 의정부시 가금로34번길 23 (가능동, 힐스테이트 녹양역) 103동2302호</v>
      </c>
      <c r="P23" s="82" t="str">
        <f>발송처리!K23</f>
        <v>이영진</v>
      </c>
      <c r="Q23" s="94">
        <f>발송처리!AC23</f>
        <v>67500</v>
      </c>
    </row>
    <row r="24" spans="1:17" s="82" customFormat="1">
      <c r="A24" s="82" t="str">
        <f>발송처리!A24</f>
        <v>2025121581144071</v>
      </c>
      <c r="B24" s="82" t="str">
        <f>발송처리!M24</f>
        <v>권석영</v>
      </c>
      <c r="E24" s="82" t="str">
        <f>VLOOKUP(발송처리!V24,'상품DB(수정x)'!B:E,2,0)</f>
        <v>플러스♥25T아이(100)</v>
      </c>
      <c r="F24" s="93">
        <f>VLOOKUP(발송처리!V24,'상품DB(수정x)'!B:E,4,0)</f>
        <v>0</v>
      </c>
      <c r="G24" s="84">
        <f>발송처리!X24</f>
        <v>1</v>
      </c>
      <c r="I24" s="82">
        <f>발송처리!AW24</f>
        <v>0</v>
      </c>
      <c r="K24" s="82" t="str">
        <f t="shared" si="0"/>
        <v/>
      </c>
      <c r="L24" s="82" t="str">
        <f>발송처리!AU24</f>
        <v>010-6208-9305</v>
      </c>
      <c r="M24" s="82" t="str">
        <f>발송처리!AP24</f>
        <v>010-6208-9305</v>
      </c>
      <c r="N24" s="82" t="str">
        <f>발송처리!AV24</f>
        <v>41408</v>
      </c>
      <c r="O24" s="82" t="str">
        <f>발송처리!AR24</f>
        <v>대구광역시 북구 구리로 183-28 (학정동, 두산아파트) 201동 204호</v>
      </c>
      <c r="P24" s="82" t="str">
        <f>발송처리!K24</f>
        <v>권석영</v>
      </c>
      <c r="Q24" s="94">
        <f>발송처리!AC24</f>
        <v>20800</v>
      </c>
    </row>
    <row r="25" spans="1:17" s="82" customFormat="1">
      <c r="A25" s="82" t="str">
        <f>발송처리!A25</f>
        <v>2025121577697531</v>
      </c>
      <c r="B25" s="82" t="str">
        <f>발송처리!M25</f>
        <v>고정일</v>
      </c>
      <c r="E25" s="82" t="str">
        <f>VLOOKUP(발송처리!V25,'상품DB(수정x)'!B:E,2,0)</f>
        <v>25T(퍼즐)아이보리(100)</v>
      </c>
      <c r="F25" s="93" t="str">
        <f>VLOOKUP(발송처리!V25,'상품DB(수정x)'!B:E,4,0)</f>
        <v/>
      </c>
      <c r="G25" s="84">
        <f>발송처리!X25</f>
        <v>12</v>
      </c>
      <c r="I25" s="82">
        <f>발송처리!AW25</f>
        <v>0</v>
      </c>
      <c r="K25" s="82" t="str">
        <f t="shared" si="0"/>
        <v/>
      </c>
      <c r="L25" s="82" t="str">
        <f>발송처리!AU25</f>
        <v>010-5436-3781</v>
      </c>
      <c r="M25" s="82" t="str">
        <f>발송처리!AP25</f>
        <v>010-5436-3781</v>
      </c>
      <c r="N25" s="82" t="str">
        <f>발송처리!AV25</f>
        <v>34368</v>
      </c>
      <c r="O25" s="82" t="str">
        <f>발송처리!AR25</f>
        <v>대전광역시 대덕구 대화로 160 (대화동, 산업용재유통상가) 1동 207호</v>
      </c>
      <c r="P25" s="82" t="str">
        <f>발송처리!K25</f>
        <v>고정일</v>
      </c>
      <c r="Q25" s="94">
        <f>발송처리!AC25</f>
        <v>214800</v>
      </c>
    </row>
    <row r="26" spans="1:17" s="82" customFormat="1">
      <c r="A26" s="82" t="str">
        <f>발송처리!A26</f>
        <v>2025121577697521</v>
      </c>
      <c r="B26" s="82" t="str">
        <f>발송처리!M26</f>
        <v>고정일</v>
      </c>
      <c r="E26" s="82" t="str">
        <f>VLOOKUP(발송처리!V26,'상품DB(수정x)'!B:E,2,0)</f>
        <v>25T(퍼즐)블루(100)</v>
      </c>
      <c r="F26" s="93" t="str">
        <f>VLOOKUP(발송처리!V26,'상품DB(수정x)'!B:E,4,0)</f>
        <v/>
      </c>
      <c r="G26" s="84">
        <f>발송처리!X26</f>
        <v>2</v>
      </c>
      <c r="I26" s="82">
        <f>발송처리!AW26</f>
        <v>0</v>
      </c>
      <c r="K26" s="82" t="str">
        <f t="shared" si="0"/>
        <v/>
      </c>
      <c r="L26" s="82" t="str">
        <f>발송처리!AU26</f>
        <v>010-5436-3781</v>
      </c>
      <c r="M26" s="82" t="str">
        <f>발송처리!AP26</f>
        <v>010-5436-3781</v>
      </c>
      <c r="N26" s="82" t="str">
        <f>발송처리!AV26</f>
        <v>34368</v>
      </c>
      <c r="O26" s="82" t="str">
        <f>발송처리!AR26</f>
        <v>대전광역시 대덕구 대화로 160 (대화동, 산업용재유통상가) 1동 207호</v>
      </c>
      <c r="P26" s="82" t="str">
        <f>발송처리!K26</f>
        <v>고정일</v>
      </c>
      <c r="Q26" s="94">
        <f>발송처리!AC26</f>
        <v>33800</v>
      </c>
    </row>
    <row r="27" spans="1:17" s="82" customFormat="1">
      <c r="A27" s="82" t="str">
        <f>발송처리!A27</f>
        <v>2025121577697511</v>
      </c>
      <c r="B27" s="82" t="str">
        <f>발송처리!M27</f>
        <v>고정일</v>
      </c>
      <c r="E27" s="82" t="str">
        <f>VLOOKUP(발송처리!V27,'상품DB(수정x)'!B:E,2,0)</f>
        <v>25T(퍼즐)핑크(100)</v>
      </c>
      <c r="F27" s="93" t="str">
        <f>VLOOKUP(발송처리!V27,'상품DB(수정x)'!B:E,4,0)</f>
        <v/>
      </c>
      <c r="G27" s="84">
        <f>발송처리!X27</f>
        <v>2</v>
      </c>
      <c r="I27" s="82">
        <f>발송처리!AW27</f>
        <v>0</v>
      </c>
      <c r="K27" s="82" t="str">
        <f t="shared" si="0"/>
        <v/>
      </c>
      <c r="L27" s="82" t="str">
        <f>발송처리!AU27</f>
        <v>010-5436-3781</v>
      </c>
      <c r="M27" s="82" t="str">
        <f>발송처리!AP27</f>
        <v>010-5436-3781</v>
      </c>
      <c r="N27" s="82" t="str">
        <f>발송처리!AV27</f>
        <v>34368</v>
      </c>
      <c r="O27" s="82" t="str">
        <f>발송처리!AR27</f>
        <v>대전광역시 대덕구 대화로 160 (대화동, 산업용재유통상가) 1동 207호</v>
      </c>
      <c r="P27" s="82" t="str">
        <f>발송처리!K27</f>
        <v>고정일</v>
      </c>
      <c r="Q27" s="94">
        <f>발송처리!AC27</f>
        <v>35800</v>
      </c>
    </row>
    <row r="28" spans="1:17" s="82" customFormat="1">
      <c r="A28" s="82" t="str">
        <f>발송처리!A28</f>
        <v>2025121576260771</v>
      </c>
      <c r="B28" s="82" t="str">
        <f>발송처리!M28</f>
        <v>지찬미</v>
      </c>
      <c r="E28" s="82" t="str">
        <f>VLOOKUP(발송처리!V28,'상품DB(수정x)'!B:E,2,0)</f>
        <v>25T(퍼즐)아이보리(100)</v>
      </c>
      <c r="F28" s="93" t="str">
        <f>VLOOKUP(발송처리!V28,'상품DB(수정x)'!B:E,4,0)</f>
        <v/>
      </c>
      <c r="G28" s="84">
        <f>발송처리!X28</f>
        <v>15</v>
      </c>
      <c r="I28" s="82">
        <f>발송처리!AW28</f>
        <v>0</v>
      </c>
      <c r="K28" s="82" t="str">
        <f t="shared" si="0"/>
        <v/>
      </c>
      <c r="L28" s="82" t="str">
        <f>발송처리!AU28</f>
        <v>010-4856-8776</v>
      </c>
      <c r="M28" s="82" t="str">
        <f>발송처리!AP28</f>
        <v>0502-3513-7025</v>
      </c>
      <c r="N28" s="82" t="str">
        <f>발송처리!AV28</f>
        <v>24279</v>
      </c>
      <c r="O28" s="82" t="str">
        <f>발송처리!AR28</f>
        <v>강원도 춘천시 백령로 215 (후평동, 춘천일성트루엘더퍼스트아파트) 107-1304</v>
      </c>
      <c r="P28" s="82" t="str">
        <f>발송처리!K28</f>
        <v>지찬미</v>
      </c>
      <c r="Q28" s="94">
        <f>발송처리!AC28</f>
        <v>266500</v>
      </c>
    </row>
    <row r="29" spans="1:17" s="82" customFormat="1">
      <c r="A29" s="82" t="str">
        <f>발송처리!A29</f>
        <v>2025121574508471</v>
      </c>
      <c r="B29" s="82" t="str">
        <f>발송처리!M29</f>
        <v>정다훈</v>
      </c>
      <c r="E29" s="82" t="str">
        <f>VLOOKUP(발송처리!V29,'상품DB(수정x)'!B:E,2,0)</f>
        <v>40T(퍼즐)아이보리(100)</v>
      </c>
      <c r="F29" s="93" t="str">
        <f>VLOOKUP(발송처리!V29,'상품DB(수정x)'!B:E,4,0)</f>
        <v/>
      </c>
      <c r="G29" s="84">
        <f>발송처리!X29</f>
        <v>3</v>
      </c>
      <c r="I29" s="82" t="str">
        <f>발송처리!AW29</f>
        <v>배송 전 미리 연락해 주세요</v>
      </c>
      <c r="K29" s="82" t="str">
        <f t="shared" si="0"/>
        <v/>
      </c>
      <c r="L29" s="82" t="str">
        <f>발송처리!AU29</f>
        <v>010-9490-8874</v>
      </c>
      <c r="M29" s="82" t="str">
        <f>발송처리!AP29</f>
        <v>010-9490-8874</v>
      </c>
      <c r="N29" s="82" t="str">
        <f>발송처리!AV29</f>
        <v>16868</v>
      </c>
      <c r="O29" s="82" t="str">
        <f>발송처리!AR29</f>
        <v>경기도 용인시 수지구 용구대로 2720 (죽전동, 현암마을동성2차아파트) 203동 1302호</v>
      </c>
      <c r="P29" s="82" t="str">
        <f>발송처리!K29</f>
        <v>정다훈</v>
      </c>
      <c r="Q29" s="94">
        <f>발송처리!AC29</f>
        <v>77900</v>
      </c>
    </row>
    <row r="30" spans="1:17" s="82" customFormat="1">
      <c r="A30" s="82" t="str">
        <f>발송처리!A30</f>
        <v>2025121570564721</v>
      </c>
      <c r="B30" s="82" t="str">
        <f>발송처리!M30</f>
        <v>이슬</v>
      </c>
      <c r="E30" s="82" t="str">
        <f>VLOOKUP(발송처리!V30,'상품DB(수정x)'!B:E,2,0)</f>
        <v>25T(퍼즐)아이보리(100)</v>
      </c>
      <c r="F30" s="93" t="str">
        <f>VLOOKUP(발송처리!V30,'상품DB(수정x)'!B:E,4,0)</f>
        <v/>
      </c>
      <c r="G30" s="84">
        <f>발송처리!X30</f>
        <v>18</v>
      </c>
      <c r="I30" s="82">
        <f>발송처리!AW30</f>
        <v>0</v>
      </c>
      <c r="K30" s="82" t="str">
        <f t="shared" si="0"/>
        <v/>
      </c>
      <c r="L30" s="82" t="str">
        <f>발송처리!AU30</f>
        <v>010-5424-9068</v>
      </c>
      <c r="M30" s="82" t="str">
        <f>발송처리!AP30</f>
        <v>010-5424-9068</v>
      </c>
      <c r="N30" s="82" t="str">
        <f>발송처리!AV30</f>
        <v>12603</v>
      </c>
      <c r="O30" s="82" t="str">
        <f>발송처리!AR30</f>
        <v>경기도 여주시 산북면 상품로 72 (산북면) 1층 102호</v>
      </c>
      <c r="P30" s="82" t="str">
        <f>발송처리!K30</f>
        <v>이슬</v>
      </c>
      <c r="Q30" s="94">
        <f>발송처리!AC30</f>
        <v>322200</v>
      </c>
    </row>
    <row r="31" spans="1:17" s="82" customFormat="1">
      <c r="A31" s="82" t="str">
        <f>발송처리!A31</f>
        <v>2025121566863231</v>
      </c>
      <c r="B31" s="82" t="str">
        <f>발송처리!M31</f>
        <v>김영국</v>
      </c>
      <c r="E31" s="82" t="str">
        <f>VLOOKUP(발송처리!V31,'상품DB(수정x)'!B:E,2,0)</f>
        <v>(140)17T퓨어아이보리</v>
      </c>
      <c r="F31" s="93" t="str">
        <f>VLOOKUP(발송처리!V31,'상품DB(수정x)'!B:E,4,0)</f>
        <v>4m</v>
      </c>
      <c r="G31" s="84">
        <f>발송처리!X31</f>
        <v>1</v>
      </c>
      <c r="I31" s="82">
        <f>발송처리!AW31</f>
        <v>0</v>
      </c>
      <c r="K31" s="82" t="str">
        <f t="shared" si="0"/>
        <v>★증정★테이프20mx1</v>
      </c>
      <c r="L31" s="82" t="str">
        <f>발송처리!AU31</f>
        <v>010-9080-1385</v>
      </c>
      <c r="M31" s="82" t="str">
        <f>발송처리!AP31</f>
        <v>010-9080-1385</v>
      </c>
      <c r="N31" s="82" t="str">
        <f>발송처리!AV31</f>
        <v>55150</v>
      </c>
      <c r="O31" s="82" t="str">
        <f>발송처리!AR31</f>
        <v>전북특별자치도 전주시 덕진구 세병로 130 (송천동2가, 에코시티 데시앙 네스트) 802동1403호</v>
      </c>
      <c r="P31" s="82" t="str">
        <f>발송처리!K31</f>
        <v>김영국</v>
      </c>
      <c r="Q31" s="83">
        <f>발송처리!AC31</f>
        <v>145600</v>
      </c>
    </row>
    <row r="32" spans="1:17" s="82" customFormat="1">
      <c r="A32" s="82" t="str">
        <f>발송처리!A32</f>
        <v>2025121566863221</v>
      </c>
      <c r="B32" s="82" t="str">
        <f>발송처리!M32</f>
        <v>김영국</v>
      </c>
      <c r="E32" s="82" t="str">
        <f>VLOOKUP(발송처리!V32,'상품DB(수정x)'!B:E,2,0)</f>
        <v>(140)17T퓨어아이보리</v>
      </c>
      <c r="F32" s="93" t="str">
        <f>VLOOKUP(발송처리!V32,'상품DB(수정x)'!B:E,4,0)</f>
        <v>2.5m</v>
      </c>
      <c r="G32" s="84">
        <f>발송처리!X32</f>
        <v>1</v>
      </c>
      <c r="I32" s="82">
        <f>발송처리!AW32</f>
        <v>0</v>
      </c>
      <c r="K32" s="82" t="str">
        <f t="shared" si="0"/>
        <v/>
      </c>
      <c r="L32" s="82" t="str">
        <f>발송처리!AU32</f>
        <v>010-9080-1385</v>
      </c>
      <c r="M32" s="82" t="str">
        <f>발송처리!AP32</f>
        <v>010-9080-1385</v>
      </c>
      <c r="N32" s="82" t="str">
        <f>발송처리!AV32</f>
        <v>55150</v>
      </c>
      <c r="O32" s="82" t="str">
        <f>발송처리!AR32</f>
        <v>전북특별자치도 전주시 덕진구 세병로 130 (송천동2가, 에코시티 데시앙 네스트) 802동1403호</v>
      </c>
      <c r="P32" s="82" t="str">
        <f>발송처리!K32</f>
        <v>김영국</v>
      </c>
      <c r="Q32" s="83">
        <f>발송처리!AC32</f>
        <v>90000</v>
      </c>
    </row>
    <row r="33" spans="1:17" s="82" customFormat="1">
      <c r="A33" s="82" t="str">
        <f>발송처리!A33</f>
        <v>2025121566863211</v>
      </c>
      <c r="B33" s="82" t="str">
        <f>발송처리!M33</f>
        <v>김영국</v>
      </c>
      <c r="E33" s="82" t="str">
        <f>VLOOKUP(발송처리!V33,'상품DB(수정x)'!B:E,2,0)</f>
        <v>(120)17T퓨어아이보리</v>
      </c>
      <c r="F33" s="93" t="str">
        <f>VLOOKUP(발송처리!V33,'상품DB(수정x)'!B:E,4,0)</f>
        <v>8m</v>
      </c>
      <c r="G33" s="84">
        <f>발송처리!X33</f>
        <v>1</v>
      </c>
      <c r="I33" s="82">
        <f>발송처리!AW33</f>
        <v>0</v>
      </c>
      <c r="K33" s="82" t="str">
        <f t="shared" ref="K33" si="1">IF(LEFT(E33,1)="2","",IF(LEFT(E33,1)="4","",IF(Q33&gt;=500000,"★증정★테이프20mx2",IF(Q33&gt;=95000,"★증정★테이프20mx1",""))))</f>
        <v>★증정★테이프20mx1</v>
      </c>
      <c r="L33" s="82" t="str">
        <f>발송처리!AU33</f>
        <v>010-9080-1385</v>
      </c>
      <c r="M33" s="82" t="str">
        <f>발송처리!AP33</f>
        <v>010-9080-1385</v>
      </c>
      <c r="N33" s="82" t="str">
        <f>발송처리!AV33</f>
        <v>55150</v>
      </c>
      <c r="O33" s="82" t="str">
        <f>발송처리!AR33</f>
        <v>전북특별자치도 전주시 덕진구 세병로 130 (송천동2가, 에코시티 데시앙 네스트) 802동1403호</v>
      </c>
      <c r="P33" s="82" t="str">
        <f>발송처리!K33</f>
        <v>김영국</v>
      </c>
      <c r="Q33" s="83">
        <f>발송처리!AC33</f>
        <v>244800</v>
      </c>
    </row>
    <row r="34" spans="1:17" s="82" customFormat="1">
      <c r="A34" s="82" t="str">
        <f>발송처리!A34</f>
        <v>2025121566427551</v>
      </c>
      <c r="B34" s="82" t="str">
        <f>발송처리!M34</f>
        <v>김득봉</v>
      </c>
      <c r="E34" s="82" t="str">
        <f>VLOOKUP(발송처리!V34,'상품DB(수정x)'!B:E,2,0)</f>
        <v>25T(퍼즐)그레이(100)</v>
      </c>
      <c r="F34" s="93" t="str">
        <f>VLOOKUP(발송처리!V34,'상품DB(수정x)'!B:E,4,0)</f>
        <v/>
      </c>
      <c r="G34" s="84">
        <f>발송처리!X34</f>
        <v>3</v>
      </c>
      <c r="I34" s="82">
        <f>발송처리!AW34</f>
        <v>0</v>
      </c>
      <c r="K34" s="82" t="str">
        <f t="shared" ref="K34" si="2">IF(LEFT(E34,1)="2","",IF(LEFT(E34,1)="4","",IF(Q34&gt;=500000,"★증정★테이프20mx2",IF(Q34&gt;=95000,"★증정★테이프20mx1",""))))</f>
        <v/>
      </c>
      <c r="L34" s="82" t="str">
        <f>발송처리!AU34</f>
        <v>010-4686-0482</v>
      </c>
      <c r="M34" s="82" t="str">
        <f>발송처리!AP34</f>
        <v>010-4686-0482</v>
      </c>
      <c r="N34" s="82" t="str">
        <f>발송처리!AV34</f>
        <v>59002</v>
      </c>
      <c r="O34" s="82" t="str">
        <f>발송처리!AR34</f>
        <v>전라남도 해남군 화원면 금평길 54 (화원면, 궁전빌라) 404호</v>
      </c>
      <c r="P34" s="82" t="str">
        <f>발송처리!K34</f>
        <v>김득봉</v>
      </c>
      <c r="Q34" s="83">
        <f>발송처리!AC34</f>
        <v>52700</v>
      </c>
    </row>
    <row r="35" spans="1:17" s="82" customFormat="1">
      <c r="A35" s="82" t="str">
        <f>발송처리!A35</f>
        <v>2025121564450851</v>
      </c>
      <c r="B35" s="82" t="str">
        <f>발송처리!M35</f>
        <v>김규동</v>
      </c>
      <c r="E35" s="82" t="str">
        <f>VLOOKUP(발송처리!V35,'상품DB(수정x)'!B:E,2,0)</f>
        <v>★판매★테이프20m</v>
      </c>
      <c r="F35" s="93">
        <f>VLOOKUP(발송처리!V35,'상품DB(수정x)'!B:E,4,0)</f>
        <v>0</v>
      </c>
      <c r="G35" s="84">
        <f>발송처리!X35</f>
        <v>1</v>
      </c>
      <c r="I35" s="82" t="str">
        <f>발송처리!AW35</f>
        <v>문앞에 놔주세요.</v>
      </c>
      <c r="K35" s="82" t="str">
        <f t="shared" si="0"/>
        <v/>
      </c>
      <c r="L35" s="82" t="str">
        <f>발송처리!AU35</f>
        <v>010-7220-3846</v>
      </c>
      <c r="M35" s="82" t="str">
        <f>발송처리!AP35</f>
        <v>010-7220-3846</v>
      </c>
      <c r="N35" s="82" t="str">
        <f>발송처리!AV35</f>
        <v>46277</v>
      </c>
      <c r="O35" s="82" t="str">
        <f>발송처리!AR35</f>
        <v>부산광역시 금정구 중앙대로1685번길 24 (부곡동, 경남한신아파트) 101동 1201호</v>
      </c>
      <c r="P35" s="82" t="str">
        <f>발송처리!K35</f>
        <v>김규동</v>
      </c>
      <c r="Q35" s="94">
        <f>발송처리!AC35</f>
        <v>7900</v>
      </c>
    </row>
    <row r="36" spans="1:17" s="82" customFormat="1">
      <c r="A36" s="82" t="str">
        <f>발송처리!A36</f>
        <v>2025121564450841</v>
      </c>
      <c r="B36" s="82" t="str">
        <f>발송처리!M36</f>
        <v>김규동</v>
      </c>
      <c r="E36" s="82" t="str">
        <f>VLOOKUP(발송처리!V36,'상품DB(수정x)'!B:E,2,0)</f>
        <v>(120)22T퓨어아이보리</v>
      </c>
      <c r="F36" s="93" t="str">
        <f>VLOOKUP(발송처리!V36,'상품DB(수정x)'!B:E,4,0)</f>
        <v>2.5m</v>
      </c>
      <c r="G36" s="84">
        <f>발송처리!X36</f>
        <v>1</v>
      </c>
      <c r="I36" s="82" t="str">
        <f>발송처리!AW36</f>
        <v>문앞에 놔주세요.</v>
      </c>
      <c r="K36" s="82" t="str">
        <f t="shared" si="0"/>
        <v/>
      </c>
      <c r="L36" s="82" t="str">
        <f>발송처리!AU36</f>
        <v>010-7220-3846</v>
      </c>
      <c r="M36" s="82" t="str">
        <f>발송처리!AP36</f>
        <v>010-7220-3846</v>
      </c>
      <c r="N36" s="82" t="str">
        <f>발송처리!AV36</f>
        <v>46277</v>
      </c>
      <c r="O36" s="82" t="str">
        <f>발송처리!AR36</f>
        <v>부산광역시 금정구 중앙대로1685번길 24 (부곡동, 경남한신아파트) 101동 1201호</v>
      </c>
      <c r="P36" s="82" t="str">
        <f>발송처리!K36</f>
        <v>김규동</v>
      </c>
      <c r="Q36" s="94">
        <f>발송처리!AC36</f>
        <v>94050</v>
      </c>
    </row>
    <row r="37" spans="1:17" s="82" customFormat="1">
      <c r="A37" s="82" t="str">
        <f>발송처리!A37</f>
        <v>2025121564450831</v>
      </c>
      <c r="B37" s="82" t="str">
        <f>발송처리!M37</f>
        <v>김규동</v>
      </c>
      <c r="E37" s="82" t="str">
        <f>VLOOKUP(발송처리!V37,'상품DB(수정x)'!B:E,2,0)</f>
        <v>(110)22T퓨어아이보리</v>
      </c>
      <c r="F37" s="93" t="str">
        <f>VLOOKUP(발송처리!V37,'상품DB(수정x)'!B:E,4,0)</f>
        <v>2.5m</v>
      </c>
      <c r="G37" s="84">
        <f>발송처리!X37</f>
        <v>1</v>
      </c>
      <c r="I37" s="82" t="str">
        <f>발송처리!AW37</f>
        <v>문앞에 놔주세요.</v>
      </c>
      <c r="K37" s="82" t="str">
        <f t="shared" si="0"/>
        <v/>
      </c>
      <c r="L37" s="82" t="str">
        <f>발송처리!AU37</f>
        <v>010-7220-3846</v>
      </c>
      <c r="M37" s="82" t="str">
        <f>발송처리!AP37</f>
        <v>010-7220-3846</v>
      </c>
      <c r="N37" s="82" t="str">
        <f>발송처리!AV37</f>
        <v>46277</v>
      </c>
      <c r="O37" s="82" t="str">
        <f>발송처리!AR37</f>
        <v>부산광역시 금정구 중앙대로1685번길 24 (부곡동, 경남한신아파트) 101동 1201호</v>
      </c>
      <c r="P37" s="82" t="str">
        <f>발송처리!K37</f>
        <v>김규동</v>
      </c>
      <c r="Q37" s="94">
        <f>발송처리!AC37</f>
        <v>94500</v>
      </c>
    </row>
    <row r="38" spans="1:17" s="82" customFormat="1">
      <c r="A38" s="82" t="str">
        <f>발송처리!A38</f>
        <v>2025121559970241</v>
      </c>
      <c r="B38" s="82" t="str">
        <f>발송처리!M38</f>
        <v>이좌훈</v>
      </c>
      <c r="E38" s="82" t="str">
        <f>VLOOKUP(발송처리!V38,'상품DB(수정x)'!B:E,2,0)</f>
        <v>플러스♥25T크림그레이(50)</v>
      </c>
      <c r="F38" s="93">
        <f>VLOOKUP(발송처리!V38,'상품DB(수정x)'!B:E,4,0)</f>
        <v>0</v>
      </c>
      <c r="G38" s="84">
        <f>발송처리!X38</f>
        <v>10</v>
      </c>
      <c r="I38" s="82">
        <f>발송처리!AW38</f>
        <v>0</v>
      </c>
      <c r="K38" s="82" t="str">
        <f t="shared" si="0"/>
        <v>★증정★테이프20mx1</v>
      </c>
      <c r="L38" s="82" t="str">
        <f>발송처리!AU38</f>
        <v>010-5023-9290</v>
      </c>
      <c r="M38" s="82" t="str">
        <f>발송처리!AP38</f>
        <v>010-5023-9290</v>
      </c>
      <c r="N38" s="82" t="str">
        <f>발송처리!AV38</f>
        <v>17759</v>
      </c>
      <c r="O38" s="82" t="str">
        <f>발송처리!AR38</f>
        <v>경기도 평택시 신장로 55 (신장동) 사서함 309-25호 (공군 1887부대)</v>
      </c>
      <c r="P38" s="82" t="str">
        <f>발송처리!K38</f>
        <v>이좌훈</v>
      </c>
      <c r="Q38" s="94">
        <f>발송처리!AC38</f>
        <v>228000</v>
      </c>
    </row>
    <row r="39" spans="1:17" s="82" customFormat="1">
      <c r="A39" s="82" t="str">
        <f>발송처리!A39</f>
        <v>2025121559970231</v>
      </c>
      <c r="B39" s="82" t="str">
        <f>발송처리!M39</f>
        <v>이좌훈</v>
      </c>
      <c r="E39" s="82" t="str">
        <f>VLOOKUP(발송처리!V39,'상품DB(수정x)'!B:E,2,0)</f>
        <v>플러스♥25T크림그레이(100)</v>
      </c>
      <c r="F39" s="93">
        <f>VLOOKUP(발송처리!V39,'상품DB(수정x)'!B:E,4,0)</f>
        <v>0</v>
      </c>
      <c r="G39" s="84">
        <f>발송처리!X39</f>
        <v>20</v>
      </c>
      <c r="I39" s="82">
        <f>발송처리!AW39</f>
        <v>0</v>
      </c>
      <c r="K39" s="82" t="str">
        <f t="shared" si="0"/>
        <v>★증정★테이프20mx1</v>
      </c>
      <c r="L39" s="82" t="str">
        <f>발송처리!AU39</f>
        <v>010-5023-9290</v>
      </c>
      <c r="M39" s="82" t="str">
        <f>발송처리!AP39</f>
        <v>010-5023-9290</v>
      </c>
      <c r="N39" s="82" t="str">
        <f>발송처리!AV39</f>
        <v>17759</v>
      </c>
      <c r="O39" s="82" t="str">
        <f>발송처리!AR39</f>
        <v>경기도 평택시 신장로 55 (신장동) 사서함 309-25호 (공군 1887부대)</v>
      </c>
      <c r="P39" s="82" t="str">
        <f>발송처리!K39</f>
        <v>이좌훈</v>
      </c>
      <c r="Q39" s="94">
        <f>발송처리!AC39</f>
        <v>456000</v>
      </c>
    </row>
    <row r="40" spans="1:17" s="82" customFormat="1">
      <c r="A40" s="82" t="str">
        <f>발송처리!A40</f>
        <v>2025121559364301</v>
      </c>
      <c r="B40" s="82" t="str">
        <f>발송처리!M40</f>
        <v>이동하</v>
      </c>
      <c r="E40" s="82" t="str">
        <f>VLOOKUP(발송처리!V40,'상품DB(수정x)'!B:E,2,0)</f>
        <v>(120)17T마블아이보리</v>
      </c>
      <c r="F40" s="93" t="str">
        <f>VLOOKUP(발송처리!V40,'상품DB(수정x)'!B:E,4,0)</f>
        <v>5m</v>
      </c>
      <c r="G40" s="84">
        <f>발송처리!X40</f>
        <v>2</v>
      </c>
      <c r="I40" s="82">
        <f>발송처리!AW40</f>
        <v>0</v>
      </c>
      <c r="K40" s="82" t="str">
        <f t="shared" si="0"/>
        <v>★증정★테이프20mx1</v>
      </c>
      <c r="L40" s="82" t="str">
        <f>발송처리!AU40</f>
        <v>010-8969-7278</v>
      </c>
      <c r="M40" s="82" t="str">
        <f>발송처리!AP40</f>
        <v>010-8969-7278</v>
      </c>
      <c r="N40" s="82" t="str">
        <f>발송처리!AV40</f>
        <v>22003</v>
      </c>
      <c r="O40" s="82" t="str">
        <f>발송처리!AR40</f>
        <v>인천광역시 연수구 센트럴로 194 (송도동, 더샵 센트럴파크2) 202동 2405호</v>
      </c>
      <c r="P40" s="82" t="str">
        <f>발송처리!K40</f>
        <v>이동하</v>
      </c>
      <c r="Q40" s="94">
        <f>발송처리!AC40</f>
        <v>306000</v>
      </c>
    </row>
    <row r="41" spans="1:17" s="82" customFormat="1">
      <c r="A41" s="82" t="str">
        <f>발송처리!A41</f>
        <v>2025121559305111</v>
      </c>
      <c r="B41" s="82" t="str">
        <f>발송처리!M41</f>
        <v>최형오</v>
      </c>
      <c r="E41" s="82" t="str">
        <f>VLOOKUP(발송처리!V41,'상품DB(수정x)'!B:E,2,0)</f>
        <v>25T(퍼즐)아이보리(100)</v>
      </c>
      <c r="F41" s="93" t="str">
        <f>VLOOKUP(발송처리!V41,'상품DB(수정x)'!B:E,4,0)</f>
        <v/>
      </c>
      <c r="G41" s="84">
        <f>발송처리!X41</f>
        <v>2</v>
      </c>
      <c r="I41" s="82">
        <f>발송처리!AW41</f>
        <v>0</v>
      </c>
      <c r="K41" s="82" t="str">
        <f t="shared" si="0"/>
        <v/>
      </c>
      <c r="L41" s="82" t="str">
        <f>발송처리!AU41</f>
        <v>010-4878-5732</v>
      </c>
      <c r="M41" s="82" t="str">
        <f>발송처리!AP41</f>
        <v>010-4878-5732</v>
      </c>
      <c r="N41" s="82" t="str">
        <f>발송처리!AV41</f>
        <v>44213</v>
      </c>
      <c r="O41" s="82" t="str">
        <f>발송처리!AR41</f>
        <v>울산광역시 북구 중산동로 37 (중산동, 중산 디아채아파트) 103동1201호</v>
      </c>
      <c r="P41" s="82" t="str">
        <f>발송처리!K41</f>
        <v>최형오</v>
      </c>
      <c r="Q41" s="94">
        <f>발송처리!AC41</f>
        <v>34720</v>
      </c>
    </row>
    <row r="42" spans="1:17" s="82" customFormat="1">
      <c r="A42" s="82" t="str">
        <f>발송처리!A42</f>
        <v>2025121559305101</v>
      </c>
      <c r="B42" s="82" t="str">
        <f>발송처리!M42</f>
        <v>최형오</v>
      </c>
      <c r="E42" s="82" t="str">
        <f>VLOOKUP(발송처리!V42,'상품DB(수정x)'!B:E,2,0)</f>
        <v>25T(퍼즐)아이보리(50)</v>
      </c>
      <c r="F42" s="93" t="str">
        <f>VLOOKUP(발송처리!V42,'상품DB(수정x)'!B:E,4,0)</f>
        <v/>
      </c>
      <c r="G42" s="84">
        <f>발송처리!X42</f>
        <v>1</v>
      </c>
      <c r="I42" s="82">
        <f>발송처리!AW42</f>
        <v>0</v>
      </c>
      <c r="K42" s="82" t="str">
        <f t="shared" si="0"/>
        <v/>
      </c>
      <c r="L42" s="82" t="str">
        <f>발송처리!AU42</f>
        <v>010-4878-5732</v>
      </c>
      <c r="M42" s="82" t="str">
        <f>발송처리!AP42</f>
        <v>010-4878-5732</v>
      </c>
      <c r="N42" s="82" t="str">
        <f>발송처리!AV42</f>
        <v>44213</v>
      </c>
      <c r="O42" s="82" t="str">
        <f>발송처리!AR42</f>
        <v>울산광역시 북구 중산동로 37 (중산동, 중산 디아채아파트) 103동1201호</v>
      </c>
      <c r="P42" s="82" t="str">
        <f>발송처리!K42</f>
        <v>최형오</v>
      </c>
      <c r="Q42" s="94">
        <f>발송처리!AC42</f>
        <v>16900</v>
      </c>
    </row>
    <row r="43" spans="1:17" s="82" customFormat="1">
      <c r="A43" s="82" t="str">
        <f>발송처리!A43</f>
        <v>2025121556791061</v>
      </c>
      <c r="B43" s="82" t="str">
        <f>발송처리!M43</f>
        <v>권하람</v>
      </c>
      <c r="E43" s="82" t="str">
        <f>VLOOKUP(발송처리!V43,'상품DB(수정x)'!B:E,2,0)</f>
        <v>(140)17T퓨어아이보리</v>
      </c>
      <c r="F43" s="93" t="str">
        <f>VLOOKUP(발송처리!V43,'상품DB(수정x)'!B:E,4,0)</f>
        <v>7m</v>
      </c>
      <c r="G43" s="84">
        <f>발송처리!X43</f>
        <v>1</v>
      </c>
      <c r="I43" s="82">
        <f>발송처리!AW43</f>
        <v>0</v>
      </c>
      <c r="K43" s="82" t="str">
        <f t="shared" si="0"/>
        <v>★증정★테이프20mx1</v>
      </c>
      <c r="L43" s="82" t="str">
        <f>발송처리!AU43</f>
        <v>010-3901-6006</v>
      </c>
      <c r="M43" s="82" t="str">
        <f>발송처리!AP43</f>
        <v>010-3901-6006</v>
      </c>
      <c r="N43" s="82" t="str">
        <f>발송처리!AV43</f>
        <v>42810</v>
      </c>
      <c r="O43" s="82" t="str">
        <f>발송처리!AR43</f>
        <v>대구광역시 달서구 상인서로 85 (상인동, 상인동방현대아파트) 103동 1106호</v>
      </c>
      <c r="P43" s="82" t="str">
        <f>발송처리!K43</f>
        <v>권하람</v>
      </c>
      <c r="Q43" s="94">
        <f>발송처리!AC43</f>
        <v>229320</v>
      </c>
    </row>
    <row r="44" spans="1:17" s="82" customFormat="1">
      <c r="A44" s="82" t="s">
        <v>2850</v>
      </c>
      <c r="B44" s="82" t="s">
        <v>2851</v>
      </c>
      <c r="E44" s="82" t="s">
        <v>2522</v>
      </c>
      <c r="F44" s="93">
        <v>0</v>
      </c>
      <c r="G44" s="84">
        <v>1</v>
      </c>
      <c r="I44" s="82">
        <v>0</v>
      </c>
      <c r="K44" s="82" t="s">
        <v>274</v>
      </c>
      <c r="L44" s="82" t="s">
        <v>2852</v>
      </c>
      <c r="M44" s="82" t="s">
        <v>2852</v>
      </c>
      <c r="N44" s="82" t="s">
        <v>2853</v>
      </c>
      <c r="O44" s="82" t="s">
        <v>2854</v>
      </c>
      <c r="P44" s="82" t="s">
        <v>2851</v>
      </c>
      <c r="Q44" s="94">
        <v>7900</v>
      </c>
    </row>
    <row r="45" spans="1:17" s="82" customFormat="1">
      <c r="A45" s="82" t="s">
        <v>2855</v>
      </c>
      <c r="B45" s="82" t="s">
        <v>2851</v>
      </c>
      <c r="E45" s="82" t="e">
        <v>#N/A</v>
      </c>
      <c r="F45" s="93" t="e">
        <v>#N/A</v>
      </c>
      <c r="G45" s="84">
        <v>3</v>
      </c>
      <c r="I45" s="82">
        <v>0</v>
      </c>
      <c r="K45" s="82" t="e">
        <v>#N/A</v>
      </c>
      <c r="L45" s="82" t="s">
        <v>2852</v>
      </c>
      <c r="M45" s="82" t="s">
        <v>2852</v>
      </c>
      <c r="N45" s="82" t="s">
        <v>2853</v>
      </c>
      <c r="O45" s="82" t="s">
        <v>2854</v>
      </c>
      <c r="P45" s="82" t="s">
        <v>2851</v>
      </c>
      <c r="Q45" s="94">
        <v>371790</v>
      </c>
    </row>
    <row r="46" spans="1:17" s="82" customFormat="1">
      <c r="A46" s="82" t="s">
        <v>2856</v>
      </c>
      <c r="B46" s="82" t="s">
        <v>2857</v>
      </c>
      <c r="E46" s="82" t="s">
        <v>2524</v>
      </c>
      <c r="F46" s="93" t="s">
        <v>274</v>
      </c>
      <c r="G46" s="84">
        <v>5</v>
      </c>
      <c r="I46" s="82">
        <v>0</v>
      </c>
      <c r="K46" s="82" t="s">
        <v>274</v>
      </c>
      <c r="L46" s="82" t="s">
        <v>2858</v>
      </c>
      <c r="M46" s="82" t="s">
        <v>2858</v>
      </c>
      <c r="N46" s="82" t="s">
        <v>2859</v>
      </c>
      <c r="O46" s="82" t="s">
        <v>2860</v>
      </c>
      <c r="P46" s="82" t="s">
        <v>2857</v>
      </c>
      <c r="Q46" s="94">
        <v>89500</v>
      </c>
    </row>
    <row r="47" spans="1:17" s="82" customFormat="1">
      <c r="A47" s="82" t="s">
        <v>2861</v>
      </c>
      <c r="B47" s="82" t="s">
        <v>2862</v>
      </c>
      <c r="E47" s="82" t="s">
        <v>532</v>
      </c>
      <c r="F47" s="93" t="s">
        <v>274</v>
      </c>
      <c r="G47" s="84">
        <v>18</v>
      </c>
      <c r="I47" s="82">
        <v>0</v>
      </c>
      <c r="K47" s="82" t="s">
        <v>274</v>
      </c>
      <c r="L47" s="82" t="s">
        <v>2863</v>
      </c>
      <c r="M47" s="82" t="s">
        <v>2864</v>
      </c>
      <c r="N47" s="82" t="s">
        <v>2865</v>
      </c>
      <c r="O47" s="82" t="s">
        <v>2866</v>
      </c>
      <c r="P47" s="82" t="s">
        <v>2862</v>
      </c>
      <c r="Q47" s="94">
        <v>473400</v>
      </c>
    </row>
    <row r="48" spans="1:17" s="82" customFormat="1">
      <c r="A48" s="82" t="s">
        <v>2867</v>
      </c>
      <c r="B48" s="82" t="s">
        <v>2862</v>
      </c>
      <c r="E48" s="82" t="s">
        <v>530</v>
      </c>
      <c r="F48" s="93" t="s">
        <v>274</v>
      </c>
      <c r="G48" s="84">
        <v>1</v>
      </c>
      <c r="I48" s="82">
        <v>0</v>
      </c>
      <c r="K48" s="82" t="s">
        <v>274</v>
      </c>
      <c r="L48" s="82" t="s">
        <v>2863</v>
      </c>
      <c r="M48" s="82" t="s">
        <v>2864</v>
      </c>
      <c r="N48" s="82" t="s">
        <v>2865</v>
      </c>
      <c r="O48" s="82" t="s">
        <v>2866</v>
      </c>
      <c r="P48" s="82" t="s">
        <v>2862</v>
      </c>
      <c r="Q48" s="94">
        <v>25300</v>
      </c>
    </row>
    <row r="49" spans="1:17" s="82" customFormat="1">
      <c r="A49" s="82" t="s">
        <v>2868</v>
      </c>
      <c r="B49" s="82" t="s">
        <v>2869</v>
      </c>
      <c r="E49" s="82" t="s">
        <v>346</v>
      </c>
      <c r="F49" s="93" t="s">
        <v>324</v>
      </c>
      <c r="G49" s="84">
        <v>2</v>
      </c>
      <c r="I49" s="82">
        <v>0</v>
      </c>
      <c r="K49" s="82" t="s">
        <v>2520</v>
      </c>
      <c r="L49" s="82" t="s">
        <v>2870</v>
      </c>
      <c r="M49" s="82" t="s">
        <v>2870</v>
      </c>
      <c r="N49" s="82" t="s">
        <v>2871</v>
      </c>
      <c r="O49" s="82" t="s">
        <v>2872</v>
      </c>
      <c r="P49" s="82" t="s">
        <v>2869</v>
      </c>
      <c r="Q49" s="94">
        <v>248400</v>
      </c>
    </row>
    <row r="50" spans="1:17" s="82" customFormat="1">
      <c r="A50" s="82" t="s">
        <v>2873</v>
      </c>
      <c r="B50" s="82" t="s">
        <v>2869</v>
      </c>
      <c r="E50" s="82" t="s">
        <v>350</v>
      </c>
      <c r="F50" s="93" t="s">
        <v>324</v>
      </c>
      <c r="G50" s="84">
        <v>1</v>
      </c>
      <c r="I50" s="82">
        <v>0</v>
      </c>
      <c r="K50" s="82" t="s">
        <v>2520</v>
      </c>
      <c r="L50" s="82" t="s">
        <v>2870</v>
      </c>
      <c r="M50" s="82" t="s">
        <v>2870</v>
      </c>
      <c r="N50" s="82" t="s">
        <v>2871</v>
      </c>
      <c r="O50" s="82" t="s">
        <v>2872</v>
      </c>
      <c r="P50" s="82" t="s">
        <v>2869</v>
      </c>
      <c r="Q50" s="94">
        <v>96300</v>
      </c>
    </row>
    <row r="51" spans="1:17" s="82" customFormat="1">
      <c r="A51" s="82" t="s">
        <v>2874</v>
      </c>
      <c r="B51" s="82" t="s">
        <v>2875</v>
      </c>
      <c r="E51" s="82" t="e">
        <v>#N/A</v>
      </c>
      <c r="F51" s="93" t="e">
        <v>#N/A</v>
      </c>
      <c r="G51" s="84">
        <v>1</v>
      </c>
      <c r="I51" s="82" t="s">
        <v>2187</v>
      </c>
      <c r="K51" s="82" t="e">
        <v>#N/A</v>
      </c>
      <c r="L51" s="82" t="s">
        <v>2876</v>
      </c>
      <c r="M51" s="82" t="s">
        <v>2876</v>
      </c>
      <c r="N51" s="82" t="s">
        <v>2877</v>
      </c>
      <c r="O51" s="82" t="s">
        <v>2878</v>
      </c>
      <c r="P51" s="82" t="s">
        <v>2875</v>
      </c>
      <c r="Q51" s="94">
        <v>7900</v>
      </c>
    </row>
    <row r="52" spans="1:17" s="82" customFormat="1">
      <c r="A52" s="82" t="s">
        <v>2879</v>
      </c>
      <c r="B52" s="82" t="s">
        <v>2875</v>
      </c>
      <c r="E52" s="82" t="e">
        <v>#N/A</v>
      </c>
      <c r="F52" s="93" t="e">
        <v>#N/A</v>
      </c>
      <c r="G52" s="84">
        <v>1</v>
      </c>
      <c r="I52" s="82" t="s">
        <v>2187</v>
      </c>
      <c r="K52" s="82" t="e">
        <v>#N/A</v>
      </c>
      <c r="L52" s="82" t="s">
        <v>2876</v>
      </c>
      <c r="M52" s="82" t="s">
        <v>2876</v>
      </c>
      <c r="N52" s="82" t="s">
        <v>2877</v>
      </c>
      <c r="O52" s="82" t="s">
        <v>2878</v>
      </c>
      <c r="P52" s="82" t="s">
        <v>2875</v>
      </c>
      <c r="Q52" s="94">
        <v>64800</v>
      </c>
    </row>
    <row r="53" spans="1:17" s="82" customFormat="1">
      <c r="A53" s="82" t="s">
        <v>2880</v>
      </c>
      <c r="B53" s="82" t="s">
        <v>2875</v>
      </c>
      <c r="E53" s="82" t="e">
        <v>#N/A</v>
      </c>
      <c r="F53" s="93" t="e">
        <v>#N/A</v>
      </c>
      <c r="G53" s="84">
        <v>1</v>
      </c>
      <c r="I53" s="82" t="s">
        <v>2187</v>
      </c>
      <c r="K53" s="82" t="e">
        <v>#N/A</v>
      </c>
      <c r="L53" s="82" t="s">
        <v>2876</v>
      </c>
      <c r="M53" s="82" t="s">
        <v>2876</v>
      </c>
      <c r="N53" s="82" t="s">
        <v>2877</v>
      </c>
      <c r="O53" s="82" t="s">
        <v>2878</v>
      </c>
      <c r="P53" s="82" t="s">
        <v>2875</v>
      </c>
      <c r="Q53" s="94">
        <v>52400</v>
      </c>
    </row>
    <row r="54" spans="1:17" s="82" customFormat="1">
      <c r="A54" s="82" t="s">
        <v>2881</v>
      </c>
      <c r="B54" s="82" t="s">
        <v>2882</v>
      </c>
      <c r="E54" s="82" t="s">
        <v>2883</v>
      </c>
      <c r="F54" s="93" t="s">
        <v>176</v>
      </c>
      <c r="G54" s="84">
        <v>1</v>
      </c>
      <c r="I54" s="82" t="s">
        <v>2884</v>
      </c>
      <c r="K54" s="82" t="s">
        <v>2520</v>
      </c>
      <c r="L54" s="82" t="s">
        <v>2885</v>
      </c>
      <c r="M54" s="82" t="s">
        <v>2885</v>
      </c>
      <c r="N54" s="82" t="s">
        <v>2886</v>
      </c>
      <c r="O54" s="82" t="s">
        <v>2887</v>
      </c>
      <c r="P54" s="82" t="s">
        <v>2882</v>
      </c>
      <c r="Q54" s="94">
        <v>114600</v>
      </c>
    </row>
    <row r="55" spans="1:17" s="82" customFormat="1">
      <c r="A55" s="82" t="s">
        <v>2888</v>
      </c>
      <c r="B55" s="82" t="s">
        <v>2889</v>
      </c>
      <c r="E55" s="82" t="s">
        <v>2529</v>
      </c>
      <c r="F55" s="93">
        <v>0</v>
      </c>
      <c r="G55" s="84">
        <v>2</v>
      </c>
      <c r="I55" s="82">
        <v>0</v>
      </c>
      <c r="K55" s="82" t="s">
        <v>274</v>
      </c>
      <c r="L55" s="82" t="s">
        <v>2890</v>
      </c>
      <c r="M55" s="82" t="s">
        <v>2890</v>
      </c>
      <c r="N55" s="82" t="s">
        <v>2891</v>
      </c>
      <c r="O55" s="82" t="s">
        <v>2892</v>
      </c>
      <c r="P55" s="82" t="s">
        <v>2889</v>
      </c>
      <c r="Q55" s="94">
        <v>45600</v>
      </c>
    </row>
    <row r="56" spans="1:17" s="82" customFormat="1">
      <c r="A56" s="82" t="s">
        <v>2893</v>
      </c>
      <c r="B56" s="82" t="s">
        <v>2889</v>
      </c>
      <c r="E56" s="82" t="s">
        <v>2530</v>
      </c>
      <c r="F56" s="93">
        <v>0</v>
      </c>
      <c r="G56" s="84">
        <v>4</v>
      </c>
      <c r="I56" s="82">
        <v>0</v>
      </c>
      <c r="K56" s="82" t="s">
        <v>274</v>
      </c>
      <c r="L56" s="82" t="s">
        <v>2890</v>
      </c>
      <c r="M56" s="82" t="s">
        <v>2890</v>
      </c>
      <c r="N56" s="82" t="s">
        <v>2891</v>
      </c>
      <c r="O56" s="82" t="s">
        <v>2892</v>
      </c>
      <c r="P56" s="82" t="s">
        <v>2889</v>
      </c>
      <c r="Q56" s="94">
        <v>91200</v>
      </c>
    </row>
    <row r="57" spans="1:17">
      <c r="A57">
        <f>발송처리!A57</f>
        <v>0</v>
      </c>
      <c r="B57">
        <f>발송처리!M57</f>
        <v>0</v>
      </c>
      <c r="E57" t="e">
        <f>VLOOKUP(발송처리!V57,'상품DB(수정x)'!B:E,2,0)</f>
        <v>#N/A</v>
      </c>
      <c r="F57" s="13" t="e">
        <f>VLOOKUP(발송처리!V57,'상품DB(수정x)'!B:E,4,0)</f>
        <v>#N/A</v>
      </c>
      <c r="G57" s="8">
        <f>발송처리!X57</f>
        <v>0</v>
      </c>
      <c r="I57">
        <f>발송처리!AW57</f>
        <v>0</v>
      </c>
      <c r="K57" t="e">
        <f t="shared" si="0"/>
        <v>#N/A</v>
      </c>
      <c r="L57">
        <f>발송처리!AU57</f>
        <v>0</v>
      </c>
      <c r="M57">
        <f>발송처리!AP57</f>
        <v>0</v>
      </c>
      <c r="N57">
        <f>발송처리!AV57</f>
        <v>0</v>
      </c>
      <c r="O57">
        <f>발송처리!AR57</f>
        <v>0</v>
      </c>
      <c r="P57">
        <f>발송처리!K57</f>
        <v>0</v>
      </c>
      <c r="Q57" s="80">
        <f>발송처리!AC57</f>
        <v>0</v>
      </c>
    </row>
    <row r="58" spans="1:17">
      <c r="A58">
        <f>발송처리!A58</f>
        <v>0</v>
      </c>
      <c r="B58">
        <f>발송처리!M58</f>
        <v>0</v>
      </c>
      <c r="E58" t="e">
        <f>VLOOKUP(발송처리!V58,'상품DB(수정x)'!B:E,2,0)</f>
        <v>#N/A</v>
      </c>
      <c r="F58" s="13" t="e">
        <f>VLOOKUP(발송처리!V58,'상품DB(수정x)'!B:E,4,0)</f>
        <v>#N/A</v>
      </c>
      <c r="G58" s="8">
        <f>발송처리!X58</f>
        <v>0</v>
      </c>
      <c r="I58">
        <f>발송처리!AW58</f>
        <v>0</v>
      </c>
      <c r="K58" t="e">
        <f t="shared" si="0"/>
        <v>#N/A</v>
      </c>
      <c r="L58">
        <f>발송처리!AU58</f>
        <v>0</v>
      </c>
      <c r="M58">
        <f>발송처리!AP58</f>
        <v>0</v>
      </c>
      <c r="N58">
        <f>발송처리!AV58</f>
        <v>0</v>
      </c>
      <c r="O58">
        <f>발송처리!AR58</f>
        <v>0</v>
      </c>
      <c r="P58">
        <f>발송처리!K58</f>
        <v>0</v>
      </c>
      <c r="Q58" s="80">
        <f>발송처리!AC58</f>
        <v>0</v>
      </c>
    </row>
    <row r="59" spans="1:17">
      <c r="A59">
        <f>발송처리!A59</f>
        <v>0</v>
      </c>
      <c r="B59">
        <f>발송처리!M59</f>
        <v>0</v>
      </c>
      <c r="E59" t="e">
        <f>VLOOKUP(발송처리!V59,'상품DB(수정x)'!B:E,2,0)</f>
        <v>#N/A</v>
      </c>
      <c r="F59" s="13" t="e">
        <f>VLOOKUP(발송처리!V59,'상품DB(수정x)'!B:E,4,0)</f>
        <v>#N/A</v>
      </c>
      <c r="G59" s="8">
        <f>발송처리!X59</f>
        <v>0</v>
      </c>
      <c r="I59">
        <f>발송처리!AW59</f>
        <v>0</v>
      </c>
      <c r="K59" t="e">
        <f t="shared" si="0"/>
        <v>#N/A</v>
      </c>
      <c r="L59">
        <f>발송처리!AU59</f>
        <v>0</v>
      </c>
      <c r="M59">
        <f>발송처리!AP59</f>
        <v>0</v>
      </c>
      <c r="N59">
        <f>발송처리!AV59</f>
        <v>0</v>
      </c>
      <c r="O59">
        <f>발송처리!AR59</f>
        <v>0</v>
      </c>
      <c r="P59">
        <f>발송처리!K59</f>
        <v>0</v>
      </c>
      <c r="Q59" s="80">
        <f>발송처리!AC59</f>
        <v>0</v>
      </c>
    </row>
    <row r="60" spans="1:17">
      <c r="A60">
        <f>발송처리!A60</f>
        <v>0</v>
      </c>
      <c r="B60">
        <f>발송처리!M60</f>
        <v>0</v>
      </c>
      <c r="E60" t="e">
        <f>VLOOKUP(발송처리!V60,'상품DB(수정x)'!B:E,2,0)</f>
        <v>#N/A</v>
      </c>
      <c r="F60" s="13" t="e">
        <f>VLOOKUP(발송처리!V60,'상품DB(수정x)'!B:E,4,0)</f>
        <v>#N/A</v>
      </c>
      <c r="G60" s="8">
        <f>발송처리!X60</f>
        <v>0</v>
      </c>
      <c r="I60">
        <f>발송처리!AW60</f>
        <v>0</v>
      </c>
      <c r="K60" t="e">
        <f t="shared" si="0"/>
        <v>#N/A</v>
      </c>
      <c r="L60">
        <f>발송처리!AU60</f>
        <v>0</v>
      </c>
      <c r="M60">
        <f>발송처리!AP60</f>
        <v>0</v>
      </c>
      <c r="N60">
        <f>발송처리!AV60</f>
        <v>0</v>
      </c>
      <c r="O60">
        <f>발송처리!AR60</f>
        <v>0</v>
      </c>
      <c r="P60">
        <f>발송처리!K60</f>
        <v>0</v>
      </c>
      <c r="Q60" s="80">
        <f>발송처리!AC60</f>
        <v>0</v>
      </c>
    </row>
    <row r="61" spans="1:17">
      <c r="A61">
        <f>발송처리!A61</f>
        <v>0</v>
      </c>
      <c r="B61">
        <f>발송처리!M61</f>
        <v>0</v>
      </c>
      <c r="E61" t="e">
        <f>VLOOKUP(발송처리!V61,'상품DB(수정x)'!B:E,2,0)</f>
        <v>#N/A</v>
      </c>
      <c r="F61" s="13" t="e">
        <f>VLOOKUP(발송처리!V61,'상품DB(수정x)'!B:E,4,0)</f>
        <v>#N/A</v>
      </c>
      <c r="G61" s="8">
        <f>발송처리!X61</f>
        <v>0</v>
      </c>
      <c r="I61">
        <f>발송처리!AW61</f>
        <v>0</v>
      </c>
      <c r="K61" t="e">
        <f t="shared" si="0"/>
        <v>#N/A</v>
      </c>
      <c r="L61">
        <f>발송처리!AU61</f>
        <v>0</v>
      </c>
      <c r="M61">
        <f>발송처리!AP61</f>
        <v>0</v>
      </c>
      <c r="N61">
        <f>발송처리!AV61</f>
        <v>0</v>
      </c>
      <c r="O61">
        <f>발송처리!AR61</f>
        <v>0</v>
      </c>
      <c r="P61">
        <f>발송처리!K61</f>
        <v>0</v>
      </c>
      <c r="Q61" s="80">
        <f>발송처리!AC61</f>
        <v>0</v>
      </c>
    </row>
    <row r="62" spans="1:17">
      <c r="A62">
        <f>발송처리!A62</f>
        <v>0</v>
      </c>
      <c r="B62">
        <f>발송처리!M62</f>
        <v>0</v>
      </c>
      <c r="E62" t="e">
        <f>VLOOKUP(발송처리!V62,'상품DB(수정x)'!B:E,2,0)</f>
        <v>#N/A</v>
      </c>
      <c r="F62" s="13" t="e">
        <f>VLOOKUP(발송처리!V62,'상품DB(수정x)'!B:E,4,0)</f>
        <v>#N/A</v>
      </c>
      <c r="G62" s="8">
        <f>발송처리!X62</f>
        <v>0</v>
      </c>
      <c r="I62">
        <f>발송처리!AW62</f>
        <v>0</v>
      </c>
      <c r="K62" t="e">
        <f t="shared" si="0"/>
        <v>#N/A</v>
      </c>
      <c r="L62">
        <f>발송처리!AU62</f>
        <v>0</v>
      </c>
      <c r="M62">
        <f>발송처리!AP62</f>
        <v>0</v>
      </c>
      <c r="N62">
        <f>발송처리!AV62</f>
        <v>0</v>
      </c>
      <c r="O62">
        <f>발송처리!AR62</f>
        <v>0</v>
      </c>
      <c r="P62">
        <f>발송처리!K62</f>
        <v>0</v>
      </c>
      <c r="Q62" s="80">
        <f>발송처리!AC62</f>
        <v>0</v>
      </c>
    </row>
    <row r="63" spans="1:17">
      <c r="A63">
        <f>발송처리!A63</f>
        <v>0</v>
      </c>
      <c r="B63">
        <f>발송처리!M63</f>
        <v>0</v>
      </c>
      <c r="E63" t="e">
        <f>VLOOKUP(발송처리!V63,'상품DB(수정x)'!B:E,2,0)</f>
        <v>#N/A</v>
      </c>
      <c r="F63" s="13" t="e">
        <f>VLOOKUP(발송처리!V63,'상품DB(수정x)'!B:E,4,0)</f>
        <v>#N/A</v>
      </c>
      <c r="G63" s="8">
        <f>발송처리!X63</f>
        <v>0</v>
      </c>
      <c r="I63">
        <f>발송처리!AW63</f>
        <v>0</v>
      </c>
      <c r="K63" t="e">
        <f t="shared" si="0"/>
        <v>#N/A</v>
      </c>
      <c r="L63">
        <f>발송처리!AU63</f>
        <v>0</v>
      </c>
      <c r="M63">
        <f>발송처리!AP63</f>
        <v>0</v>
      </c>
      <c r="N63">
        <f>발송처리!AV63</f>
        <v>0</v>
      </c>
      <c r="O63">
        <f>발송처리!AR63</f>
        <v>0</v>
      </c>
      <c r="P63">
        <f>발송처리!K63</f>
        <v>0</v>
      </c>
      <c r="Q63" s="80">
        <f>발송처리!AC63</f>
        <v>0</v>
      </c>
    </row>
    <row r="64" spans="1:17">
      <c r="A64">
        <f>발송처리!A64</f>
        <v>0</v>
      </c>
      <c r="B64">
        <f>발송처리!M64</f>
        <v>0</v>
      </c>
      <c r="E64" t="e">
        <f>VLOOKUP(발송처리!V64,'상품DB(수정x)'!B:E,2,0)</f>
        <v>#N/A</v>
      </c>
      <c r="F64" s="13" t="e">
        <f>VLOOKUP(발송처리!V64,'상품DB(수정x)'!B:E,4,0)</f>
        <v>#N/A</v>
      </c>
      <c r="G64" s="8">
        <f>발송처리!X64</f>
        <v>0</v>
      </c>
      <c r="I64">
        <f>발송처리!AW64</f>
        <v>0</v>
      </c>
      <c r="K64" t="e">
        <f t="shared" si="0"/>
        <v>#N/A</v>
      </c>
      <c r="L64">
        <f>발송처리!AU64</f>
        <v>0</v>
      </c>
      <c r="M64">
        <f>발송처리!AP64</f>
        <v>0</v>
      </c>
      <c r="N64">
        <f>발송처리!AV64</f>
        <v>0</v>
      </c>
      <c r="O64">
        <f>발송처리!AR64</f>
        <v>0</v>
      </c>
      <c r="P64">
        <f>발송처리!K64</f>
        <v>0</v>
      </c>
      <c r="Q64" s="80">
        <f>발송처리!AC64</f>
        <v>0</v>
      </c>
    </row>
    <row r="65" spans="1:17">
      <c r="A65">
        <f>발송처리!A65</f>
        <v>0</v>
      </c>
      <c r="B65">
        <f>발송처리!M65</f>
        <v>0</v>
      </c>
      <c r="E65" t="e">
        <f>VLOOKUP(발송처리!V65,'상품DB(수정x)'!B:E,2,0)</f>
        <v>#N/A</v>
      </c>
      <c r="F65" s="13" t="e">
        <f>VLOOKUP(발송처리!V65,'상품DB(수정x)'!B:E,4,0)</f>
        <v>#N/A</v>
      </c>
      <c r="G65" s="8">
        <f>발송처리!X65</f>
        <v>0</v>
      </c>
      <c r="I65">
        <f>발송처리!AW65</f>
        <v>0</v>
      </c>
      <c r="K65" t="e">
        <f t="shared" si="0"/>
        <v>#N/A</v>
      </c>
      <c r="L65">
        <f>발송처리!AU65</f>
        <v>0</v>
      </c>
      <c r="M65">
        <f>발송처리!AP65</f>
        <v>0</v>
      </c>
      <c r="N65">
        <f>발송처리!AV65</f>
        <v>0</v>
      </c>
      <c r="O65">
        <f>발송처리!AR65</f>
        <v>0</v>
      </c>
      <c r="P65">
        <f>발송처리!K65</f>
        <v>0</v>
      </c>
      <c r="Q65" s="80">
        <f>발송처리!AC65</f>
        <v>0</v>
      </c>
    </row>
    <row r="66" spans="1:17">
      <c r="A66">
        <f>발송처리!A66</f>
        <v>0</v>
      </c>
      <c r="B66">
        <f>발송처리!M66</f>
        <v>0</v>
      </c>
      <c r="E66" t="e">
        <f>VLOOKUP(발송처리!V66,'상품DB(수정x)'!B:E,2,0)</f>
        <v>#N/A</v>
      </c>
      <c r="F66" s="13" t="e">
        <f>VLOOKUP(발송처리!V66,'상품DB(수정x)'!B:E,4,0)</f>
        <v>#N/A</v>
      </c>
      <c r="G66" s="8">
        <f>발송처리!X66</f>
        <v>0</v>
      </c>
      <c r="I66">
        <f>발송처리!AW66</f>
        <v>0</v>
      </c>
      <c r="K66" t="e">
        <f t="shared" si="0"/>
        <v>#N/A</v>
      </c>
      <c r="L66">
        <f>발송처리!AU66</f>
        <v>0</v>
      </c>
      <c r="M66">
        <f>발송처리!AP66</f>
        <v>0</v>
      </c>
      <c r="N66">
        <f>발송처리!AV66</f>
        <v>0</v>
      </c>
      <c r="O66">
        <f>발송처리!AR66</f>
        <v>0</v>
      </c>
      <c r="P66">
        <f>발송처리!K66</f>
        <v>0</v>
      </c>
      <c r="Q66" s="80">
        <f>발송처리!AC66</f>
        <v>0</v>
      </c>
    </row>
    <row r="67" spans="1:17">
      <c r="A67">
        <f>발송처리!A67</f>
        <v>0</v>
      </c>
      <c r="B67">
        <f>발송처리!M67</f>
        <v>0</v>
      </c>
      <c r="E67" t="e">
        <f>VLOOKUP(발송처리!V67,'상품DB(수정x)'!B:E,2,0)</f>
        <v>#N/A</v>
      </c>
      <c r="F67" s="13" t="e">
        <f>VLOOKUP(발송처리!V67,'상품DB(수정x)'!B:E,4,0)</f>
        <v>#N/A</v>
      </c>
      <c r="G67" s="8">
        <f>발송처리!X67</f>
        <v>0</v>
      </c>
      <c r="I67">
        <f>발송처리!AW67</f>
        <v>0</v>
      </c>
      <c r="K67" t="e">
        <f t="shared" ref="K67:K130" si="3">IF(LEFT(E67,1)="2","",IF(LEFT(E67,1)="4","",IF(Q67&gt;=500000,"★증정★테이프20mx2",IF(Q67&gt;=95000,"★증정★테이프20mx1",""))))</f>
        <v>#N/A</v>
      </c>
      <c r="L67">
        <f>발송처리!AU67</f>
        <v>0</v>
      </c>
      <c r="M67">
        <f>발송처리!AP67</f>
        <v>0</v>
      </c>
      <c r="N67">
        <f>발송처리!AV67</f>
        <v>0</v>
      </c>
      <c r="O67">
        <f>발송처리!AR67</f>
        <v>0</v>
      </c>
      <c r="P67">
        <f>발송처리!K67</f>
        <v>0</v>
      </c>
      <c r="Q67" s="80">
        <f>발송처리!AC67</f>
        <v>0</v>
      </c>
    </row>
    <row r="68" spans="1:17">
      <c r="A68">
        <f>발송처리!A68</f>
        <v>0</v>
      </c>
      <c r="B68">
        <f>발송처리!M68</f>
        <v>0</v>
      </c>
      <c r="E68" t="e">
        <f>VLOOKUP(발송처리!V68,'상품DB(수정x)'!B:E,2,0)</f>
        <v>#N/A</v>
      </c>
      <c r="F68" s="13" t="e">
        <f>VLOOKUP(발송처리!V68,'상품DB(수정x)'!B:E,4,0)</f>
        <v>#N/A</v>
      </c>
      <c r="G68" s="8">
        <f>발송처리!X68</f>
        <v>0</v>
      </c>
      <c r="I68">
        <f>발송처리!AW68</f>
        <v>0</v>
      </c>
      <c r="K68" t="e">
        <f t="shared" si="3"/>
        <v>#N/A</v>
      </c>
      <c r="L68">
        <f>발송처리!AU68</f>
        <v>0</v>
      </c>
      <c r="M68">
        <f>발송처리!AP68</f>
        <v>0</v>
      </c>
      <c r="N68">
        <f>발송처리!AV68</f>
        <v>0</v>
      </c>
      <c r="O68">
        <f>발송처리!AR68</f>
        <v>0</v>
      </c>
      <c r="P68">
        <f>발송처리!K68</f>
        <v>0</v>
      </c>
      <c r="Q68" s="80">
        <f>발송처리!AC68</f>
        <v>0</v>
      </c>
    </row>
    <row r="69" spans="1:17">
      <c r="A69">
        <f>발송처리!A69</f>
        <v>0</v>
      </c>
      <c r="B69">
        <f>발송처리!M69</f>
        <v>0</v>
      </c>
      <c r="E69" t="e">
        <f>VLOOKUP(발송처리!V69,'상품DB(수정x)'!B:E,2,0)</f>
        <v>#N/A</v>
      </c>
      <c r="F69" s="13" t="e">
        <f>VLOOKUP(발송처리!V69,'상품DB(수정x)'!B:E,4,0)</f>
        <v>#N/A</v>
      </c>
      <c r="G69" s="8">
        <f>발송처리!X69</f>
        <v>0</v>
      </c>
      <c r="I69">
        <f>발송처리!AW69</f>
        <v>0</v>
      </c>
      <c r="K69" t="e">
        <f t="shared" si="3"/>
        <v>#N/A</v>
      </c>
      <c r="L69">
        <f>발송처리!AU69</f>
        <v>0</v>
      </c>
      <c r="M69">
        <f>발송처리!AP69</f>
        <v>0</v>
      </c>
      <c r="N69">
        <f>발송처리!AV69</f>
        <v>0</v>
      </c>
      <c r="O69">
        <f>발송처리!AR69</f>
        <v>0</v>
      </c>
      <c r="P69">
        <f>발송처리!K69</f>
        <v>0</v>
      </c>
      <c r="Q69" s="80">
        <f>발송처리!AC69</f>
        <v>0</v>
      </c>
    </row>
    <row r="70" spans="1:17">
      <c r="A70">
        <f>발송처리!A70</f>
        <v>0</v>
      </c>
      <c r="B70">
        <f>발송처리!M70</f>
        <v>0</v>
      </c>
      <c r="E70" t="e">
        <f>VLOOKUP(발송처리!V70,'상품DB(수정x)'!B:E,2,0)</f>
        <v>#N/A</v>
      </c>
      <c r="F70" s="13" t="e">
        <f>VLOOKUP(발송처리!V70,'상품DB(수정x)'!B:E,4,0)</f>
        <v>#N/A</v>
      </c>
      <c r="G70" s="8">
        <f>발송처리!X70</f>
        <v>0</v>
      </c>
      <c r="I70">
        <f>발송처리!AW70</f>
        <v>0</v>
      </c>
      <c r="K70" t="e">
        <f t="shared" si="3"/>
        <v>#N/A</v>
      </c>
      <c r="L70">
        <f>발송처리!AU70</f>
        <v>0</v>
      </c>
      <c r="M70">
        <f>발송처리!AP70</f>
        <v>0</v>
      </c>
      <c r="N70">
        <f>발송처리!AV70</f>
        <v>0</v>
      </c>
      <c r="O70">
        <f>발송처리!AR70</f>
        <v>0</v>
      </c>
      <c r="P70">
        <f>발송처리!K70</f>
        <v>0</v>
      </c>
      <c r="Q70" s="80">
        <f>발송처리!AC70</f>
        <v>0</v>
      </c>
    </row>
    <row r="71" spans="1:17">
      <c r="A71">
        <f>발송처리!A71</f>
        <v>0</v>
      </c>
      <c r="B71">
        <f>발송처리!M71</f>
        <v>0</v>
      </c>
      <c r="E71" t="e">
        <f>VLOOKUP(발송처리!V71,'상품DB(수정x)'!B:E,2,0)</f>
        <v>#N/A</v>
      </c>
      <c r="F71" s="13" t="e">
        <f>VLOOKUP(발송처리!V71,'상품DB(수정x)'!B:E,4,0)</f>
        <v>#N/A</v>
      </c>
      <c r="G71" s="8">
        <f>발송처리!X71</f>
        <v>0</v>
      </c>
      <c r="I71">
        <f>발송처리!AW71</f>
        <v>0</v>
      </c>
      <c r="K71" t="e">
        <f t="shared" si="3"/>
        <v>#N/A</v>
      </c>
      <c r="L71">
        <f>발송처리!AU71</f>
        <v>0</v>
      </c>
      <c r="M71">
        <f>발송처리!AP71</f>
        <v>0</v>
      </c>
      <c r="N71">
        <f>발송처리!AV71</f>
        <v>0</v>
      </c>
      <c r="O71">
        <f>발송처리!AR71</f>
        <v>0</v>
      </c>
      <c r="P71">
        <f>발송처리!K71</f>
        <v>0</v>
      </c>
      <c r="Q71" s="80">
        <f>발송처리!AC71</f>
        <v>0</v>
      </c>
    </row>
    <row r="72" spans="1:17">
      <c r="A72">
        <f>발송처리!A72</f>
        <v>0</v>
      </c>
      <c r="B72">
        <f>발송처리!M72</f>
        <v>0</v>
      </c>
      <c r="E72" t="e">
        <f>VLOOKUP(발송처리!V72,'상품DB(수정x)'!B:E,2,0)</f>
        <v>#N/A</v>
      </c>
      <c r="F72" s="13" t="e">
        <f>VLOOKUP(발송처리!V72,'상품DB(수정x)'!B:E,4,0)</f>
        <v>#N/A</v>
      </c>
      <c r="G72" s="8">
        <f>발송처리!X72</f>
        <v>0</v>
      </c>
      <c r="I72">
        <f>발송처리!AW72</f>
        <v>0</v>
      </c>
      <c r="K72" t="e">
        <f t="shared" si="3"/>
        <v>#N/A</v>
      </c>
      <c r="L72">
        <f>발송처리!AU72</f>
        <v>0</v>
      </c>
      <c r="M72">
        <f>발송처리!AP72</f>
        <v>0</v>
      </c>
      <c r="N72">
        <f>발송처리!AV72</f>
        <v>0</v>
      </c>
      <c r="O72">
        <f>발송처리!AR72</f>
        <v>0</v>
      </c>
      <c r="P72">
        <f>발송처리!K72</f>
        <v>0</v>
      </c>
      <c r="Q72" s="80">
        <f>발송처리!AC72</f>
        <v>0</v>
      </c>
    </row>
    <row r="73" spans="1:17">
      <c r="A73">
        <f>발송처리!A73</f>
        <v>0</v>
      </c>
      <c r="B73">
        <f>발송처리!M73</f>
        <v>0</v>
      </c>
      <c r="E73" t="e">
        <f>VLOOKUP(발송처리!V73,'상품DB(수정x)'!B:E,2,0)</f>
        <v>#N/A</v>
      </c>
      <c r="F73" s="13" t="e">
        <f>VLOOKUP(발송처리!V73,'상품DB(수정x)'!B:E,4,0)</f>
        <v>#N/A</v>
      </c>
      <c r="G73" s="8">
        <f>발송처리!X73</f>
        <v>0</v>
      </c>
      <c r="I73">
        <f>발송처리!AW73</f>
        <v>0</v>
      </c>
      <c r="K73" t="e">
        <f t="shared" si="3"/>
        <v>#N/A</v>
      </c>
      <c r="L73">
        <f>발송처리!AU73</f>
        <v>0</v>
      </c>
      <c r="M73">
        <f>발송처리!AP73</f>
        <v>0</v>
      </c>
      <c r="N73">
        <f>발송처리!AV73</f>
        <v>0</v>
      </c>
      <c r="O73">
        <f>발송처리!AR73</f>
        <v>0</v>
      </c>
      <c r="P73">
        <f>발송처리!K73</f>
        <v>0</v>
      </c>
      <c r="Q73" s="80">
        <f>발송처리!AC73</f>
        <v>0</v>
      </c>
    </row>
    <row r="74" spans="1:17">
      <c r="A74">
        <f>발송처리!A74</f>
        <v>0</v>
      </c>
      <c r="B74">
        <f>발송처리!M74</f>
        <v>0</v>
      </c>
      <c r="E74" t="e">
        <f>VLOOKUP(발송처리!V74,'상품DB(수정x)'!B:E,2,0)</f>
        <v>#N/A</v>
      </c>
      <c r="F74" s="13" t="e">
        <f>VLOOKUP(발송처리!V74,'상품DB(수정x)'!B:E,4,0)</f>
        <v>#N/A</v>
      </c>
      <c r="G74" s="8">
        <f>발송처리!X74</f>
        <v>0</v>
      </c>
      <c r="I74">
        <f>발송처리!AW74</f>
        <v>0</v>
      </c>
      <c r="K74" t="e">
        <f t="shared" si="3"/>
        <v>#N/A</v>
      </c>
      <c r="L74">
        <f>발송처리!AU74</f>
        <v>0</v>
      </c>
      <c r="M74">
        <f>발송처리!AP74</f>
        <v>0</v>
      </c>
      <c r="N74">
        <f>발송처리!AV74</f>
        <v>0</v>
      </c>
      <c r="O74">
        <f>발송처리!AR74</f>
        <v>0</v>
      </c>
      <c r="P74">
        <f>발송처리!K74</f>
        <v>0</v>
      </c>
      <c r="Q74" s="80">
        <f>발송처리!AC74</f>
        <v>0</v>
      </c>
    </row>
    <row r="75" spans="1:17">
      <c r="A75">
        <f>발송처리!A75</f>
        <v>0</v>
      </c>
      <c r="B75">
        <f>발송처리!M75</f>
        <v>0</v>
      </c>
      <c r="E75" t="e">
        <f>VLOOKUP(발송처리!V75,'상품DB(수정x)'!B:E,2,0)</f>
        <v>#N/A</v>
      </c>
      <c r="F75" s="13" t="e">
        <f>VLOOKUP(발송처리!V75,'상품DB(수정x)'!B:E,4,0)</f>
        <v>#N/A</v>
      </c>
      <c r="G75" s="8">
        <f>발송처리!X75</f>
        <v>0</v>
      </c>
      <c r="I75">
        <f>발송처리!AW75</f>
        <v>0</v>
      </c>
      <c r="K75" t="e">
        <f t="shared" si="3"/>
        <v>#N/A</v>
      </c>
      <c r="L75">
        <f>발송처리!AU75</f>
        <v>0</v>
      </c>
      <c r="M75">
        <f>발송처리!AP75</f>
        <v>0</v>
      </c>
      <c r="N75">
        <f>발송처리!AV75</f>
        <v>0</v>
      </c>
      <c r="O75">
        <f>발송처리!AR75</f>
        <v>0</v>
      </c>
      <c r="P75">
        <f>발송처리!K75</f>
        <v>0</v>
      </c>
      <c r="Q75" s="80">
        <f>발송처리!AC75</f>
        <v>0</v>
      </c>
    </row>
    <row r="76" spans="1:17">
      <c r="A76">
        <f>발송처리!A76</f>
        <v>0</v>
      </c>
      <c r="B76">
        <f>발송처리!M76</f>
        <v>0</v>
      </c>
      <c r="E76" t="e">
        <f>VLOOKUP(발송처리!V76,'상품DB(수정x)'!B:E,2,0)</f>
        <v>#N/A</v>
      </c>
      <c r="F76" s="13" t="e">
        <f>VLOOKUP(발송처리!V76,'상품DB(수정x)'!B:E,4,0)</f>
        <v>#N/A</v>
      </c>
      <c r="G76" s="8">
        <f>발송처리!X76</f>
        <v>0</v>
      </c>
      <c r="I76">
        <f>발송처리!AW76</f>
        <v>0</v>
      </c>
      <c r="K76" t="e">
        <f t="shared" si="3"/>
        <v>#N/A</v>
      </c>
      <c r="L76">
        <f>발송처리!AU76</f>
        <v>0</v>
      </c>
      <c r="M76">
        <f>발송처리!AP76</f>
        <v>0</v>
      </c>
      <c r="N76">
        <f>발송처리!AV76</f>
        <v>0</v>
      </c>
      <c r="O76">
        <f>발송처리!AR76</f>
        <v>0</v>
      </c>
      <c r="P76">
        <f>발송처리!K76</f>
        <v>0</v>
      </c>
      <c r="Q76" s="80">
        <f>발송처리!AC76</f>
        <v>0</v>
      </c>
    </row>
    <row r="77" spans="1:17">
      <c r="A77">
        <f>발송처리!A77</f>
        <v>0</v>
      </c>
      <c r="B77">
        <f>발송처리!M77</f>
        <v>0</v>
      </c>
      <c r="E77" t="e">
        <f>VLOOKUP(발송처리!V77,'상품DB(수정x)'!B:E,2,0)</f>
        <v>#N/A</v>
      </c>
      <c r="F77" s="13" t="e">
        <f>VLOOKUP(발송처리!V77,'상품DB(수정x)'!B:E,4,0)</f>
        <v>#N/A</v>
      </c>
      <c r="G77" s="8">
        <f>발송처리!X77</f>
        <v>0</v>
      </c>
      <c r="I77">
        <f>발송처리!AW77</f>
        <v>0</v>
      </c>
      <c r="K77" t="e">
        <f t="shared" si="3"/>
        <v>#N/A</v>
      </c>
      <c r="L77">
        <f>발송처리!AU77</f>
        <v>0</v>
      </c>
      <c r="M77">
        <f>발송처리!AP77</f>
        <v>0</v>
      </c>
      <c r="N77">
        <f>발송처리!AV77</f>
        <v>0</v>
      </c>
      <c r="O77">
        <f>발송처리!AR77</f>
        <v>0</v>
      </c>
      <c r="P77">
        <f>발송처리!K77</f>
        <v>0</v>
      </c>
      <c r="Q77" s="80">
        <f>발송처리!AC77</f>
        <v>0</v>
      </c>
    </row>
    <row r="78" spans="1:17">
      <c r="A78">
        <f>발송처리!A78</f>
        <v>0</v>
      </c>
      <c r="B78">
        <f>발송처리!M78</f>
        <v>0</v>
      </c>
      <c r="E78" t="e">
        <f>VLOOKUP(발송처리!V78,'상품DB(수정x)'!B:E,2,0)</f>
        <v>#N/A</v>
      </c>
      <c r="F78" s="13" t="e">
        <f>VLOOKUP(발송처리!V78,'상품DB(수정x)'!B:E,4,0)</f>
        <v>#N/A</v>
      </c>
      <c r="G78" s="8">
        <f>발송처리!X78</f>
        <v>0</v>
      </c>
      <c r="I78">
        <f>발송처리!AW78</f>
        <v>0</v>
      </c>
      <c r="K78" t="e">
        <f t="shared" si="3"/>
        <v>#N/A</v>
      </c>
      <c r="L78">
        <f>발송처리!AU78</f>
        <v>0</v>
      </c>
      <c r="M78">
        <f>발송처리!AP78</f>
        <v>0</v>
      </c>
      <c r="N78">
        <f>발송처리!AV78</f>
        <v>0</v>
      </c>
      <c r="O78">
        <f>발송처리!AR78</f>
        <v>0</v>
      </c>
      <c r="P78">
        <f>발송처리!K78</f>
        <v>0</v>
      </c>
      <c r="Q78" s="80">
        <f>발송처리!AC78</f>
        <v>0</v>
      </c>
    </row>
    <row r="79" spans="1:17">
      <c r="A79">
        <f>발송처리!A79</f>
        <v>0</v>
      </c>
      <c r="B79">
        <f>발송처리!M79</f>
        <v>0</v>
      </c>
      <c r="E79" t="e">
        <f>VLOOKUP(발송처리!V79,'상품DB(수정x)'!B:E,2,0)</f>
        <v>#N/A</v>
      </c>
      <c r="F79" s="13" t="e">
        <f>VLOOKUP(발송처리!V79,'상품DB(수정x)'!B:E,4,0)</f>
        <v>#N/A</v>
      </c>
      <c r="G79" s="8">
        <f>발송처리!X79</f>
        <v>0</v>
      </c>
      <c r="I79">
        <f>발송처리!AW79</f>
        <v>0</v>
      </c>
      <c r="K79" t="e">
        <f t="shared" si="3"/>
        <v>#N/A</v>
      </c>
      <c r="L79">
        <f>발송처리!AU79</f>
        <v>0</v>
      </c>
      <c r="M79">
        <f>발송처리!AP79</f>
        <v>0</v>
      </c>
      <c r="N79">
        <f>발송처리!AV79</f>
        <v>0</v>
      </c>
      <c r="O79">
        <f>발송처리!AR79</f>
        <v>0</v>
      </c>
      <c r="P79">
        <f>발송처리!K79</f>
        <v>0</v>
      </c>
      <c r="Q79" s="80">
        <f>발송처리!AC79</f>
        <v>0</v>
      </c>
    </row>
    <row r="80" spans="1:17">
      <c r="A80">
        <f>발송처리!A80</f>
        <v>0</v>
      </c>
      <c r="B80">
        <f>발송처리!M80</f>
        <v>0</v>
      </c>
      <c r="E80" t="e">
        <f>VLOOKUP(발송처리!V80,'상품DB(수정x)'!B:E,2,0)</f>
        <v>#N/A</v>
      </c>
      <c r="F80" s="13" t="e">
        <f>VLOOKUP(발송처리!V80,'상품DB(수정x)'!B:E,4,0)</f>
        <v>#N/A</v>
      </c>
      <c r="G80" s="8">
        <f>발송처리!X80</f>
        <v>0</v>
      </c>
      <c r="I80">
        <f>발송처리!AW80</f>
        <v>0</v>
      </c>
      <c r="K80" t="e">
        <f t="shared" si="3"/>
        <v>#N/A</v>
      </c>
      <c r="L80">
        <f>발송처리!AU80</f>
        <v>0</v>
      </c>
      <c r="M80">
        <f>발송처리!AP80</f>
        <v>0</v>
      </c>
      <c r="N80">
        <f>발송처리!AV80</f>
        <v>0</v>
      </c>
      <c r="O80">
        <f>발송처리!AR80</f>
        <v>0</v>
      </c>
      <c r="P80">
        <f>발송처리!K80</f>
        <v>0</v>
      </c>
      <c r="Q80" s="80">
        <f>발송처리!AC80</f>
        <v>0</v>
      </c>
    </row>
    <row r="81" spans="1:17">
      <c r="A81">
        <f>발송처리!A81</f>
        <v>0</v>
      </c>
      <c r="B81">
        <f>발송처리!M81</f>
        <v>0</v>
      </c>
      <c r="E81" t="e">
        <f>VLOOKUP(발송처리!V81,'상품DB(수정x)'!B:E,2,0)</f>
        <v>#N/A</v>
      </c>
      <c r="F81" s="13" t="e">
        <f>VLOOKUP(발송처리!V81,'상품DB(수정x)'!B:E,4,0)</f>
        <v>#N/A</v>
      </c>
      <c r="G81" s="8">
        <f>발송처리!X81</f>
        <v>0</v>
      </c>
      <c r="I81">
        <f>발송처리!AW81</f>
        <v>0</v>
      </c>
      <c r="K81" t="e">
        <f t="shared" si="3"/>
        <v>#N/A</v>
      </c>
      <c r="L81">
        <f>발송처리!AU81</f>
        <v>0</v>
      </c>
      <c r="M81">
        <f>발송처리!AP81</f>
        <v>0</v>
      </c>
      <c r="N81">
        <f>발송처리!AV81</f>
        <v>0</v>
      </c>
      <c r="O81">
        <f>발송처리!AR81</f>
        <v>0</v>
      </c>
      <c r="P81">
        <f>발송처리!K81</f>
        <v>0</v>
      </c>
      <c r="Q81" s="80">
        <f>발송처리!AC81</f>
        <v>0</v>
      </c>
    </row>
    <row r="82" spans="1:17">
      <c r="A82">
        <f>발송처리!A82</f>
        <v>0</v>
      </c>
      <c r="B82">
        <f>발송처리!M82</f>
        <v>0</v>
      </c>
      <c r="E82" t="e">
        <f>VLOOKUP(발송처리!V82,'상품DB(수정x)'!B:E,2,0)</f>
        <v>#N/A</v>
      </c>
      <c r="F82" s="13" t="e">
        <f>VLOOKUP(발송처리!V82,'상품DB(수정x)'!B:E,4,0)</f>
        <v>#N/A</v>
      </c>
      <c r="G82" s="8">
        <f>발송처리!X82</f>
        <v>0</v>
      </c>
      <c r="I82">
        <f>발송처리!AW82</f>
        <v>0</v>
      </c>
      <c r="K82" t="e">
        <f t="shared" si="3"/>
        <v>#N/A</v>
      </c>
      <c r="L82">
        <f>발송처리!AU82</f>
        <v>0</v>
      </c>
      <c r="M82">
        <f>발송처리!AP82</f>
        <v>0</v>
      </c>
      <c r="N82">
        <f>발송처리!AV82</f>
        <v>0</v>
      </c>
      <c r="O82">
        <f>발송처리!AR82</f>
        <v>0</v>
      </c>
      <c r="P82">
        <f>발송처리!K82</f>
        <v>0</v>
      </c>
      <c r="Q82" s="80">
        <f>발송처리!AC82</f>
        <v>0</v>
      </c>
    </row>
    <row r="83" spans="1:17">
      <c r="A83">
        <f>발송처리!A83</f>
        <v>0</v>
      </c>
      <c r="B83">
        <f>발송처리!M83</f>
        <v>0</v>
      </c>
      <c r="E83" t="e">
        <f>VLOOKUP(발송처리!V83,'상품DB(수정x)'!B:E,2,0)</f>
        <v>#N/A</v>
      </c>
      <c r="F83" s="13" t="e">
        <f>VLOOKUP(발송처리!V83,'상품DB(수정x)'!B:E,4,0)</f>
        <v>#N/A</v>
      </c>
      <c r="G83" s="8">
        <f>발송처리!X83</f>
        <v>0</v>
      </c>
      <c r="I83">
        <f>발송처리!AW83</f>
        <v>0</v>
      </c>
      <c r="K83" t="e">
        <f t="shared" si="3"/>
        <v>#N/A</v>
      </c>
      <c r="L83">
        <f>발송처리!AU83</f>
        <v>0</v>
      </c>
      <c r="M83">
        <f>발송처리!AP83</f>
        <v>0</v>
      </c>
      <c r="N83">
        <f>발송처리!AV83</f>
        <v>0</v>
      </c>
      <c r="O83">
        <f>발송처리!AR83</f>
        <v>0</v>
      </c>
      <c r="P83">
        <f>발송처리!K83</f>
        <v>0</v>
      </c>
      <c r="Q83" s="80">
        <f>발송처리!AC83</f>
        <v>0</v>
      </c>
    </row>
    <row r="84" spans="1:17">
      <c r="A84">
        <f>발송처리!A84</f>
        <v>0</v>
      </c>
      <c r="B84">
        <f>발송처리!M84</f>
        <v>0</v>
      </c>
      <c r="E84" t="e">
        <f>VLOOKUP(발송처리!V84,'상품DB(수정x)'!B:E,2,0)</f>
        <v>#N/A</v>
      </c>
      <c r="F84" s="13" t="e">
        <f>VLOOKUP(발송처리!V84,'상품DB(수정x)'!B:E,4,0)</f>
        <v>#N/A</v>
      </c>
      <c r="G84" s="8">
        <f>발송처리!X84</f>
        <v>0</v>
      </c>
      <c r="I84">
        <f>발송처리!AW84</f>
        <v>0</v>
      </c>
      <c r="K84" t="e">
        <f t="shared" si="3"/>
        <v>#N/A</v>
      </c>
      <c r="L84">
        <f>발송처리!AU84</f>
        <v>0</v>
      </c>
      <c r="M84">
        <f>발송처리!AP84</f>
        <v>0</v>
      </c>
      <c r="N84">
        <f>발송처리!AV84</f>
        <v>0</v>
      </c>
      <c r="O84">
        <f>발송처리!AR84</f>
        <v>0</v>
      </c>
      <c r="P84">
        <f>발송처리!K84</f>
        <v>0</v>
      </c>
      <c r="Q84" s="80">
        <f>발송처리!AC84</f>
        <v>0</v>
      </c>
    </row>
    <row r="85" spans="1:17">
      <c r="A85">
        <f>발송처리!A85</f>
        <v>0</v>
      </c>
      <c r="B85">
        <f>발송처리!M85</f>
        <v>0</v>
      </c>
      <c r="E85" t="e">
        <f>VLOOKUP(발송처리!V85,'상품DB(수정x)'!B:E,2,0)</f>
        <v>#N/A</v>
      </c>
      <c r="F85" s="13" t="e">
        <f>VLOOKUP(발송처리!V85,'상품DB(수정x)'!B:E,4,0)</f>
        <v>#N/A</v>
      </c>
      <c r="G85" s="8">
        <f>발송처리!X85</f>
        <v>0</v>
      </c>
      <c r="I85">
        <f>발송처리!AW85</f>
        <v>0</v>
      </c>
      <c r="K85" t="e">
        <f t="shared" si="3"/>
        <v>#N/A</v>
      </c>
      <c r="L85">
        <f>발송처리!AU85</f>
        <v>0</v>
      </c>
      <c r="M85">
        <f>발송처리!AP85</f>
        <v>0</v>
      </c>
      <c r="N85">
        <f>발송처리!AV85</f>
        <v>0</v>
      </c>
      <c r="O85">
        <f>발송처리!AR85</f>
        <v>0</v>
      </c>
      <c r="P85">
        <f>발송처리!K85</f>
        <v>0</v>
      </c>
      <c r="Q85" s="80">
        <f>발송처리!AC85</f>
        <v>0</v>
      </c>
    </row>
    <row r="86" spans="1:17">
      <c r="A86">
        <f>발송처리!A86</f>
        <v>0</v>
      </c>
      <c r="B86">
        <f>발송처리!M86</f>
        <v>0</v>
      </c>
      <c r="E86" t="e">
        <f>VLOOKUP(발송처리!V86,'상품DB(수정x)'!B:E,2,0)</f>
        <v>#N/A</v>
      </c>
      <c r="F86" s="13" t="e">
        <f>VLOOKUP(발송처리!V86,'상품DB(수정x)'!B:E,4,0)</f>
        <v>#N/A</v>
      </c>
      <c r="G86" s="8">
        <f>발송처리!X86</f>
        <v>0</v>
      </c>
      <c r="I86">
        <f>발송처리!AW86</f>
        <v>0</v>
      </c>
      <c r="K86" t="e">
        <f t="shared" si="3"/>
        <v>#N/A</v>
      </c>
      <c r="L86">
        <f>발송처리!AU86</f>
        <v>0</v>
      </c>
      <c r="M86">
        <f>발송처리!AP86</f>
        <v>0</v>
      </c>
      <c r="N86">
        <f>발송처리!AV86</f>
        <v>0</v>
      </c>
      <c r="O86">
        <f>발송처리!AR86</f>
        <v>0</v>
      </c>
      <c r="P86">
        <f>발송처리!K86</f>
        <v>0</v>
      </c>
      <c r="Q86" s="80">
        <f>발송처리!AC86</f>
        <v>0</v>
      </c>
    </row>
    <row r="87" spans="1:17">
      <c r="A87">
        <f>발송처리!A87</f>
        <v>0</v>
      </c>
      <c r="B87">
        <f>발송처리!M87</f>
        <v>0</v>
      </c>
      <c r="E87" t="e">
        <f>VLOOKUP(발송처리!V87,'상품DB(수정x)'!B:E,2,0)</f>
        <v>#N/A</v>
      </c>
      <c r="F87" s="13" t="e">
        <f>VLOOKUP(발송처리!V87,'상품DB(수정x)'!B:E,4,0)</f>
        <v>#N/A</v>
      </c>
      <c r="G87" s="8">
        <f>발송처리!X87</f>
        <v>0</v>
      </c>
      <c r="I87">
        <f>발송처리!AW87</f>
        <v>0</v>
      </c>
      <c r="K87" t="e">
        <f t="shared" si="3"/>
        <v>#N/A</v>
      </c>
      <c r="L87">
        <f>발송처리!AU87</f>
        <v>0</v>
      </c>
      <c r="M87">
        <f>발송처리!AP87</f>
        <v>0</v>
      </c>
      <c r="N87">
        <f>발송처리!AV87</f>
        <v>0</v>
      </c>
      <c r="O87">
        <f>발송처리!AR87</f>
        <v>0</v>
      </c>
      <c r="P87">
        <f>발송처리!K87</f>
        <v>0</v>
      </c>
      <c r="Q87" s="80">
        <f>발송처리!AC87</f>
        <v>0</v>
      </c>
    </row>
    <row r="88" spans="1:17">
      <c r="A88">
        <f>발송처리!A88</f>
        <v>0</v>
      </c>
      <c r="B88">
        <f>발송처리!M88</f>
        <v>0</v>
      </c>
      <c r="E88" t="e">
        <f>VLOOKUP(발송처리!V88,'상품DB(수정x)'!B:E,2,0)</f>
        <v>#N/A</v>
      </c>
      <c r="F88" s="13" t="e">
        <f>VLOOKUP(발송처리!V88,'상품DB(수정x)'!B:E,4,0)</f>
        <v>#N/A</v>
      </c>
      <c r="G88" s="8">
        <f>발송처리!X88</f>
        <v>0</v>
      </c>
      <c r="I88">
        <f>발송처리!AW88</f>
        <v>0</v>
      </c>
      <c r="K88" t="e">
        <f t="shared" si="3"/>
        <v>#N/A</v>
      </c>
      <c r="L88">
        <f>발송처리!AU88</f>
        <v>0</v>
      </c>
      <c r="M88">
        <f>발송처리!AP88</f>
        <v>0</v>
      </c>
      <c r="N88">
        <f>발송처리!AV88</f>
        <v>0</v>
      </c>
      <c r="O88">
        <f>발송처리!AR88</f>
        <v>0</v>
      </c>
      <c r="P88">
        <f>발송처리!K88</f>
        <v>0</v>
      </c>
      <c r="Q88" s="80">
        <f>발송처리!AC88</f>
        <v>0</v>
      </c>
    </row>
    <row r="89" spans="1:17">
      <c r="A89">
        <f>발송처리!A89</f>
        <v>0</v>
      </c>
      <c r="B89">
        <f>발송처리!M89</f>
        <v>0</v>
      </c>
      <c r="E89" t="e">
        <f>VLOOKUP(발송처리!V89,'상품DB(수정x)'!B:E,2,0)</f>
        <v>#N/A</v>
      </c>
      <c r="F89" s="13" t="e">
        <f>VLOOKUP(발송처리!V89,'상품DB(수정x)'!B:E,4,0)</f>
        <v>#N/A</v>
      </c>
      <c r="G89" s="8">
        <f>발송처리!X89</f>
        <v>0</v>
      </c>
      <c r="I89">
        <f>발송처리!AW89</f>
        <v>0</v>
      </c>
      <c r="K89" t="e">
        <f t="shared" si="3"/>
        <v>#N/A</v>
      </c>
      <c r="L89">
        <f>발송처리!AU89</f>
        <v>0</v>
      </c>
      <c r="M89">
        <f>발송처리!AP89</f>
        <v>0</v>
      </c>
      <c r="N89">
        <f>발송처리!AV89</f>
        <v>0</v>
      </c>
      <c r="O89">
        <f>발송처리!AR89</f>
        <v>0</v>
      </c>
      <c r="P89">
        <f>발송처리!K89</f>
        <v>0</v>
      </c>
      <c r="Q89" s="80">
        <f>발송처리!AC89</f>
        <v>0</v>
      </c>
    </row>
    <row r="90" spans="1:17">
      <c r="A90">
        <f>발송처리!A90</f>
        <v>0</v>
      </c>
      <c r="B90">
        <f>발송처리!M90</f>
        <v>0</v>
      </c>
      <c r="E90" t="e">
        <f>VLOOKUP(발송처리!V90,'상품DB(수정x)'!B:E,2,0)</f>
        <v>#N/A</v>
      </c>
      <c r="F90" s="13" t="e">
        <f>VLOOKUP(발송처리!V90,'상품DB(수정x)'!B:E,4,0)</f>
        <v>#N/A</v>
      </c>
      <c r="G90" s="8">
        <f>발송처리!X90</f>
        <v>0</v>
      </c>
      <c r="I90">
        <f>발송처리!AW90</f>
        <v>0</v>
      </c>
      <c r="K90" t="e">
        <f t="shared" si="3"/>
        <v>#N/A</v>
      </c>
      <c r="L90">
        <f>발송처리!AU90</f>
        <v>0</v>
      </c>
      <c r="M90">
        <f>발송처리!AP90</f>
        <v>0</v>
      </c>
      <c r="N90">
        <f>발송처리!AV90</f>
        <v>0</v>
      </c>
      <c r="O90">
        <f>발송처리!AR90</f>
        <v>0</v>
      </c>
      <c r="P90">
        <f>발송처리!K90</f>
        <v>0</v>
      </c>
      <c r="Q90" s="80">
        <f>발송처리!AC90</f>
        <v>0</v>
      </c>
    </row>
    <row r="91" spans="1:17">
      <c r="A91">
        <f>발송처리!A91</f>
        <v>0</v>
      </c>
      <c r="B91">
        <f>발송처리!M91</f>
        <v>0</v>
      </c>
      <c r="E91" t="e">
        <f>VLOOKUP(발송처리!V91,'상품DB(수정x)'!B:E,2,0)</f>
        <v>#N/A</v>
      </c>
      <c r="F91" s="13" t="e">
        <f>VLOOKUP(발송처리!V91,'상품DB(수정x)'!B:E,4,0)</f>
        <v>#N/A</v>
      </c>
      <c r="G91" s="8">
        <f>발송처리!X91</f>
        <v>0</v>
      </c>
      <c r="I91">
        <f>발송처리!AW91</f>
        <v>0</v>
      </c>
      <c r="K91" t="e">
        <f t="shared" si="3"/>
        <v>#N/A</v>
      </c>
      <c r="L91">
        <f>발송처리!AU91</f>
        <v>0</v>
      </c>
      <c r="M91">
        <f>발송처리!AP91</f>
        <v>0</v>
      </c>
      <c r="N91">
        <f>발송처리!AV91</f>
        <v>0</v>
      </c>
      <c r="O91">
        <f>발송처리!AR91</f>
        <v>0</v>
      </c>
      <c r="P91">
        <f>발송처리!K91</f>
        <v>0</v>
      </c>
      <c r="Q91" s="80">
        <f>발송처리!AC91</f>
        <v>0</v>
      </c>
    </row>
    <row r="92" spans="1:17">
      <c r="A92">
        <f>발송처리!A92</f>
        <v>0</v>
      </c>
      <c r="B92">
        <f>발송처리!M92</f>
        <v>0</v>
      </c>
      <c r="E92" t="e">
        <f>VLOOKUP(발송처리!V92,'상품DB(수정x)'!B:E,2,0)</f>
        <v>#N/A</v>
      </c>
      <c r="F92" s="13" t="e">
        <f>VLOOKUP(발송처리!V92,'상품DB(수정x)'!B:E,4,0)</f>
        <v>#N/A</v>
      </c>
      <c r="G92" s="8">
        <f>발송처리!X92</f>
        <v>0</v>
      </c>
      <c r="I92">
        <f>발송처리!AW92</f>
        <v>0</v>
      </c>
      <c r="K92" t="e">
        <f t="shared" si="3"/>
        <v>#N/A</v>
      </c>
      <c r="L92">
        <f>발송처리!AU92</f>
        <v>0</v>
      </c>
      <c r="M92">
        <f>발송처리!AP92</f>
        <v>0</v>
      </c>
      <c r="N92">
        <f>발송처리!AV92</f>
        <v>0</v>
      </c>
      <c r="O92">
        <f>발송처리!AR92</f>
        <v>0</v>
      </c>
      <c r="P92">
        <f>발송처리!K92</f>
        <v>0</v>
      </c>
      <c r="Q92" s="80">
        <f>발송처리!AC92</f>
        <v>0</v>
      </c>
    </row>
    <row r="93" spans="1:17">
      <c r="A93">
        <f>발송처리!A93</f>
        <v>0</v>
      </c>
      <c r="B93">
        <f>발송처리!M93</f>
        <v>0</v>
      </c>
      <c r="E93" t="e">
        <f>VLOOKUP(발송처리!V93,'상품DB(수정x)'!B:E,2,0)</f>
        <v>#N/A</v>
      </c>
      <c r="F93" s="13" t="e">
        <f>VLOOKUP(발송처리!V93,'상품DB(수정x)'!B:E,4,0)</f>
        <v>#N/A</v>
      </c>
      <c r="G93" s="8">
        <f>발송처리!X93</f>
        <v>0</v>
      </c>
      <c r="I93">
        <f>발송처리!AW93</f>
        <v>0</v>
      </c>
      <c r="K93" t="e">
        <f t="shared" si="3"/>
        <v>#N/A</v>
      </c>
      <c r="L93">
        <f>발송처리!AU93</f>
        <v>0</v>
      </c>
      <c r="M93">
        <f>발송처리!AP93</f>
        <v>0</v>
      </c>
      <c r="N93">
        <f>발송처리!AV93</f>
        <v>0</v>
      </c>
      <c r="O93">
        <f>발송처리!AR93</f>
        <v>0</v>
      </c>
      <c r="P93">
        <f>발송처리!K93</f>
        <v>0</v>
      </c>
      <c r="Q93" s="80">
        <f>발송처리!AC93</f>
        <v>0</v>
      </c>
    </row>
    <row r="94" spans="1:17">
      <c r="A94">
        <f>발송처리!A94</f>
        <v>0</v>
      </c>
      <c r="B94">
        <f>발송처리!M94</f>
        <v>0</v>
      </c>
      <c r="E94" t="e">
        <f>VLOOKUP(발송처리!V94,'상품DB(수정x)'!B:E,2,0)</f>
        <v>#N/A</v>
      </c>
      <c r="F94" s="13" t="e">
        <f>VLOOKUP(발송처리!V94,'상품DB(수정x)'!B:E,4,0)</f>
        <v>#N/A</v>
      </c>
      <c r="G94" s="8">
        <f>발송처리!X94</f>
        <v>0</v>
      </c>
      <c r="I94">
        <f>발송처리!AW94</f>
        <v>0</v>
      </c>
      <c r="K94" t="e">
        <f t="shared" si="3"/>
        <v>#N/A</v>
      </c>
      <c r="L94">
        <f>발송처리!AU94</f>
        <v>0</v>
      </c>
      <c r="M94">
        <f>발송처리!AP94</f>
        <v>0</v>
      </c>
      <c r="N94">
        <f>발송처리!AV94</f>
        <v>0</v>
      </c>
      <c r="O94">
        <f>발송처리!AR94</f>
        <v>0</v>
      </c>
      <c r="P94">
        <f>발송처리!K94</f>
        <v>0</v>
      </c>
      <c r="Q94" s="80">
        <f>발송처리!AC94</f>
        <v>0</v>
      </c>
    </row>
    <row r="95" spans="1:17">
      <c r="A95">
        <f>발송처리!A95</f>
        <v>0</v>
      </c>
      <c r="B95">
        <f>발송처리!M95</f>
        <v>0</v>
      </c>
      <c r="E95" t="e">
        <f>VLOOKUP(발송처리!V95,'상품DB(수정x)'!B:E,2,0)</f>
        <v>#N/A</v>
      </c>
      <c r="F95" s="13" t="e">
        <f>VLOOKUP(발송처리!V95,'상품DB(수정x)'!B:E,4,0)</f>
        <v>#N/A</v>
      </c>
      <c r="G95" s="8">
        <f>발송처리!X95</f>
        <v>0</v>
      </c>
      <c r="I95">
        <f>발송처리!AW95</f>
        <v>0</v>
      </c>
      <c r="K95" t="e">
        <f t="shared" si="3"/>
        <v>#N/A</v>
      </c>
      <c r="L95">
        <f>발송처리!AU95</f>
        <v>0</v>
      </c>
      <c r="M95">
        <f>발송처리!AP95</f>
        <v>0</v>
      </c>
      <c r="N95">
        <f>발송처리!AV95</f>
        <v>0</v>
      </c>
      <c r="O95">
        <f>발송처리!AR95</f>
        <v>0</v>
      </c>
      <c r="P95">
        <f>발송처리!K95</f>
        <v>0</v>
      </c>
      <c r="Q95" s="80">
        <f>발송처리!AC95</f>
        <v>0</v>
      </c>
    </row>
    <row r="96" spans="1:17">
      <c r="A96">
        <f>발송처리!A96</f>
        <v>0</v>
      </c>
      <c r="B96">
        <f>발송처리!M96</f>
        <v>0</v>
      </c>
      <c r="E96" t="e">
        <f>VLOOKUP(발송처리!V96,'상품DB(수정x)'!B:E,2,0)</f>
        <v>#N/A</v>
      </c>
      <c r="F96" s="13" t="e">
        <f>VLOOKUP(발송처리!V96,'상품DB(수정x)'!B:E,4,0)</f>
        <v>#N/A</v>
      </c>
      <c r="G96" s="8">
        <f>발송처리!X96</f>
        <v>0</v>
      </c>
      <c r="I96">
        <f>발송처리!AW96</f>
        <v>0</v>
      </c>
      <c r="K96" t="e">
        <f t="shared" si="3"/>
        <v>#N/A</v>
      </c>
      <c r="L96">
        <f>발송처리!AU96</f>
        <v>0</v>
      </c>
      <c r="M96">
        <f>발송처리!AP96</f>
        <v>0</v>
      </c>
      <c r="N96">
        <f>발송처리!AV96</f>
        <v>0</v>
      </c>
      <c r="O96">
        <f>발송처리!AR96</f>
        <v>0</v>
      </c>
      <c r="P96">
        <f>발송처리!K96</f>
        <v>0</v>
      </c>
      <c r="Q96" s="80">
        <f>발송처리!AC96</f>
        <v>0</v>
      </c>
    </row>
    <row r="97" spans="1:17">
      <c r="A97">
        <f>발송처리!A97</f>
        <v>0</v>
      </c>
      <c r="B97">
        <f>발송처리!M97</f>
        <v>0</v>
      </c>
      <c r="E97" t="e">
        <f>VLOOKUP(발송처리!V97,'상품DB(수정x)'!B:E,2,0)</f>
        <v>#N/A</v>
      </c>
      <c r="F97" s="13" t="e">
        <f>VLOOKUP(발송처리!V97,'상품DB(수정x)'!B:E,4,0)</f>
        <v>#N/A</v>
      </c>
      <c r="G97" s="8">
        <f>발송처리!X97</f>
        <v>0</v>
      </c>
      <c r="I97">
        <f>발송처리!AW97</f>
        <v>0</v>
      </c>
      <c r="K97" t="e">
        <f t="shared" si="3"/>
        <v>#N/A</v>
      </c>
      <c r="L97">
        <f>발송처리!AU97</f>
        <v>0</v>
      </c>
      <c r="M97">
        <f>발송처리!AP97</f>
        <v>0</v>
      </c>
      <c r="N97">
        <f>발송처리!AV97</f>
        <v>0</v>
      </c>
      <c r="O97">
        <f>발송처리!AR97</f>
        <v>0</v>
      </c>
      <c r="P97">
        <f>발송처리!K97</f>
        <v>0</v>
      </c>
      <c r="Q97" s="80">
        <f>발송처리!AC97</f>
        <v>0</v>
      </c>
    </row>
    <row r="98" spans="1:17">
      <c r="A98">
        <f>발송처리!A98</f>
        <v>0</v>
      </c>
      <c r="B98">
        <f>발송처리!M98</f>
        <v>0</v>
      </c>
      <c r="E98" t="e">
        <f>VLOOKUP(발송처리!V98,'상품DB(수정x)'!B:E,2,0)</f>
        <v>#N/A</v>
      </c>
      <c r="F98" s="13" t="e">
        <f>VLOOKUP(발송처리!V98,'상품DB(수정x)'!B:E,4,0)</f>
        <v>#N/A</v>
      </c>
      <c r="G98" s="8">
        <f>발송처리!X98</f>
        <v>0</v>
      </c>
      <c r="I98">
        <f>발송처리!AW98</f>
        <v>0</v>
      </c>
      <c r="K98" t="e">
        <f t="shared" si="3"/>
        <v>#N/A</v>
      </c>
      <c r="L98">
        <f>발송처리!AU98</f>
        <v>0</v>
      </c>
      <c r="M98">
        <f>발송처리!AP98</f>
        <v>0</v>
      </c>
      <c r="N98">
        <f>발송처리!AV98</f>
        <v>0</v>
      </c>
      <c r="O98">
        <f>발송처리!AR98</f>
        <v>0</v>
      </c>
      <c r="P98">
        <f>발송처리!K98</f>
        <v>0</v>
      </c>
      <c r="Q98" s="80">
        <f>발송처리!AC98</f>
        <v>0</v>
      </c>
    </row>
    <row r="99" spans="1:17">
      <c r="A99">
        <f>발송처리!A99</f>
        <v>0</v>
      </c>
      <c r="B99">
        <f>발송처리!M99</f>
        <v>0</v>
      </c>
      <c r="E99" t="e">
        <f>VLOOKUP(발송처리!V99,'상품DB(수정x)'!B:E,2,0)</f>
        <v>#N/A</v>
      </c>
      <c r="F99" s="13" t="e">
        <f>VLOOKUP(발송처리!V99,'상품DB(수정x)'!B:E,4,0)</f>
        <v>#N/A</v>
      </c>
      <c r="G99" s="8">
        <f>발송처리!X99</f>
        <v>0</v>
      </c>
      <c r="I99">
        <f>발송처리!AW99</f>
        <v>0</v>
      </c>
      <c r="K99" t="e">
        <f t="shared" si="3"/>
        <v>#N/A</v>
      </c>
      <c r="L99">
        <f>발송처리!AU99</f>
        <v>0</v>
      </c>
      <c r="M99">
        <f>발송처리!AP99</f>
        <v>0</v>
      </c>
      <c r="N99">
        <f>발송처리!AV99</f>
        <v>0</v>
      </c>
      <c r="O99">
        <f>발송처리!AR99</f>
        <v>0</v>
      </c>
      <c r="P99">
        <f>발송처리!K99</f>
        <v>0</v>
      </c>
      <c r="Q99" s="80">
        <f>발송처리!AC99</f>
        <v>0</v>
      </c>
    </row>
    <row r="100" spans="1:17">
      <c r="A100">
        <f>발송처리!A100</f>
        <v>0</v>
      </c>
      <c r="B100">
        <f>발송처리!M100</f>
        <v>0</v>
      </c>
      <c r="E100" t="e">
        <f>VLOOKUP(발송처리!V100,'상품DB(수정x)'!B:E,2,0)</f>
        <v>#N/A</v>
      </c>
      <c r="F100" s="13" t="e">
        <f>VLOOKUP(발송처리!V100,'상품DB(수정x)'!B:E,4,0)</f>
        <v>#N/A</v>
      </c>
      <c r="G100" s="8">
        <f>발송처리!X100</f>
        <v>0</v>
      </c>
      <c r="I100">
        <f>발송처리!AW100</f>
        <v>0</v>
      </c>
      <c r="K100" t="e">
        <f t="shared" si="3"/>
        <v>#N/A</v>
      </c>
      <c r="L100">
        <f>발송처리!AU100</f>
        <v>0</v>
      </c>
      <c r="M100">
        <f>발송처리!AP100</f>
        <v>0</v>
      </c>
      <c r="N100">
        <f>발송처리!AV100</f>
        <v>0</v>
      </c>
      <c r="O100">
        <f>발송처리!AR100</f>
        <v>0</v>
      </c>
      <c r="P100">
        <f>발송처리!K100</f>
        <v>0</v>
      </c>
      <c r="Q100" s="80">
        <f>발송처리!AC100</f>
        <v>0</v>
      </c>
    </row>
    <row r="101" spans="1:17">
      <c r="A101">
        <f>발송처리!A101</f>
        <v>0</v>
      </c>
      <c r="B101">
        <f>발송처리!M101</f>
        <v>0</v>
      </c>
      <c r="E101" t="e">
        <f>VLOOKUP(발송처리!V101,'상품DB(수정x)'!B:E,2,0)</f>
        <v>#N/A</v>
      </c>
      <c r="F101" s="13" t="e">
        <f>VLOOKUP(발송처리!V101,'상품DB(수정x)'!B:E,4,0)</f>
        <v>#N/A</v>
      </c>
      <c r="G101" s="8">
        <f>발송처리!X101</f>
        <v>0</v>
      </c>
      <c r="I101">
        <f>발송처리!AW101</f>
        <v>0</v>
      </c>
      <c r="K101" t="e">
        <f t="shared" si="3"/>
        <v>#N/A</v>
      </c>
      <c r="L101">
        <f>발송처리!AU101</f>
        <v>0</v>
      </c>
      <c r="M101">
        <f>발송처리!AP101</f>
        <v>0</v>
      </c>
      <c r="N101">
        <f>발송처리!AV101</f>
        <v>0</v>
      </c>
      <c r="O101">
        <f>발송처리!AR101</f>
        <v>0</v>
      </c>
      <c r="P101">
        <f>발송처리!K101</f>
        <v>0</v>
      </c>
      <c r="Q101" s="80">
        <f>발송처리!AC101</f>
        <v>0</v>
      </c>
    </row>
    <row r="102" spans="1:17">
      <c r="A102">
        <f>발송처리!A102</f>
        <v>0</v>
      </c>
      <c r="B102">
        <f>발송처리!M102</f>
        <v>0</v>
      </c>
      <c r="E102" t="e">
        <f>VLOOKUP(발송처리!V102,'상품DB(수정x)'!B:E,2,0)</f>
        <v>#N/A</v>
      </c>
      <c r="F102" s="13" t="e">
        <f>VLOOKUP(발송처리!V102,'상품DB(수정x)'!B:E,4,0)</f>
        <v>#N/A</v>
      </c>
      <c r="G102" s="8">
        <f>발송처리!X102</f>
        <v>0</v>
      </c>
      <c r="I102">
        <f>발송처리!AW102</f>
        <v>0</v>
      </c>
      <c r="K102" t="e">
        <f t="shared" si="3"/>
        <v>#N/A</v>
      </c>
      <c r="L102">
        <f>발송처리!AU102</f>
        <v>0</v>
      </c>
      <c r="M102">
        <f>발송처리!AP102</f>
        <v>0</v>
      </c>
      <c r="N102">
        <f>발송처리!AV102</f>
        <v>0</v>
      </c>
      <c r="O102">
        <f>발송처리!AR102</f>
        <v>0</v>
      </c>
      <c r="P102">
        <f>발송처리!K102</f>
        <v>0</v>
      </c>
      <c r="Q102" s="80">
        <f>발송처리!AC102</f>
        <v>0</v>
      </c>
    </row>
    <row r="103" spans="1:17">
      <c r="A103">
        <f>발송처리!A103</f>
        <v>0</v>
      </c>
      <c r="B103">
        <f>발송처리!M103</f>
        <v>0</v>
      </c>
      <c r="E103" t="e">
        <f>VLOOKUP(발송처리!V103,'상품DB(수정x)'!B:E,2,0)</f>
        <v>#N/A</v>
      </c>
      <c r="F103" s="13" t="e">
        <f>VLOOKUP(발송처리!V103,'상품DB(수정x)'!B:E,4,0)</f>
        <v>#N/A</v>
      </c>
      <c r="G103" s="8">
        <f>발송처리!X103</f>
        <v>0</v>
      </c>
      <c r="I103">
        <f>발송처리!AW103</f>
        <v>0</v>
      </c>
      <c r="K103" t="e">
        <f t="shared" si="3"/>
        <v>#N/A</v>
      </c>
      <c r="L103">
        <f>발송처리!AU103</f>
        <v>0</v>
      </c>
      <c r="M103">
        <f>발송처리!AP103</f>
        <v>0</v>
      </c>
      <c r="N103">
        <f>발송처리!AV103</f>
        <v>0</v>
      </c>
      <c r="O103">
        <f>발송처리!AR103</f>
        <v>0</v>
      </c>
      <c r="P103">
        <f>발송처리!K103</f>
        <v>0</v>
      </c>
      <c r="Q103" s="80">
        <f>발송처리!AC103</f>
        <v>0</v>
      </c>
    </row>
    <row r="104" spans="1:17">
      <c r="A104">
        <f>발송처리!A104</f>
        <v>0</v>
      </c>
      <c r="B104">
        <f>발송처리!M104</f>
        <v>0</v>
      </c>
      <c r="E104" t="e">
        <f>VLOOKUP(발송처리!V104,'상품DB(수정x)'!B:E,2,0)</f>
        <v>#N/A</v>
      </c>
      <c r="F104" s="13" t="e">
        <f>VLOOKUP(발송처리!V104,'상품DB(수정x)'!B:E,4,0)</f>
        <v>#N/A</v>
      </c>
      <c r="G104" s="8">
        <f>발송처리!X104</f>
        <v>0</v>
      </c>
      <c r="I104">
        <f>발송처리!AW104</f>
        <v>0</v>
      </c>
      <c r="K104" t="e">
        <f t="shared" si="3"/>
        <v>#N/A</v>
      </c>
      <c r="L104">
        <f>발송처리!AU104</f>
        <v>0</v>
      </c>
      <c r="M104">
        <f>발송처리!AP104</f>
        <v>0</v>
      </c>
      <c r="N104">
        <f>발송처리!AV104</f>
        <v>0</v>
      </c>
      <c r="O104">
        <f>발송처리!AR104</f>
        <v>0</v>
      </c>
      <c r="P104">
        <f>발송처리!K104</f>
        <v>0</v>
      </c>
      <c r="Q104" s="80">
        <f>발송처리!AC104</f>
        <v>0</v>
      </c>
    </row>
    <row r="105" spans="1:17">
      <c r="A105">
        <f>발송처리!A105</f>
        <v>0</v>
      </c>
      <c r="B105">
        <f>발송처리!M105</f>
        <v>0</v>
      </c>
      <c r="E105" t="e">
        <f>VLOOKUP(발송처리!V105,'상품DB(수정x)'!B:E,2,0)</f>
        <v>#N/A</v>
      </c>
      <c r="F105" s="13" t="e">
        <f>VLOOKUP(발송처리!V105,'상품DB(수정x)'!B:E,4,0)</f>
        <v>#N/A</v>
      </c>
      <c r="G105" s="8">
        <f>발송처리!X105</f>
        <v>0</v>
      </c>
      <c r="I105">
        <f>발송처리!AW105</f>
        <v>0</v>
      </c>
      <c r="K105" t="e">
        <f t="shared" si="3"/>
        <v>#N/A</v>
      </c>
      <c r="L105">
        <f>발송처리!AU105</f>
        <v>0</v>
      </c>
      <c r="M105">
        <f>발송처리!AP105</f>
        <v>0</v>
      </c>
      <c r="N105">
        <f>발송처리!AV105</f>
        <v>0</v>
      </c>
      <c r="O105">
        <f>발송처리!AR105</f>
        <v>0</v>
      </c>
      <c r="P105">
        <f>발송처리!K105</f>
        <v>0</v>
      </c>
      <c r="Q105" s="80">
        <f>발송처리!AC105</f>
        <v>0</v>
      </c>
    </row>
    <row r="106" spans="1:17">
      <c r="A106">
        <f>발송처리!A106</f>
        <v>0</v>
      </c>
      <c r="B106">
        <f>발송처리!M106</f>
        <v>0</v>
      </c>
      <c r="E106" t="e">
        <f>VLOOKUP(발송처리!V106,'상품DB(수정x)'!B:E,2,0)</f>
        <v>#N/A</v>
      </c>
      <c r="F106" s="13" t="e">
        <f>VLOOKUP(발송처리!V106,'상품DB(수정x)'!B:E,4,0)</f>
        <v>#N/A</v>
      </c>
      <c r="G106" s="8">
        <f>발송처리!X106</f>
        <v>0</v>
      </c>
      <c r="I106">
        <f>발송처리!AW106</f>
        <v>0</v>
      </c>
      <c r="K106" t="e">
        <f t="shared" si="3"/>
        <v>#N/A</v>
      </c>
      <c r="L106">
        <f>발송처리!AU106</f>
        <v>0</v>
      </c>
      <c r="M106">
        <f>발송처리!AP106</f>
        <v>0</v>
      </c>
      <c r="N106">
        <f>발송처리!AV106</f>
        <v>0</v>
      </c>
      <c r="O106">
        <f>발송처리!AR106</f>
        <v>0</v>
      </c>
      <c r="P106">
        <f>발송처리!K106</f>
        <v>0</v>
      </c>
      <c r="Q106" s="80">
        <f>발송처리!AC106</f>
        <v>0</v>
      </c>
    </row>
    <row r="107" spans="1:17">
      <c r="A107">
        <f>발송처리!A107</f>
        <v>0</v>
      </c>
      <c r="B107">
        <f>발송처리!M107</f>
        <v>0</v>
      </c>
      <c r="E107" t="e">
        <f>VLOOKUP(발송처리!V107,'상품DB(수정x)'!B:E,2,0)</f>
        <v>#N/A</v>
      </c>
      <c r="F107" s="13" t="e">
        <f>VLOOKUP(발송처리!V107,'상품DB(수정x)'!B:E,4,0)</f>
        <v>#N/A</v>
      </c>
      <c r="G107" s="8">
        <f>발송처리!X107</f>
        <v>0</v>
      </c>
      <c r="I107">
        <f>발송처리!AW107</f>
        <v>0</v>
      </c>
      <c r="K107" t="e">
        <f t="shared" si="3"/>
        <v>#N/A</v>
      </c>
      <c r="L107">
        <f>발송처리!AU107</f>
        <v>0</v>
      </c>
      <c r="M107">
        <f>발송처리!AP107</f>
        <v>0</v>
      </c>
      <c r="N107">
        <f>발송처리!AV107</f>
        <v>0</v>
      </c>
      <c r="O107">
        <f>발송처리!AR107</f>
        <v>0</v>
      </c>
      <c r="P107">
        <f>발송처리!K107</f>
        <v>0</v>
      </c>
      <c r="Q107" s="80">
        <f>발송처리!AC107</f>
        <v>0</v>
      </c>
    </row>
    <row r="108" spans="1:17">
      <c r="A108">
        <f>발송처리!A108</f>
        <v>0</v>
      </c>
      <c r="B108">
        <f>발송처리!M108</f>
        <v>0</v>
      </c>
      <c r="E108" t="e">
        <f>VLOOKUP(발송처리!V108,'상품DB(수정x)'!B:E,2,0)</f>
        <v>#N/A</v>
      </c>
      <c r="F108" s="13" t="e">
        <f>VLOOKUP(발송처리!V108,'상품DB(수정x)'!B:E,4,0)</f>
        <v>#N/A</v>
      </c>
      <c r="G108" s="8">
        <f>발송처리!X108</f>
        <v>0</v>
      </c>
      <c r="I108">
        <f>발송처리!AW108</f>
        <v>0</v>
      </c>
      <c r="K108" t="e">
        <f t="shared" si="3"/>
        <v>#N/A</v>
      </c>
      <c r="L108">
        <f>발송처리!AU108</f>
        <v>0</v>
      </c>
      <c r="M108">
        <f>발송처리!AP108</f>
        <v>0</v>
      </c>
      <c r="N108">
        <f>발송처리!AV108</f>
        <v>0</v>
      </c>
      <c r="O108">
        <f>발송처리!AR108</f>
        <v>0</v>
      </c>
      <c r="P108">
        <f>발송처리!K108</f>
        <v>0</v>
      </c>
      <c r="Q108" s="80">
        <f>발송처리!AC108</f>
        <v>0</v>
      </c>
    </row>
    <row r="109" spans="1:17">
      <c r="A109">
        <f>발송처리!A109</f>
        <v>0</v>
      </c>
      <c r="B109">
        <f>발송처리!M109</f>
        <v>0</v>
      </c>
      <c r="E109" t="e">
        <f>VLOOKUP(발송처리!V109,'상품DB(수정x)'!B:E,2,0)</f>
        <v>#N/A</v>
      </c>
      <c r="F109" s="13" t="e">
        <f>VLOOKUP(발송처리!V109,'상품DB(수정x)'!B:E,4,0)</f>
        <v>#N/A</v>
      </c>
      <c r="G109" s="8">
        <f>발송처리!X109</f>
        <v>0</v>
      </c>
      <c r="I109">
        <f>발송처리!AW109</f>
        <v>0</v>
      </c>
      <c r="K109" t="e">
        <f t="shared" si="3"/>
        <v>#N/A</v>
      </c>
      <c r="L109">
        <f>발송처리!AU109</f>
        <v>0</v>
      </c>
      <c r="M109">
        <f>발송처리!AP109</f>
        <v>0</v>
      </c>
      <c r="N109">
        <f>발송처리!AV109</f>
        <v>0</v>
      </c>
      <c r="O109">
        <f>발송처리!AR109</f>
        <v>0</v>
      </c>
      <c r="P109">
        <f>발송처리!K109</f>
        <v>0</v>
      </c>
      <c r="Q109" s="80">
        <f>발송처리!AC109</f>
        <v>0</v>
      </c>
    </row>
    <row r="110" spans="1:17">
      <c r="A110">
        <f>발송처리!A110</f>
        <v>0</v>
      </c>
      <c r="B110">
        <f>발송처리!M110</f>
        <v>0</v>
      </c>
      <c r="E110" t="e">
        <f>VLOOKUP(발송처리!V110,'상품DB(수정x)'!B:E,2,0)</f>
        <v>#N/A</v>
      </c>
      <c r="F110" s="13" t="e">
        <f>VLOOKUP(발송처리!V110,'상품DB(수정x)'!B:E,4,0)</f>
        <v>#N/A</v>
      </c>
      <c r="G110" s="8">
        <f>발송처리!X110</f>
        <v>0</v>
      </c>
      <c r="I110">
        <f>발송처리!AW110</f>
        <v>0</v>
      </c>
      <c r="K110" t="e">
        <f t="shared" si="3"/>
        <v>#N/A</v>
      </c>
      <c r="L110">
        <f>발송처리!AU110</f>
        <v>0</v>
      </c>
      <c r="M110">
        <f>발송처리!AP110</f>
        <v>0</v>
      </c>
      <c r="N110">
        <f>발송처리!AV110</f>
        <v>0</v>
      </c>
      <c r="O110">
        <f>발송처리!AR110</f>
        <v>0</v>
      </c>
      <c r="P110">
        <f>발송처리!K110</f>
        <v>0</v>
      </c>
      <c r="Q110" s="80">
        <f>발송처리!AC110</f>
        <v>0</v>
      </c>
    </row>
    <row r="111" spans="1:17">
      <c r="A111">
        <f>발송처리!A111</f>
        <v>0</v>
      </c>
      <c r="B111">
        <f>발송처리!M111</f>
        <v>0</v>
      </c>
      <c r="E111" t="e">
        <f>VLOOKUP(발송처리!V111,'상품DB(수정x)'!B:E,2,0)</f>
        <v>#N/A</v>
      </c>
      <c r="F111" s="13" t="e">
        <f>VLOOKUP(발송처리!V111,'상품DB(수정x)'!B:E,4,0)</f>
        <v>#N/A</v>
      </c>
      <c r="G111" s="8">
        <f>발송처리!X111</f>
        <v>0</v>
      </c>
      <c r="I111">
        <f>발송처리!AW111</f>
        <v>0</v>
      </c>
      <c r="K111" t="e">
        <f t="shared" si="3"/>
        <v>#N/A</v>
      </c>
      <c r="L111">
        <f>발송처리!AU111</f>
        <v>0</v>
      </c>
      <c r="M111">
        <f>발송처리!AP111</f>
        <v>0</v>
      </c>
      <c r="N111">
        <f>발송처리!AV111</f>
        <v>0</v>
      </c>
      <c r="O111">
        <f>발송처리!AR111</f>
        <v>0</v>
      </c>
      <c r="P111">
        <f>발송처리!K111</f>
        <v>0</v>
      </c>
      <c r="Q111" s="80">
        <f>발송처리!AC111</f>
        <v>0</v>
      </c>
    </row>
    <row r="112" spans="1:17">
      <c r="A112">
        <f>발송처리!A112</f>
        <v>0</v>
      </c>
      <c r="B112">
        <f>발송처리!M112</f>
        <v>0</v>
      </c>
      <c r="E112" t="e">
        <f>VLOOKUP(발송처리!V112,'상품DB(수정x)'!B:E,2,0)</f>
        <v>#N/A</v>
      </c>
      <c r="F112" s="13" t="e">
        <f>VLOOKUP(발송처리!V112,'상품DB(수정x)'!B:E,4,0)</f>
        <v>#N/A</v>
      </c>
      <c r="G112" s="8">
        <f>발송처리!X112</f>
        <v>0</v>
      </c>
      <c r="I112">
        <f>발송처리!AW112</f>
        <v>0</v>
      </c>
      <c r="K112" t="e">
        <f t="shared" si="3"/>
        <v>#N/A</v>
      </c>
      <c r="L112">
        <f>발송처리!AU112</f>
        <v>0</v>
      </c>
      <c r="M112">
        <f>발송처리!AP112</f>
        <v>0</v>
      </c>
      <c r="N112">
        <f>발송처리!AV112</f>
        <v>0</v>
      </c>
      <c r="O112">
        <f>발송처리!AR112</f>
        <v>0</v>
      </c>
      <c r="P112">
        <f>발송처리!K112</f>
        <v>0</v>
      </c>
      <c r="Q112" s="80">
        <f>발송처리!AC112</f>
        <v>0</v>
      </c>
    </row>
    <row r="113" spans="1:17">
      <c r="A113">
        <f>발송처리!A113</f>
        <v>0</v>
      </c>
      <c r="B113">
        <f>발송처리!M113</f>
        <v>0</v>
      </c>
      <c r="E113" t="e">
        <f>VLOOKUP(발송처리!V113,'상품DB(수정x)'!B:E,2,0)</f>
        <v>#N/A</v>
      </c>
      <c r="F113" s="13" t="e">
        <f>VLOOKUP(발송처리!V113,'상품DB(수정x)'!B:E,4,0)</f>
        <v>#N/A</v>
      </c>
      <c r="G113" s="8">
        <f>발송처리!X113</f>
        <v>0</v>
      </c>
      <c r="I113">
        <f>발송처리!AW113</f>
        <v>0</v>
      </c>
      <c r="K113" t="e">
        <f t="shared" si="3"/>
        <v>#N/A</v>
      </c>
      <c r="L113">
        <f>발송처리!AU113</f>
        <v>0</v>
      </c>
      <c r="M113">
        <f>발송처리!AP113</f>
        <v>0</v>
      </c>
      <c r="N113">
        <f>발송처리!AV113</f>
        <v>0</v>
      </c>
      <c r="O113">
        <f>발송처리!AR113</f>
        <v>0</v>
      </c>
      <c r="P113">
        <f>발송처리!K113</f>
        <v>0</v>
      </c>
      <c r="Q113" s="80">
        <f>발송처리!AC113</f>
        <v>0</v>
      </c>
    </row>
    <row r="114" spans="1:17">
      <c r="A114">
        <f>발송처리!A114</f>
        <v>0</v>
      </c>
      <c r="B114">
        <f>발송처리!M114</f>
        <v>0</v>
      </c>
      <c r="E114" t="e">
        <f>VLOOKUP(발송처리!V114,'상품DB(수정x)'!B:E,2,0)</f>
        <v>#N/A</v>
      </c>
      <c r="F114" s="13" t="e">
        <f>VLOOKUP(발송처리!V114,'상품DB(수정x)'!B:E,4,0)</f>
        <v>#N/A</v>
      </c>
      <c r="G114" s="8">
        <f>발송처리!X114</f>
        <v>0</v>
      </c>
      <c r="I114">
        <f>발송처리!AW114</f>
        <v>0</v>
      </c>
      <c r="K114" t="e">
        <f t="shared" si="3"/>
        <v>#N/A</v>
      </c>
      <c r="L114">
        <f>발송처리!AU114</f>
        <v>0</v>
      </c>
      <c r="M114">
        <f>발송처리!AP114</f>
        <v>0</v>
      </c>
      <c r="N114">
        <f>발송처리!AV114</f>
        <v>0</v>
      </c>
      <c r="O114">
        <f>발송처리!AR114</f>
        <v>0</v>
      </c>
      <c r="P114">
        <f>발송처리!K114</f>
        <v>0</v>
      </c>
      <c r="Q114" s="80">
        <f>발송처리!AC114</f>
        <v>0</v>
      </c>
    </row>
    <row r="115" spans="1:17">
      <c r="A115">
        <f>발송처리!A115</f>
        <v>0</v>
      </c>
      <c r="B115">
        <f>발송처리!M115</f>
        <v>0</v>
      </c>
      <c r="E115" t="e">
        <f>VLOOKUP(발송처리!V115,'상품DB(수정x)'!B:E,2,0)</f>
        <v>#N/A</v>
      </c>
      <c r="F115" s="13" t="e">
        <f>VLOOKUP(발송처리!V115,'상품DB(수정x)'!B:E,4,0)</f>
        <v>#N/A</v>
      </c>
      <c r="G115" s="8">
        <f>발송처리!X115</f>
        <v>0</v>
      </c>
      <c r="I115">
        <f>발송처리!AW115</f>
        <v>0</v>
      </c>
      <c r="K115" t="e">
        <f t="shared" si="3"/>
        <v>#N/A</v>
      </c>
      <c r="L115">
        <f>발송처리!AU115</f>
        <v>0</v>
      </c>
      <c r="M115">
        <f>발송처리!AP115</f>
        <v>0</v>
      </c>
      <c r="N115">
        <f>발송처리!AV115</f>
        <v>0</v>
      </c>
      <c r="O115">
        <f>발송처리!AR115</f>
        <v>0</v>
      </c>
      <c r="P115">
        <f>발송처리!K115</f>
        <v>0</v>
      </c>
      <c r="Q115" s="80">
        <f>발송처리!AC115</f>
        <v>0</v>
      </c>
    </row>
    <row r="116" spans="1:17">
      <c r="A116">
        <f>발송처리!A116</f>
        <v>0</v>
      </c>
      <c r="B116">
        <f>발송처리!M116</f>
        <v>0</v>
      </c>
      <c r="E116" t="e">
        <f>VLOOKUP(발송처리!V116,'상품DB(수정x)'!B:E,2,0)</f>
        <v>#N/A</v>
      </c>
      <c r="F116" s="13" t="e">
        <f>VLOOKUP(발송처리!V116,'상품DB(수정x)'!B:E,4,0)</f>
        <v>#N/A</v>
      </c>
      <c r="G116" s="8">
        <f>발송처리!X116</f>
        <v>0</v>
      </c>
      <c r="I116">
        <f>발송처리!AW116</f>
        <v>0</v>
      </c>
      <c r="K116" t="e">
        <f t="shared" si="3"/>
        <v>#N/A</v>
      </c>
      <c r="L116">
        <f>발송처리!AU116</f>
        <v>0</v>
      </c>
      <c r="M116">
        <f>발송처리!AP116</f>
        <v>0</v>
      </c>
      <c r="N116">
        <f>발송처리!AV116</f>
        <v>0</v>
      </c>
      <c r="O116">
        <f>발송처리!AR116</f>
        <v>0</v>
      </c>
      <c r="P116">
        <f>발송처리!K116</f>
        <v>0</v>
      </c>
      <c r="Q116" s="80">
        <f>발송처리!AC116</f>
        <v>0</v>
      </c>
    </row>
    <row r="117" spans="1:17">
      <c r="A117">
        <f>발송처리!A117</f>
        <v>0</v>
      </c>
      <c r="B117">
        <f>발송처리!M117</f>
        <v>0</v>
      </c>
      <c r="E117" t="e">
        <f>VLOOKUP(발송처리!V117,'상품DB(수정x)'!B:E,2,0)</f>
        <v>#N/A</v>
      </c>
      <c r="F117" s="13" t="e">
        <f>VLOOKUP(발송처리!V117,'상품DB(수정x)'!B:E,4,0)</f>
        <v>#N/A</v>
      </c>
      <c r="G117" s="8">
        <f>발송처리!X117</f>
        <v>0</v>
      </c>
      <c r="I117">
        <f>발송처리!AW117</f>
        <v>0</v>
      </c>
      <c r="K117" t="e">
        <f t="shared" si="3"/>
        <v>#N/A</v>
      </c>
      <c r="L117">
        <f>발송처리!AU117</f>
        <v>0</v>
      </c>
      <c r="M117">
        <f>발송처리!AP117</f>
        <v>0</v>
      </c>
      <c r="N117">
        <f>발송처리!AV117</f>
        <v>0</v>
      </c>
      <c r="O117">
        <f>발송처리!AR117</f>
        <v>0</v>
      </c>
      <c r="P117">
        <f>발송처리!K117</f>
        <v>0</v>
      </c>
      <c r="Q117" s="80">
        <f>발송처리!AC117</f>
        <v>0</v>
      </c>
    </row>
    <row r="118" spans="1:17">
      <c r="A118">
        <f>발송처리!A118</f>
        <v>0</v>
      </c>
      <c r="B118">
        <f>발송처리!M118</f>
        <v>0</v>
      </c>
      <c r="E118" t="e">
        <f>VLOOKUP(발송처리!V118,'상품DB(수정x)'!B:E,2,0)</f>
        <v>#N/A</v>
      </c>
      <c r="F118" s="13" t="e">
        <f>VLOOKUP(발송처리!V118,'상품DB(수정x)'!B:E,4,0)</f>
        <v>#N/A</v>
      </c>
      <c r="G118" s="8">
        <f>발송처리!X118</f>
        <v>0</v>
      </c>
      <c r="I118">
        <f>발송처리!AW118</f>
        <v>0</v>
      </c>
      <c r="K118" t="e">
        <f t="shared" si="3"/>
        <v>#N/A</v>
      </c>
      <c r="L118">
        <f>발송처리!AU118</f>
        <v>0</v>
      </c>
      <c r="M118">
        <f>발송처리!AP118</f>
        <v>0</v>
      </c>
      <c r="N118">
        <f>발송처리!AV118</f>
        <v>0</v>
      </c>
      <c r="O118">
        <f>발송처리!AR118</f>
        <v>0</v>
      </c>
      <c r="P118">
        <f>발송처리!K118</f>
        <v>0</v>
      </c>
      <c r="Q118" s="80">
        <f>발송처리!AC118</f>
        <v>0</v>
      </c>
    </row>
    <row r="119" spans="1:17">
      <c r="A119">
        <f>발송처리!A119</f>
        <v>0</v>
      </c>
      <c r="B119">
        <f>발송처리!M119</f>
        <v>0</v>
      </c>
      <c r="E119" t="e">
        <f>VLOOKUP(발송처리!V119,'상품DB(수정x)'!B:E,2,0)</f>
        <v>#N/A</v>
      </c>
      <c r="F119" s="13" t="e">
        <f>VLOOKUP(발송처리!V119,'상품DB(수정x)'!B:E,4,0)</f>
        <v>#N/A</v>
      </c>
      <c r="G119" s="8">
        <f>발송처리!X119</f>
        <v>0</v>
      </c>
      <c r="I119">
        <f>발송처리!AW119</f>
        <v>0</v>
      </c>
      <c r="K119" t="e">
        <f t="shared" si="3"/>
        <v>#N/A</v>
      </c>
      <c r="L119">
        <f>발송처리!AU119</f>
        <v>0</v>
      </c>
      <c r="M119">
        <f>발송처리!AP119</f>
        <v>0</v>
      </c>
      <c r="N119">
        <f>발송처리!AV119</f>
        <v>0</v>
      </c>
      <c r="O119">
        <f>발송처리!AR119</f>
        <v>0</v>
      </c>
      <c r="P119">
        <f>발송처리!K119</f>
        <v>0</v>
      </c>
      <c r="Q119" s="80">
        <f>발송처리!AC119</f>
        <v>0</v>
      </c>
    </row>
    <row r="120" spans="1:17">
      <c r="A120">
        <f>발송처리!A120</f>
        <v>0</v>
      </c>
      <c r="B120">
        <f>발송처리!M120</f>
        <v>0</v>
      </c>
      <c r="E120" t="e">
        <f>VLOOKUP(발송처리!V120,'상품DB(수정x)'!B:E,2,0)</f>
        <v>#N/A</v>
      </c>
      <c r="F120" s="13" t="e">
        <f>VLOOKUP(발송처리!V120,'상품DB(수정x)'!B:E,4,0)</f>
        <v>#N/A</v>
      </c>
      <c r="G120" s="8">
        <f>발송처리!X120</f>
        <v>0</v>
      </c>
      <c r="I120">
        <f>발송처리!AW120</f>
        <v>0</v>
      </c>
      <c r="K120" t="e">
        <f t="shared" si="3"/>
        <v>#N/A</v>
      </c>
      <c r="L120">
        <f>발송처리!AU120</f>
        <v>0</v>
      </c>
      <c r="M120">
        <f>발송처리!AP120</f>
        <v>0</v>
      </c>
      <c r="N120">
        <f>발송처리!AV120</f>
        <v>0</v>
      </c>
      <c r="O120">
        <f>발송처리!AR120</f>
        <v>0</v>
      </c>
      <c r="P120">
        <f>발송처리!K120</f>
        <v>0</v>
      </c>
      <c r="Q120" s="80">
        <f>발송처리!AC120</f>
        <v>0</v>
      </c>
    </row>
    <row r="121" spans="1:17">
      <c r="A121">
        <f>발송처리!A121</f>
        <v>0</v>
      </c>
      <c r="B121">
        <f>발송처리!M121</f>
        <v>0</v>
      </c>
      <c r="E121" t="e">
        <f>VLOOKUP(발송처리!V121,'상품DB(수정x)'!B:E,2,0)</f>
        <v>#N/A</v>
      </c>
      <c r="F121" s="13" t="e">
        <f>VLOOKUP(발송처리!V121,'상품DB(수정x)'!B:E,4,0)</f>
        <v>#N/A</v>
      </c>
      <c r="G121" s="8">
        <f>발송처리!X121</f>
        <v>0</v>
      </c>
      <c r="I121">
        <f>발송처리!AW121</f>
        <v>0</v>
      </c>
      <c r="K121" t="e">
        <f t="shared" si="3"/>
        <v>#N/A</v>
      </c>
      <c r="L121">
        <f>발송처리!AU121</f>
        <v>0</v>
      </c>
      <c r="M121">
        <f>발송처리!AP121</f>
        <v>0</v>
      </c>
      <c r="N121">
        <f>발송처리!AV121</f>
        <v>0</v>
      </c>
      <c r="O121">
        <f>발송처리!AR121</f>
        <v>0</v>
      </c>
      <c r="P121">
        <f>발송처리!K121</f>
        <v>0</v>
      </c>
      <c r="Q121" s="80">
        <f>발송처리!AC121</f>
        <v>0</v>
      </c>
    </row>
    <row r="122" spans="1:17">
      <c r="A122">
        <f>발송처리!A122</f>
        <v>0</v>
      </c>
      <c r="B122">
        <f>발송처리!M122</f>
        <v>0</v>
      </c>
      <c r="E122" t="e">
        <f>VLOOKUP(발송처리!V122,'상품DB(수정x)'!B:E,2,0)</f>
        <v>#N/A</v>
      </c>
      <c r="F122" s="13" t="e">
        <f>VLOOKUP(발송처리!V122,'상품DB(수정x)'!B:E,4,0)</f>
        <v>#N/A</v>
      </c>
      <c r="G122" s="8">
        <f>발송처리!X122</f>
        <v>0</v>
      </c>
      <c r="I122">
        <f>발송처리!AW122</f>
        <v>0</v>
      </c>
      <c r="K122" t="e">
        <f t="shared" si="3"/>
        <v>#N/A</v>
      </c>
      <c r="L122">
        <f>발송처리!AU122</f>
        <v>0</v>
      </c>
      <c r="M122">
        <f>발송처리!AP122</f>
        <v>0</v>
      </c>
      <c r="N122">
        <f>발송처리!AV122</f>
        <v>0</v>
      </c>
      <c r="O122">
        <f>발송처리!AR122</f>
        <v>0</v>
      </c>
      <c r="P122">
        <f>발송처리!K122</f>
        <v>0</v>
      </c>
      <c r="Q122" s="80">
        <f>발송처리!AC122</f>
        <v>0</v>
      </c>
    </row>
    <row r="123" spans="1:17">
      <c r="A123">
        <f>발송처리!A123</f>
        <v>0</v>
      </c>
      <c r="B123">
        <f>발송처리!M123</f>
        <v>0</v>
      </c>
      <c r="E123" t="e">
        <f>VLOOKUP(발송처리!V123,'상품DB(수정x)'!B:E,2,0)</f>
        <v>#N/A</v>
      </c>
      <c r="F123" s="13" t="e">
        <f>VLOOKUP(발송처리!V123,'상품DB(수정x)'!B:E,4,0)</f>
        <v>#N/A</v>
      </c>
      <c r="G123" s="8">
        <f>발송처리!X123</f>
        <v>0</v>
      </c>
      <c r="I123">
        <f>발송처리!AW123</f>
        <v>0</v>
      </c>
      <c r="K123" t="e">
        <f t="shared" si="3"/>
        <v>#N/A</v>
      </c>
      <c r="L123">
        <f>발송처리!AU123</f>
        <v>0</v>
      </c>
      <c r="M123">
        <f>발송처리!AP123</f>
        <v>0</v>
      </c>
      <c r="N123">
        <f>발송처리!AV123</f>
        <v>0</v>
      </c>
      <c r="O123">
        <f>발송처리!AR123</f>
        <v>0</v>
      </c>
      <c r="P123">
        <f>발송처리!K123</f>
        <v>0</v>
      </c>
      <c r="Q123" s="80">
        <f>발송처리!AC123</f>
        <v>0</v>
      </c>
    </row>
    <row r="124" spans="1:17">
      <c r="A124">
        <f>발송처리!A124</f>
        <v>0</v>
      </c>
      <c r="B124">
        <f>발송처리!M124</f>
        <v>0</v>
      </c>
      <c r="E124" t="e">
        <f>VLOOKUP(발송처리!V124,'상품DB(수정x)'!B:E,2,0)</f>
        <v>#N/A</v>
      </c>
      <c r="F124" s="13" t="e">
        <f>VLOOKUP(발송처리!V124,'상품DB(수정x)'!B:E,4,0)</f>
        <v>#N/A</v>
      </c>
      <c r="G124" s="8">
        <f>발송처리!X124</f>
        <v>0</v>
      </c>
      <c r="I124">
        <f>발송처리!AW124</f>
        <v>0</v>
      </c>
      <c r="K124" t="e">
        <f t="shared" si="3"/>
        <v>#N/A</v>
      </c>
      <c r="L124">
        <f>발송처리!AU124</f>
        <v>0</v>
      </c>
      <c r="M124">
        <f>발송처리!AP124</f>
        <v>0</v>
      </c>
      <c r="N124">
        <f>발송처리!AV124</f>
        <v>0</v>
      </c>
      <c r="O124">
        <f>발송처리!AR124</f>
        <v>0</v>
      </c>
      <c r="P124">
        <f>발송처리!K124</f>
        <v>0</v>
      </c>
      <c r="Q124" s="80">
        <f>발송처리!AC124</f>
        <v>0</v>
      </c>
    </row>
    <row r="125" spans="1:17">
      <c r="A125">
        <f>발송처리!A125</f>
        <v>0</v>
      </c>
      <c r="B125">
        <f>발송처리!M125</f>
        <v>0</v>
      </c>
      <c r="E125" t="e">
        <f>VLOOKUP(발송처리!V125,'상품DB(수정x)'!B:E,2,0)</f>
        <v>#N/A</v>
      </c>
      <c r="F125" s="13" t="e">
        <f>VLOOKUP(발송처리!V125,'상품DB(수정x)'!B:E,4,0)</f>
        <v>#N/A</v>
      </c>
      <c r="G125" s="8">
        <f>발송처리!X125</f>
        <v>0</v>
      </c>
      <c r="I125">
        <f>발송처리!AW125</f>
        <v>0</v>
      </c>
      <c r="K125" t="e">
        <f t="shared" si="3"/>
        <v>#N/A</v>
      </c>
      <c r="L125">
        <f>발송처리!AU125</f>
        <v>0</v>
      </c>
      <c r="M125">
        <f>발송처리!AP125</f>
        <v>0</v>
      </c>
      <c r="N125">
        <f>발송처리!AV125</f>
        <v>0</v>
      </c>
      <c r="O125">
        <f>발송처리!AR125</f>
        <v>0</v>
      </c>
      <c r="P125">
        <f>발송처리!K125</f>
        <v>0</v>
      </c>
      <c r="Q125" s="80">
        <f>발송처리!AC125</f>
        <v>0</v>
      </c>
    </row>
    <row r="126" spans="1:17">
      <c r="A126">
        <f>발송처리!A126</f>
        <v>0</v>
      </c>
      <c r="B126">
        <f>발송처리!M126</f>
        <v>0</v>
      </c>
      <c r="E126" t="e">
        <f>VLOOKUP(발송처리!V126,'상품DB(수정x)'!B:E,2,0)</f>
        <v>#N/A</v>
      </c>
      <c r="F126" s="13" t="e">
        <f>VLOOKUP(발송처리!V126,'상품DB(수정x)'!B:E,4,0)</f>
        <v>#N/A</v>
      </c>
      <c r="G126" s="8">
        <f>발송처리!X126</f>
        <v>0</v>
      </c>
      <c r="I126">
        <f>발송처리!AW126</f>
        <v>0</v>
      </c>
      <c r="K126" t="e">
        <f t="shared" si="3"/>
        <v>#N/A</v>
      </c>
      <c r="L126">
        <f>발송처리!AU126</f>
        <v>0</v>
      </c>
      <c r="M126">
        <f>발송처리!AP126</f>
        <v>0</v>
      </c>
      <c r="N126">
        <f>발송처리!AV126</f>
        <v>0</v>
      </c>
      <c r="O126">
        <f>발송처리!AR126</f>
        <v>0</v>
      </c>
      <c r="P126">
        <f>발송처리!K126</f>
        <v>0</v>
      </c>
      <c r="Q126" s="80">
        <f>발송처리!AC126</f>
        <v>0</v>
      </c>
    </row>
    <row r="127" spans="1:17">
      <c r="A127">
        <f>발송처리!A127</f>
        <v>0</v>
      </c>
      <c r="B127">
        <f>발송처리!M127</f>
        <v>0</v>
      </c>
      <c r="E127" t="e">
        <f>VLOOKUP(발송처리!V127,'상품DB(수정x)'!B:E,2,0)</f>
        <v>#N/A</v>
      </c>
      <c r="F127" s="13" t="e">
        <f>VLOOKUP(발송처리!V127,'상품DB(수정x)'!B:E,4,0)</f>
        <v>#N/A</v>
      </c>
      <c r="G127" s="8">
        <f>발송처리!X127</f>
        <v>0</v>
      </c>
      <c r="I127">
        <f>발송처리!AW127</f>
        <v>0</v>
      </c>
      <c r="K127" t="e">
        <f t="shared" si="3"/>
        <v>#N/A</v>
      </c>
      <c r="L127">
        <f>발송처리!AU127</f>
        <v>0</v>
      </c>
      <c r="M127">
        <f>발송처리!AP127</f>
        <v>0</v>
      </c>
      <c r="N127">
        <f>발송처리!AV127</f>
        <v>0</v>
      </c>
      <c r="O127">
        <f>발송처리!AR127</f>
        <v>0</v>
      </c>
      <c r="P127">
        <f>발송처리!K127</f>
        <v>0</v>
      </c>
      <c r="Q127" s="80">
        <f>발송처리!AC127</f>
        <v>0</v>
      </c>
    </row>
    <row r="128" spans="1:17">
      <c r="A128">
        <f>발송처리!A128</f>
        <v>0</v>
      </c>
      <c r="B128">
        <f>발송처리!M128</f>
        <v>0</v>
      </c>
      <c r="E128" t="e">
        <f>VLOOKUP(발송처리!V128,'상품DB(수정x)'!B:E,2,0)</f>
        <v>#N/A</v>
      </c>
      <c r="F128" s="13" t="e">
        <f>VLOOKUP(발송처리!V128,'상품DB(수정x)'!B:E,4,0)</f>
        <v>#N/A</v>
      </c>
      <c r="G128" s="8">
        <f>발송처리!X128</f>
        <v>0</v>
      </c>
      <c r="I128">
        <f>발송처리!AW128</f>
        <v>0</v>
      </c>
      <c r="K128" t="e">
        <f t="shared" si="3"/>
        <v>#N/A</v>
      </c>
      <c r="L128">
        <f>발송처리!AU128</f>
        <v>0</v>
      </c>
      <c r="M128">
        <f>발송처리!AP128</f>
        <v>0</v>
      </c>
      <c r="N128">
        <f>발송처리!AV128</f>
        <v>0</v>
      </c>
      <c r="O128">
        <f>발송처리!AR128</f>
        <v>0</v>
      </c>
      <c r="P128">
        <f>발송처리!K128</f>
        <v>0</v>
      </c>
      <c r="Q128" s="80">
        <f>발송처리!AC128</f>
        <v>0</v>
      </c>
    </row>
    <row r="129" spans="1:17">
      <c r="A129">
        <f>발송처리!A129</f>
        <v>0</v>
      </c>
      <c r="B129">
        <f>발송처리!M129</f>
        <v>0</v>
      </c>
      <c r="E129" t="e">
        <f>VLOOKUP(발송처리!V129,'상품DB(수정x)'!B:E,2,0)</f>
        <v>#N/A</v>
      </c>
      <c r="F129" s="13" t="e">
        <f>VLOOKUP(발송처리!V129,'상품DB(수정x)'!B:E,4,0)</f>
        <v>#N/A</v>
      </c>
      <c r="G129" s="8">
        <f>발송처리!X129</f>
        <v>0</v>
      </c>
      <c r="I129">
        <f>발송처리!AW129</f>
        <v>0</v>
      </c>
      <c r="K129" t="e">
        <f t="shared" si="3"/>
        <v>#N/A</v>
      </c>
      <c r="L129">
        <f>발송처리!AU129</f>
        <v>0</v>
      </c>
      <c r="M129">
        <f>발송처리!AP129</f>
        <v>0</v>
      </c>
      <c r="N129">
        <f>발송처리!AV129</f>
        <v>0</v>
      </c>
      <c r="O129">
        <f>발송처리!AR129</f>
        <v>0</v>
      </c>
      <c r="P129">
        <f>발송처리!K129</f>
        <v>0</v>
      </c>
      <c r="Q129" s="80">
        <f>발송처리!AC129</f>
        <v>0</v>
      </c>
    </row>
    <row r="130" spans="1:17">
      <c r="A130">
        <f>발송처리!A130</f>
        <v>0</v>
      </c>
      <c r="B130">
        <f>발송처리!M130</f>
        <v>0</v>
      </c>
      <c r="E130" t="e">
        <f>VLOOKUP(발송처리!V130,'상품DB(수정x)'!B:E,2,0)</f>
        <v>#N/A</v>
      </c>
      <c r="F130" s="13" t="e">
        <f>VLOOKUP(발송처리!V130,'상품DB(수정x)'!B:E,4,0)</f>
        <v>#N/A</v>
      </c>
      <c r="G130" s="8">
        <f>발송처리!X130</f>
        <v>0</v>
      </c>
      <c r="I130">
        <f>발송처리!AW130</f>
        <v>0</v>
      </c>
      <c r="K130" t="e">
        <f t="shared" si="3"/>
        <v>#N/A</v>
      </c>
      <c r="L130">
        <f>발송처리!AU130</f>
        <v>0</v>
      </c>
      <c r="M130">
        <f>발송처리!AP130</f>
        <v>0</v>
      </c>
      <c r="N130">
        <f>발송처리!AV130</f>
        <v>0</v>
      </c>
      <c r="O130">
        <f>발송처리!AR130</f>
        <v>0</v>
      </c>
      <c r="P130">
        <f>발송처리!K130</f>
        <v>0</v>
      </c>
      <c r="Q130" s="80">
        <f>발송처리!AC130</f>
        <v>0</v>
      </c>
    </row>
    <row r="131" spans="1:17">
      <c r="A131">
        <f>발송처리!A131</f>
        <v>0</v>
      </c>
      <c r="B131">
        <f>발송처리!M131</f>
        <v>0</v>
      </c>
      <c r="E131" t="e">
        <f>VLOOKUP(발송처리!V131,'상품DB(수정x)'!B:E,2,0)</f>
        <v>#N/A</v>
      </c>
      <c r="F131" s="13" t="e">
        <f>VLOOKUP(발송처리!V131,'상품DB(수정x)'!B:E,4,0)</f>
        <v>#N/A</v>
      </c>
      <c r="G131" s="8">
        <f>발송처리!X131</f>
        <v>0</v>
      </c>
      <c r="I131">
        <f>발송처리!AW131</f>
        <v>0</v>
      </c>
      <c r="K131" t="e">
        <f t="shared" ref="K131:K194" si="4">IF(LEFT(E131,1)="2","",IF(LEFT(E131,1)="4","",IF(Q131&gt;=500000,"★증정★테이프20mx2",IF(Q131&gt;=95000,"★증정★테이프20mx1",""))))</f>
        <v>#N/A</v>
      </c>
      <c r="L131">
        <f>발송처리!AU131</f>
        <v>0</v>
      </c>
      <c r="M131">
        <f>발송처리!AP131</f>
        <v>0</v>
      </c>
      <c r="N131">
        <f>발송처리!AV131</f>
        <v>0</v>
      </c>
      <c r="O131">
        <f>발송처리!AR131</f>
        <v>0</v>
      </c>
      <c r="P131">
        <f>발송처리!K131</f>
        <v>0</v>
      </c>
      <c r="Q131" s="80">
        <f>발송처리!AC131</f>
        <v>0</v>
      </c>
    </row>
    <row r="132" spans="1:17">
      <c r="A132">
        <f>발송처리!A132</f>
        <v>0</v>
      </c>
      <c r="B132">
        <f>발송처리!M132</f>
        <v>0</v>
      </c>
      <c r="E132" t="e">
        <f>VLOOKUP(발송처리!V132,'상품DB(수정x)'!B:E,2,0)</f>
        <v>#N/A</v>
      </c>
      <c r="F132" s="13" t="e">
        <f>VLOOKUP(발송처리!V132,'상품DB(수정x)'!B:E,4,0)</f>
        <v>#N/A</v>
      </c>
      <c r="G132" s="8">
        <f>발송처리!X132</f>
        <v>0</v>
      </c>
      <c r="I132">
        <f>발송처리!AW132</f>
        <v>0</v>
      </c>
      <c r="K132" t="e">
        <f t="shared" si="4"/>
        <v>#N/A</v>
      </c>
      <c r="L132">
        <f>발송처리!AU132</f>
        <v>0</v>
      </c>
      <c r="M132">
        <f>발송처리!AP132</f>
        <v>0</v>
      </c>
      <c r="N132">
        <f>발송처리!AV132</f>
        <v>0</v>
      </c>
      <c r="O132">
        <f>발송처리!AR132</f>
        <v>0</v>
      </c>
      <c r="P132">
        <f>발송처리!K132</f>
        <v>0</v>
      </c>
      <c r="Q132" s="80">
        <f>발송처리!AC132</f>
        <v>0</v>
      </c>
    </row>
    <row r="133" spans="1:17">
      <c r="A133">
        <f>발송처리!A133</f>
        <v>0</v>
      </c>
      <c r="B133">
        <f>발송처리!M133</f>
        <v>0</v>
      </c>
      <c r="E133" t="e">
        <f>VLOOKUP(발송처리!V133,'상품DB(수정x)'!B:E,2,0)</f>
        <v>#N/A</v>
      </c>
      <c r="F133" s="13" t="e">
        <f>VLOOKUP(발송처리!V133,'상품DB(수정x)'!B:E,4,0)</f>
        <v>#N/A</v>
      </c>
      <c r="G133" s="8">
        <f>발송처리!X133</f>
        <v>0</v>
      </c>
      <c r="I133">
        <f>발송처리!AW133</f>
        <v>0</v>
      </c>
      <c r="K133" t="e">
        <f t="shared" si="4"/>
        <v>#N/A</v>
      </c>
      <c r="L133">
        <f>발송처리!AU133</f>
        <v>0</v>
      </c>
      <c r="M133">
        <f>발송처리!AP133</f>
        <v>0</v>
      </c>
      <c r="N133">
        <f>발송처리!AV133</f>
        <v>0</v>
      </c>
      <c r="O133">
        <f>발송처리!AR133</f>
        <v>0</v>
      </c>
      <c r="P133">
        <f>발송처리!K133</f>
        <v>0</v>
      </c>
      <c r="Q133" s="80">
        <f>발송처리!AC133</f>
        <v>0</v>
      </c>
    </row>
    <row r="134" spans="1:17">
      <c r="A134">
        <f>발송처리!A134</f>
        <v>0</v>
      </c>
      <c r="B134">
        <f>발송처리!M134</f>
        <v>0</v>
      </c>
      <c r="E134" t="e">
        <f>VLOOKUP(발송처리!V134,'상품DB(수정x)'!B:E,2,0)</f>
        <v>#N/A</v>
      </c>
      <c r="F134" s="13" t="e">
        <f>VLOOKUP(발송처리!V134,'상품DB(수정x)'!B:E,4,0)</f>
        <v>#N/A</v>
      </c>
      <c r="G134" s="8">
        <f>발송처리!X134</f>
        <v>0</v>
      </c>
      <c r="I134">
        <f>발송처리!AW134</f>
        <v>0</v>
      </c>
      <c r="K134" t="e">
        <f t="shared" si="4"/>
        <v>#N/A</v>
      </c>
      <c r="L134">
        <f>발송처리!AU134</f>
        <v>0</v>
      </c>
      <c r="M134">
        <f>발송처리!AP134</f>
        <v>0</v>
      </c>
      <c r="N134">
        <f>발송처리!AV134</f>
        <v>0</v>
      </c>
      <c r="O134">
        <f>발송처리!AR134</f>
        <v>0</v>
      </c>
      <c r="P134">
        <f>발송처리!K134</f>
        <v>0</v>
      </c>
      <c r="Q134" s="80">
        <f>발송처리!AC134</f>
        <v>0</v>
      </c>
    </row>
    <row r="135" spans="1:17">
      <c r="A135">
        <f>발송처리!A135</f>
        <v>0</v>
      </c>
      <c r="B135">
        <f>발송처리!M135</f>
        <v>0</v>
      </c>
      <c r="E135" t="e">
        <f>VLOOKUP(발송처리!V135,'상품DB(수정x)'!B:E,2,0)</f>
        <v>#N/A</v>
      </c>
      <c r="F135" s="13" t="e">
        <f>VLOOKUP(발송처리!V135,'상품DB(수정x)'!B:E,4,0)</f>
        <v>#N/A</v>
      </c>
      <c r="G135" s="8">
        <f>발송처리!X135</f>
        <v>0</v>
      </c>
      <c r="I135">
        <f>발송처리!AW135</f>
        <v>0</v>
      </c>
      <c r="K135" t="e">
        <f t="shared" si="4"/>
        <v>#N/A</v>
      </c>
      <c r="L135">
        <f>발송처리!AU135</f>
        <v>0</v>
      </c>
      <c r="M135">
        <f>발송처리!AP135</f>
        <v>0</v>
      </c>
      <c r="N135">
        <f>발송처리!AV135</f>
        <v>0</v>
      </c>
      <c r="O135">
        <f>발송처리!AR135</f>
        <v>0</v>
      </c>
      <c r="P135">
        <f>발송처리!K135</f>
        <v>0</v>
      </c>
      <c r="Q135" s="80">
        <f>발송처리!AC135</f>
        <v>0</v>
      </c>
    </row>
    <row r="136" spans="1:17">
      <c r="A136">
        <f>발송처리!A136</f>
        <v>0</v>
      </c>
      <c r="B136">
        <f>발송처리!M136</f>
        <v>0</v>
      </c>
      <c r="E136" t="e">
        <f>VLOOKUP(발송처리!V136,'상품DB(수정x)'!B:E,2,0)</f>
        <v>#N/A</v>
      </c>
      <c r="F136" s="13" t="e">
        <f>VLOOKUP(발송처리!V136,'상품DB(수정x)'!B:E,4,0)</f>
        <v>#N/A</v>
      </c>
      <c r="G136" s="8">
        <f>발송처리!X136</f>
        <v>0</v>
      </c>
      <c r="I136">
        <f>발송처리!AW136</f>
        <v>0</v>
      </c>
      <c r="K136" t="e">
        <f t="shared" si="4"/>
        <v>#N/A</v>
      </c>
      <c r="L136">
        <f>발송처리!AU136</f>
        <v>0</v>
      </c>
      <c r="M136">
        <f>발송처리!AP136</f>
        <v>0</v>
      </c>
      <c r="N136">
        <f>발송처리!AV136</f>
        <v>0</v>
      </c>
      <c r="O136">
        <f>발송처리!AR136</f>
        <v>0</v>
      </c>
      <c r="P136">
        <f>발송처리!K136</f>
        <v>0</v>
      </c>
      <c r="Q136" s="80">
        <f>발송처리!AC136</f>
        <v>0</v>
      </c>
    </row>
    <row r="137" spans="1:17">
      <c r="A137">
        <f>발송처리!A137</f>
        <v>0</v>
      </c>
      <c r="B137">
        <f>발송처리!M137</f>
        <v>0</v>
      </c>
      <c r="E137" t="e">
        <f>VLOOKUP(발송처리!V137,'상품DB(수정x)'!B:E,2,0)</f>
        <v>#N/A</v>
      </c>
      <c r="F137" s="13" t="e">
        <f>VLOOKUP(발송처리!V137,'상품DB(수정x)'!B:E,4,0)</f>
        <v>#N/A</v>
      </c>
      <c r="G137" s="8">
        <f>발송처리!X137</f>
        <v>0</v>
      </c>
      <c r="I137">
        <f>발송처리!AW137</f>
        <v>0</v>
      </c>
      <c r="K137" t="e">
        <f t="shared" si="4"/>
        <v>#N/A</v>
      </c>
      <c r="L137">
        <f>발송처리!AU137</f>
        <v>0</v>
      </c>
      <c r="M137">
        <f>발송처리!AP137</f>
        <v>0</v>
      </c>
      <c r="N137">
        <f>발송처리!AV137</f>
        <v>0</v>
      </c>
      <c r="O137">
        <f>발송처리!AR137</f>
        <v>0</v>
      </c>
      <c r="P137">
        <f>발송처리!K137</f>
        <v>0</v>
      </c>
      <c r="Q137" s="80">
        <f>발송처리!AC137</f>
        <v>0</v>
      </c>
    </row>
    <row r="138" spans="1:17">
      <c r="A138">
        <f>발송처리!A138</f>
        <v>0</v>
      </c>
      <c r="B138">
        <f>발송처리!M138</f>
        <v>0</v>
      </c>
      <c r="E138" t="e">
        <f>VLOOKUP(발송처리!V138,'상품DB(수정x)'!B:E,2,0)</f>
        <v>#N/A</v>
      </c>
      <c r="F138" s="13" t="e">
        <f>VLOOKUP(발송처리!V138,'상품DB(수정x)'!B:E,4,0)</f>
        <v>#N/A</v>
      </c>
      <c r="G138" s="8">
        <f>발송처리!X138</f>
        <v>0</v>
      </c>
      <c r="I138">
        <f>발송처리!AW138</f>
        <v>0</v>
      </c>
      <c r="K138" t="e">
        <f t="shared" si="4"/>
        <v>#N/A</v>
      </c>
      <c r="L138">
        <f>발송처리!AU138</f>
        <v>0</v>
      </c>
      <c r="M138">
        <f>발송처리!AP138</f>
        <v>0</v>
      </c>
      <c r="N138">
        <f>발송처리!AV138</f>
        <v>0</v>
      </c>
      <c r="O138">
        <f>발송처리!AR138</f>
        <v>0</v>
      </c>
      <c r="P138">
        <f>발송처리!K138</f>
        <v>0</v>
      </c>
      <c r="Q138" s="80">
        <f>발송처리!AC138</f>
        <v>0</v>
      </c>
    </row>
    <row r="139" spans="1:17">
      <c r="A139">
        <f>발송처리!A139</f>
        <v>0</v>
      </c>
      <c r="B139">
        <f>발송처리!M139</f>
        <v>0</v>
      </c>
      <c r="E139" t="e">
        <f>VLOOKUP(발송처리!V139,'상품DB(수정x)'!B:E,2,0)</f>
        <v>#N/A</v>
      </c>
      <c r="F139" s="13" t="e">
        <f>VLOOKUP(발송처리!V139,'상품DB(수정x)'!B:E,4,0)</f>
        <v>#N/A</v>
      </c>
      <c r="G139" s="8">
        <f>발송처리!X139</f>
        <v>0</v>
      </c>
      <c r="I139">
        <f>발송처리!AW139</f>
        <v>0</v>
      </c>
      <c r="K139" t="e">
        <f t="shared" si="4"/>
        <v>#N/A</v>
      </c>
      <c r="L139">
        <f>발송처리!AU139</f>
        <v>0</v>
      </c>
      <c r="M139">
        <f>발송처리!AP139</f>
        <v>0</v>
      </c>
      <c r="N139">
        <f>발송처리!AV139</f>
        <v>0</v>
      </c>
      <c r="O139">
        <f>발송처리!AR139</f>
        <v>0</v>
      </c>
      <c r="P139">
        <f>발송처리!K139</f>
        <v>0</v>
      </c>
      <c r="Q139" s="80">
        <f>발송처리!AC139</f>
        <v>0</v>
      </c>
    </row>
    <row r="140" spans="1:17">
      <c r="A140">
        <f>발송처리!A140</f>
        <v>0</v>
      </c>
      <c r="B140">
        <f>발송처리!M140</f>
        <v>0</v>
      </c>
      <c r="E140" t="e">
        <f>VLOOKUP(발송처리!V140,'상품DB(수정x)'!B:E,2,0)</f>
        <v>#N/A</v>
      </c>
      <c r="F140" s="13" t="e">
        <f>VLOOKUP(발송처리!V140,'상품DB(수정x)'!B:E,4,0)</f>
        <v>#N/A</v>
      </c>
      <c r="G140" s="8">
        <f>발송처리!X140</f>
        <v>0</v>
      </c>
      <c r="I140">
        <f>발송처리!AW140</f>
        <v>0</v>
      </c>
      <c r="K140" t="e">
        <f t="shared" si="4"/>
        <v>#N/A</v>
      </c>
      <c r="L140">
        <f>발송처리!AU140</f>
        <v>0</v>
      </c>
      <c r="M140">
        <f>발송처리!AP140</f>
        <v>0</v>
      </c>
      <c r="N140">
        <f>발송처리!AV140</f>
        <v>0</v>
      </c>
      <c r="O140">
        <f>발송처리!AR140</f>
        <v>0</v>
      </c>
      <c r="P140">
        <f>발송처리!K140</f>
        <v>0</v>
      </c>
      <c r="Q140" s="80">
        <f>발송처리!AC140</f>
        <v>0</v>
      </c>
    </row>
    <row r="141" spans="1:17">
      <c r="A141">
        <f>발송처리!A141</f>
        <v>0</v>
      </c>
      <c r="B141">
        <f>발송처리!M141</f>
        <v>0</v>
      </c>
      <c r="E141" t="e">
        <f>VLOOKUP(발송처리!V141,'상품DB(수정x)'!B:E,2,0)</f>
        <v>#N/A</v>
      </c>
      <c r="F141" s="13" t="e">
        <f>VLOOKUP(발송처리!V141,'상품DB(수정x)'!B:E,4,0)</f>
        <v>#N/A</v>
      </c>
      <c r="G141" s="8">
        <f>발송처리!X141</f>
        <v>0</v>
      </c>
      <c r="I141">
        <f>발송처리!AW141</f>
        <v>0</v>
      </c>
      <c r="K141" t="e">
        <f t="shared" si="4"/>
        <v>#N/A</v>
      </c>
      <c r="L141">
        <f>발송처리!AU141</f>
        <v>0</v>
      </c>
      <c r="M141">
        <f>발송처리!AP141</f>
        <v>0</v>
      </c>
      <c r="N141">
        <f>발송처리!AV141</f>
        <v>0</v>
      </c>
      <c r="O141">
        <f>발송처리!AR141</f>
        <v>0</v>
      </c>
      <c r="P141">
        <f>발송처리!K141</f>
        <v>0</v>
      </c>
      <c r="Q141" s="80">
        <f>발송처리!AC141</f>
        <v>0</v>
      </c>
    </row>
    <row r="142" spans="1:17">
      <c r="A142">
        <f>발송처리!A142</f>
        <v>0</v>
      </c>
      <c r="B142">
        <f>발송처리!M142</f>
        <v>0</v>
      </c>
      <c r="E142" t="e">
        <f>VLOOKUP(발송처리!V142,'상품DB(수정x)'!B:E,2,0)</f>
        <v>#N/A</v>
      </c>
      <c r="F142" s="13" t="e">
        <f>VLOOKUP(발송처리!V142,'상품DB(수정x)'!B:E,4,0)</f>
        <v>#N/A</v>
      </c>
      <c r="G142" s="8">
        <f>발송처리!X142</f>
        <v>0</v>
      </c>
      <c r="I142">
        <f>발송처리!AW142</f>
        <v>0</v>
      </c>
      <c r="K142" t="e">
        <f t="shared" si="4"/>
        <v>#N/A</v>
      </c>
      <c r="L142">
        <f>발송처리!AU142</f>
        <v>0</v>
      </c>
      <c r="M142">
        <f>발송처리!AP142</f>
        <v>0</v>
      </c>
      <c r="N142">
        <f>발송처리!AV142</f>
        <v>0</v>
      </c>
      <c r="O142">
        <f>발송처리!AR142</f>
        <v>0</v>
      </c>
      <c r="P142">
        <f>발송처리!K142</f>
        <v>0</v>
      </c>
      <c r="Q142" s="80">
        <f>발송처리!AC142</f>
        <v>0</v>
      </c>
    </row>
    <row r="143" spans="1:17">
      <c r="A143">
        <f>발송처리!A143</f>
        <v>0</v>
      </c>
      <c r="B143">
        <f>발송처리!M143</f>
        <v>0</v>
      </c>
      <c r="E143" t="e">
        <f>VLOOKUP(발송처리!V143,'상품DB(수정x)'!B:E,2,0)</f>
        <v>#N/A</v>
      </c>
      <c r="F143" s="13" t="e">
        <f>VLOOKUP(발송처리!V143,'상품DB(수정x)'!B:E,4,0)</f>
        <v>#N/A</v>
      </c>
      <c r="G143" s="8">
        <f>발송처리!X143</f>
        <v>0</v>
      </c>
      <c r="I143">
        <f>발송처리!AW143</f>
        <v>0</v>
      </c>
      <c r="K143" t="e">
        <f t="shared" si="4"/>
        <v>#N/A</v>
      </c>
      <c r="L143">
        <f>발송처리!AU143</f>
        <v>0</v>
      </c>
      <c r="M143">
        <f>발송처리!AP143</f>
        <v>0</v>
      </c>
      <c r="N143">
        <f>발송처리!AV143</f>
        <v>0</v>
      </c>
      <c r="O143">
        <f>발송처리!AR143</f>
        <v>0</v>
      </c>
      <c r="P143">
        <f>발송처리!K143</f>
        <v>0</v>
      </c>
      <c r="Q143" s="80">
        <f>발송처리!AC143</f>
        <v>0</v>
      </c>
    </row>
    <row r="144" spans="1:17">
      <c r="A144">
        <f>발송처리!A144</f>
        <v>0</v>
      </c>
      <c r="B144">
        <f>발송처리!M144</f>
        <v>0</v>
      </c>
      <c r="E144" t="e">
        <f>VLOOKUP(발송처리!V144,'상품DB(수정x)'!B:E,2,0)</f>
        <v>#N/A</v>
      </c>
      <c r="F144" s="13" t="e">
        <f>VLOOKUP(발송처리!V144,'상품DB(수정x)'!B:E,4,0)</f>
        <v>#N/A</v>
      </c>
      <c r="G144" s="8">
        <f>발송처리!X144</f>
        <v>0</v>
      </c>
      <c r="I144">
        <f>발송처리!AW144</f>
        <v>0</v>
      </c>
      <c r="K144" t="e">
        <f t="shared" si="4"/>
        <v>#N/A</v>
      </c>
      <c r="L144">
        <f>발송처리!AU144</f>
        <v>0</v>
      </c>
      <c r="M144">
        <f>발송처리!AP144</f>
        <v>0</v>
      </c>
      <c r="N144">
        <f>발송처리!AV144</f>
        <v>0</v>
      </c>
      <c r="O144">
        <f>발송처리!AR144</f>
        <v>0</v>
      </c>
      <c r="P144">
        <f>발송처리!K144</f>
        <v>0</v>
      </c>
      <c r="Q144" s="80">
        <f>발송처리!AC144</f>
        <v>0</v>
      </c>
    </row>
    <row r="145" spans="1:17">
      <c r="A145">
        <f>발송처리!A145</f>
        <v>0</v>
      </c>
      <c r="B145">
        <f>발송처리!M145</f>
        <v>0</v>
      </c>
      <c r="E145" t="e">
        <f>VLOOKUP(발송처리!V145,'상품DB(수정x)'!B:E,2,0)</f>
        <v>#N/A</v>
      </c>
      <c r="F145" s="13" t="e">
        <f>VLOOKUP(발송처리!V145,'상품DB(수정x)'!B:E,4,0)</f>
        <v>#N/A</v>
      </c>
      <c r="G145" s="8">
        <f>발송처리!X145</f>
        <v>0</v>
      </c>
      <c r="I145">
        <f>발송처리!AW145</f>
        <v>0</v>
      </c>
      <c r="K145" t="e">
        <f t="shared" si="4"/>
        <v>#N/A</v>
      </c>
      <c r="L145">
        <f>발송처리!AU145</f>
        <v>0</v>
      </c>
      <c r="M145">
        <f>발송처리!AP145</f>
        <v>0</v>
      </c>
      <c r="N145">
        <f>발송처리!AV145</f>
        <v>0</v>
      </c>
      <c r="O145">
        <f>발송처리!AR145</f>
        <v>0</v>
      </c>
      <c r="P145">
        <f>발송처리!K145</f>
        <v>0</v>
      </c>
      <c r="Q145" s="80">
        <f>발송처리!AC145</f>
        <v>0</v>
      </c>
    </row>
    <row r="146" spans="1:17">
      <c r="A146">
        <f>발송처리!A146</f>
        <v>0</v>
      </c>
      <c r="B146">
        <f>발송처리!M146</f>
        <v>0</v>
      </c>
      <c r="E146" t="e">
        <f>VLOOKUP(발송처리!V146,'상품DB(수정x)'!B:E,2,0)</f>
        <v>#N/A</v>
      </c>
      <c r="F146" s="13" t="e">
        <f>VLOOKUP(발송처리!V146,'상품DB(수정x)'!B:E,4,0)</f>
        <v>#N/A</v>
      </c>
      <c r="G146" s="8">
        <f>발송처리!X146</f>
        <v>0</v>
      </c>
      <c r="I146">
        <f>발송처리!AW146</f>
        <v>0</v>
      </c>
      <c r="K146" t="e">
        <f t="shared" si="4"/>
        <v>#N/A</v>
      </c>
      <c r="L146">
        <f>발송처리!AU146</f>
        <v>0</v>
      </c>
      <c r="M146">
        <f>발송처리!AP146</f>
        <v>0</v>
      </c>
      <c r="N146">
        <f>발송처리!AV146</f>
        <v>0</v>
      </c>
      <c r="O146">
        <f>발송처리!AR146</f>
        <v>0</v>
      </c>
      <c r="P146">
        <f>발송처리!K146</f>
        <v>0</v>
      </c>
      <c r="Q146" s="80">
        <f>발송처리!AC146</f>
        <v>0</v>
      </c>
    </row>
    <row r="147" spans="1:17">
      <c r="A147">
        <f>발송처리!A147</f>
        <v>0</v>
      </c>
      <c r="B147">
        <f>발송처리!M147</f>
        <v>0</v>
      </c>
      <c r="E147" t="e">
        <f>VLOOKUP(발송처리!V147,'상품DB(수정x)'!B:E,2,0)</f>
        <v>#N/A</v>
      </c>
      <c r="F147" s="13" t="e">
        <f>VLOOKUP(발송처리!V147,'상품DB(수정x)'!B:E,4,0)</f>
        <v>#N/A</v>
      </c>
      <c r="G147" s="8">
        <f>발송처리!X147</f>
        <v>0</v>
      </c>
      <c r="I147">
        <f>발송처리!AW147</f>
        <v>0</v>
      </c>
      <c r="K147" t="e">
        <f t="shared" si="4"/>
        <v>#N/A</v>
      </c>
      <c r="L147">
        <f>발송처리!AU147</f>
        <v>0</v>
      </c>
      <c r="M147">
        <f>발송처리!AP147</f>
        <v>0</v>
      </c>
      <c r="N147">
        <f>발송처리!AV147</f>
        <v>0</v>
      </c>
      <c r="O147">
        <f>발송처리!AR147</f>
        <v>0</v>
      </c>
      <c r="P147">
        <f>발송처리!K147</f>
        <v>0</v>
      </c>
      <c r="Q147" s="80">
        <f>발송처리!AC147</f>
        <v>0</v>
      </c>
    </row>
    <row r="148" spans="1:17">
      <c r="A148">
        <f>발송처리!A148</f>
        <v>0</v>
      </c>
      <c r="B148">
        <f>발송처리!M148</f>
        <v>0</v>
      </c>
      <c r="E148" t="e">
        <f>VLOOKUP(발송처리!V148,'상품DB(수정x)'!B:E,2,0)</f>
        <v>#N/A</v>
      </c>
      <c r="F148" s="13" t="e">
        <f>VLOOKUP(발송처리!V148,'상품DB(수정x)'!B:E,4,0)</f>
        <v>#N/A</v>
      </c>
      <c r="G148" s="8">
        <f>발송처리!X148</f>
        <v>0</v>
      </c>
      <c r="I148">
        <f>발송처리!AW148</f>
        <v>0</v>
      </c>
      <c r="K148" t="e">
        <f t="shared" si="4"/>
        <v>#N/A</v>
      </c>
      <c r="L148">
        <f>발송처리!AU148</f>
        <v>0</v>
      </c>
      <c r="M148">
        <f>발송처리!AP148</f>
        <v>0</v>
      </c>
      <c r="N148">
        <f>발송처리!AV148</f>
        <v>0</v>
      </c>
      <c r="O148">
        <f>발송처리!AR148</f>
        <v>0</v>
      </c>
      <c r="P148">
        <f>발송처리!K148</f>
        <v>0</v>
      </c>
      <c r="Q148" s="80">
        <f>발송처리!AC148</f>
        <v>0</v>
      </c>
    </row>
    <row r="149" spans="1:17">
      <c r="A149">
        <f>발송처리!A149</f>
        <v>0</v>
      </c>
      <c r="B149">
        <f>발송처리!M149</f>
        <v>0</v>
      </c>
      <c r="E149" t="e">
        <f>VLOOKUP(발송처리!V149,'상품DB(수정x)'!B:E,2,0)</f>
        <v>#N/A</v>
      </c>
      <c r="F149" s="13" t="e">
        <f>VLOOKUP(발송처리!V149,'상품DB(수정x)'!B:E,4,0)</f>
        <v>#N/A</v>
      </c>
      <c r="G149" s="8">
        <f>발송처리!X149</f>
        <v>0</v>
      </c>
      <c r="I149">
        <f>발송처리!AW149</f>
        <v>0</v>
      </c>
      <c r="K149" t="e">
        <f t="shared" si="4"/>
        <v>#N/A</v>
      </c>
      <c r="L149">
        <f>발송처리!AU149</f>
        <v>0</v>
      </c>
      <c r="M149">
        <f>발송처리!AP149</f>
        <v>0</v>
      </c>
      <c r="N149">
        <f>발송처리!AV149</f>
        <v>0</v>
      </c>
      <c r="O149">
        <f>발송처리!AR149</f>
        <v>0</v>
      </c>
      <c r="P149">
        <f>발송처리!K149</f>
        <v>0</v>
      </c>
      <c r="Q149" s="80">
        <f>발송처리!AC149</f>
        <v>0</v>
      </c>
    </row>
    <row r="150" spans="1:17">
      <c r="A150">
        <f>발송처리!A150</f>
        <v>0</v>
      </c>
      <c r="B150">
        <f>발송처리!M150</f>
        <v>0</v>
      </c>
      <c r="E150" t="e">
        <f>VLOOKUP(발송처리!V150,'상품DB(수정x)'!B:E,2,0)</f>
        <v>#N/A</v>
      </c>
      <c r="F150" s="13" t="e">
        <f>VLOOKUP(발송처리!V150,'상품DB(수정x)'!B:E,4,0)</f>
        <v>#N/A</v>
      </c>
      <c r="G150" s="8">
        <f>발송처리!X150</f>
        <v>0</v>
      </c>
      <c r="I150">
        <f>발송처리!AW150</f>
        <v>0</v>
      </c>
      <c r="K150" t="e">
        <f t="shared" si="4"/>
        <v>#N/A</v>
      </c>
      <c r="L150">
        <f>발송처리!AU150</f>
        <v>0</v>
      </c>
      <c r="M150">
        <f>발송처리!AP150</f>
        <v>0</v>
      </c>
      <c r="N150">
        <f>발송처리!AV150</f>
        <v>0</v>
      </c>
      <c r="O150">
        <f>발송처리!AR150</f>
        <v>0</v>
      </c>
      <c r="P150">
        <f>발송처리!K150</f>
        <v>0</v>
      </c>
      <c r="Q150" s="80">
        <f>발송처리!AC150</f>
        <v>0</v>
      </c>
    </row>
    <row r="151" spans="1:17">
      <c r="A151">
        <f>발송처리!A151</f>
        <v>0</v>
      </c>
      <c r="B151">
        <f>발송처리!M151</f>
        <v>0</v>
      </c>
      <c r="E151" t="e">
        <f>VLOOKUP(발송처리!V151,'상품DB(수정x)'!B:E,2,0)</f>
        <v>#N/A</v>
      </c>
      <c r="F151" s="13" t="e">
        <f>VLOOKUP(발송처리!V151,'상품DB(수정x)'!B:E,4,0)</f>
        <v>#N/A</v>
      </c>
      <c r="G151" s="8">
        <f>발송처리!X151</f>
        <v>0</v>
      </c>
      <c r="I151">
        <f>발송처리!AW151</f>
        <v>0</v>
      </c>
      <c r="K151" t="e">
        <f t="shared" si="4"/>
        <v>#N/A</v>
      </c>
      <c r="L151">
        <f>발송처리!AU151</f>
        <v>0</v>
      </c>
      <c r="M151">
        <f>발송처리!AP151</f>
        <v>0</v>
      </c>
      <c r="N151">
        <f>발송처리!AV151</f>
        <v>0</v>
      </c>
      <c r="O151">
        <f>발송처리!AR151</f>
        <v>0</v>
      </c>
      <c r="P151">
        <f>발송처리!K151</f>
        <v>0</v>
      </c>
      <c r="Q151" s="80">
        <f>발송처리!AC151</f>
        <v>0</v>
      </c>
    </row>
    <row r="152" spans="1:17">
      <c r="A152">
        <f>발송처리!A152</f>
        <v>0</v>
      </c>
      <c r="B152">
        <f>발송처리!M152</f>
        <v>0</v>
      </c>
      <c r="E152" t="e">
        <f>VLOOKUP(발송처리!V152,'상품DB(수정x)'!B:E,2,0)</f>
        <v>#N/A</v>
      </c>
      <c r="F152" s="13" t="e">
        <f>VLOOKUP(발송처리!V152,'상품DB(수정x)'!B:E,4,0)</f>
        <v>#N/A</v>
      </c>
      <c r="G152" s="8">
        <f>발송처리!X152</f>
        <v>0</v>
      </c>
      <c r="I152">
        <f>발송처리!AW152</f>
        <v>0</v>
      </c>
      <c r="K152" t="e">
        <f t="shared" si="4"/>
        <v>#N/A</v>
      </c>
      <c r="L152">
        <f>발송처리!AU152</f>
        <v>0</v>
      </c>
      <c r="M152">
        <f>발송처리!AP152</f>
        <v>0</v>
      </c>
      <c r="N152">
        <f>발송처리!AV152</f>
        <v>0</v>
      </c>
      <c r="O152">
        <f>발송처리!AR152</f>
        <v>0</v>
      </c>
      <c r="P152">
        <f>발송처리!K152</f>
        <v>0</v>
      </c>
      <c r="Q152" s="80">
        <f>발송처리!AC152</f>
        <v>0</v>
      </c>
    </row>
    <row r="153" spans="1:17">
      <c r="A153">
        <f>발송처리!A153</f>
        <v>0</v>
      </c>
      <c r="B153">
        <f>발송처리!M153</f>
        <v>0</v>
      </c>
      <c r="E153" t="e">
        <f>VLOOKUP(발송처리!V153,'상품DB(수정x)'!B:E,2,0)</f>
        <v>#N/A</v>
      </c>
      <c r="F153" s="13" t="e">
        <f>VLOOKUP(발송처리!V153,'상품DB(수정x)'!B:E,4,0)</f>
        <v>#N/A</v>
      </c>
      <c r="G153" s="8">
        <f>발송처리!X153</f>
        <v>0</v>
      </c>
      <c r="I153">
        <f>발송처리!AW153</f>
        <v>0</v>
      </c>
      <c r="K153" t="e">
        <f t="shared" si="4"/>
        <v>#N/A</v>
      </c>
      <c r="L153">
        <f>발송처리!AU153</f>
        <v>0</v>
      </c>
      <c r="M153">
        <f>발송처리!AP153</f>
        <v>0</v>
      </c>
      <c r="N153">
        <f>발송처리!AV153</f>
        <v>0</v>
      </c>
      <c r="O153">
        <f>발송처리!AR153</f>
        <v>0</v>
      </c>
      <c r="P153">
        <f>발송처리!K153</f>
        <v>0</v>
      </c>
      <c r="Q153" s="80">
        <f>발송처리!AC153</f>
        <v>0</v>
      </c>
    </row>
    <row r="154" spans="1:17">
      <c r="A154">
        <f>발송처리!A154</f>
        <v>0</v>
      </c>
      <c r="B154">
        <f>발송처리!M154</f>
        <v>0</v>
      </c>
      <c r="E154" t="e">
        <f>VLOOKUP(발송처리!V154,'상품DB(수정x)'!B:E,2,0)</f>
        <v>#N/A</v>
      </c>
      <c r="F154" s="13" t="e">
        <f>VLOOKUP(발송처리!V154,'상품DB(수정x)'!B:E,4,0)</f>
        <v>#N/A</v>
      </c>
      <c r="G154" s="8">
        <f>발송처리!X154</f>
        <v>0</v>
      </c>
      <c r="I154">
        <f>발송처리!AW154</f>
        <v>0</v>
      </c>
      <c r="K154" t="e">
        <f t="shared" si="4"/>
        <v>#N/A</v>
      </c>
      <c r="L154">
        <f>발송처리!AU154</f>
        <v>0</v>
      </c>
      <c r="M154">
        <f>발송처리!AP154</f>
        <v>0</v>
      </c>
      <c r="N154">
        <f>발송처리!AV154</f>
        <v>0</v>
      </c>
      <c r="O154">
        <f>발송처리!AR154</f>
        <v>0</v>
      </c>
      <c r="P154">
        <f>발송처리!K154</f>
        <v>0</v>
      </c>
      <c r="Q154" s="80">
        <f>발송처리!AC154</f>
        <v>0</v>
      </c>
    </row>
    <row r="155" spans="1:17">
      <c r="A155">
        <f>발송처리!A155</f>
        <v>0</v>
      </c>
      <c r="B155">
        <f>발송처리!M155</f>
        <v>0</v>
      </c>
      <c r="E155" t="e">
        <f>VLOOKUP(발송처리!V155,'상품DB(수정x)'!B:E,2,0)</f>
        <v>#N/A</v>
      </c>
      <c r="F155" s="13" t="e">
        <f>VLOOKUP(발송처리!V155,'상품DB(수정x)'!B:E,4,0)</f>
        <v>#N/A</v>
      </c>
      <c r="G155" s="8">
        <f>발송처리!X155</f>
        <v>0</v>
      </c>
      <c r="I155">
        <f>발송처리!AW155</f>
        <v>0</v>
      </c>
      <c r="K155" t="e">
        <f t="shared" si="4"/>
        <v>#N/A</v>
      </c>
      <c r="L155">
        <f>발송처리!AU155</f>
        <v>0</v>
      </c>
      <c r="M155">
        <f>발송처리!AP155</f>
        <v>0</v>
      </c>
      <c r="N155">
        <f>발송처리!AV155</f>
        <v>0</v>
      </c>
      <c r="O155">
        <f>발송처리!AR155</f>
        <v>0</v>
      </c>
      <c r="P155">
        <f>발송처리!K155</f>
        <v>0</v>
      </c>
      <c r="Q155" s="80">
        <f>발송처리!AC155</f>
        <v>0</v>
      </c>
    </row>
    <row r="156" spans="1:17">
      <c r="A156">
        <f>발송처리!A156</f>
        <v>0</v>
      </c>
      <c r="B156">
        <f>발송처리!M156</f>
        <v>0</v>
      </c>
      <c r="E156" t="e">
        <f>VLOOKUP(발송처리!V156,'상품DB(수정x)'!B:E,2,0)</f>
        <v>#N/A</v>
      </c>
      <c r="F156" s="13" t="e">
        <f>VLOOKUP(발송처리!V156,'상품DB(수정x)'!B:E,4,0)</f>
        <v>#N/A</v>
      </c>
      <c r="G156" s="8">
        <f>발송처리!X156</f>
        <v>0</v>
      </c>
      <c r="I156">
        <f>발송처리!AW156</f>
        <v>0</v>
      </c>
      <c r="K156" t="e">
        <f t="shared" si="4"/>
        <v>#N/A</v>
      </c>
      <c r="L156">
        <f>발송처리!AU156</f>
        <v>0</v>
      </c>
      <c r="M156">
        <f>발송처리!AP156</f>
        <v>0</v>
      </c>
      <c r="N156">
        <f>발송처리!AV156</f>
        <v>0</v>
      </c>
      <c r="O156">
        <f>발송처리!AR156</f>
        <v>0</v>
      </c>
      <c r="P156">
        <f>발송처리!K156</f>
        <v>0</v>
      </c>
      <c r="Q156" s="80">
        <f>발송처리!AC156</f>
        <v>0</v>
      </c>
    </row>
    <row r="157" spans="1:17">
      <c r="A157">
        <f>발송처리!A157</f>
        <v>0</v>
      </c>
      <c r="B157">
        <f>발송처리!M157</f>
        <v>0</v>
      </c>
      <c r="E157" t="e">
        <f>VLOOKUP(발송처리!V157,'상품DB(수정x)'!B:E,2,0)</f>
        <v>#N/A</v>
      </c>
      <c r="F157" s="13" t="e">
        <f>VLOOKUP(발송처리!V157,'상품DB(수정x)'!B:E,4,0)</f>
        <v>#N/A</v>
      </c>
      <c r="G157" s="8">
        <f>발송처리!X157</f>
        <v>0</v>
      </c>
      <c r="I157">
        <f>발송처리!AW157</f>
        <v>0</v>
      </c>
      <c r="K157" t="e">
        <f t="shared" si="4"/>
        <v>#N/A</v>
      </c>
      <c r="L157">
        <f>발송처리!AU157</f>
        <v>0</v>
      </c>
      <c r="M157">
        <f>발송처리!AP157</f>
        <v>0</v>
      </c>
      <c r="N157">
        <f>발송처리!AV157</f>
        <v>0</v>
      </c>
      <c r="O157">
        <f>발송처리!AR157</f>
        <v>0</v>
      </c>
      <c r="P157">
        <f>발송처리!K157</f>
        <v>0</v>
      </c>
      <c r="Q157" s="80">
        <f>발송처리!AC157</f>
        <v>0</v>
      </c>
    </row>
    <row r="158" spans="1:17">
      <c r="A158">
        <f>발송처리!A158</f>
        <v>0</v>
      </c>
      <c r="B158">
        <f>발송처리!M158</f>
        <v>0</v>
      </c>
      <c r="E158" t="e">
        <f>VLOOKUP(발송처리!V158,'상품DB(수정x)'!B:E,2,0)</f>
        <v>#N/A</v>
      </c>
      <c r="F158" s="13" t="e">
        <f>VLOOKUP(발송처리!V158,'상품DB(수정x)'!B:E,4,0)</f>
        <v>#N/A</v>
      </c>
      <c r="G158" s="8">
        <f>발송처리!X158</f>
        <v>0</v>
      </c>
      <c r="I158">
        <f>발송처리!AW158</f>
        <v>0</v>
      </c>
      <c r="K158" t="e">
        <f t="shared" si="4"/>
        <v>#N/A</v>
      </c>
      <c r="L158">
        <f>발송처리!AU158</f>
        <v>0</v>
      </c>
      <c r="M158">
        <f>발송처리!AP158</f>
        <v>0</v>
      </c>
      <c r="N158">
        <f>발송처리!AV158</f>
        <v>0</v>
      </c>
      <c r="O158">
        <f>발송처리!AR158</f>
        <v>0</v>
      </c>
      <c r="P158">
        <f>발송처리!K158</f>
        <v>0</v>
      </c>
      <c r="Q158" s="80">
        <f>발송처리!AC158</f>
        <v>0</v>
      </c>
    </row>
    <row r="159" spans="1:17">
      <c r="A159">
        <f>발송처리!A159</f>
        <v>0</v>
      </c>
      <c r="B159">
        <f>발송처리!M159</f>
        <v>0</v>
      </c>
      <c r="E159" t="e">
        <f>VLOOKUP(발송처리!V159,'상품DB(수정x)'!B:E,2,0)</f>
        <v>#N/A</v>
      </c>
      <c r="F159" s="13" t="e">
        <f>VLOOKUP(발송처리!V159,'상품DB(수정x)'!B:E,4,0)</f>
        <v>#N/A</v>
      </c>
      <c r="G159" s="8">
        <f>발송처리!X159</f>
        <v>0</v>
      </c>
      <c r="I159">
        <f>발송처리!AW159</f>
        <v>0</v>
      </c>
      <c r="K159" t="e">
        <f t="shared" si="4"/>
        <v>#N/A</v>
      </c>
      <c r="L159">
        <f>발송처리!AU159</f>
        <v>0</v>
      </c>
      <c r="M159">
        <f>발송처리!AP159</f>
        <v>0</v>
      </c>
      <c r="N159">
        <f>발송처리!AV159</f>
        <v>0</v>
      </c>
      <c r="O159">
        <f>발송처리!AR159</f>
        <v>0</v>
      </c>
      <c r="P159">
        <f>발송처리!K159</f>
        <v>0</v>
      </c>
      <c r="Q159" s="80">
        <f>발송처리!AC159</f>
        <v>0</v>
      </c>
    </row>
    <row r="160" spans="1:17">
      <c r="A160">
        <f>발송처리!A160</f>
        <v>0</v>
      </c>
      <c r="B160">
        <f>발송처리!M160</f>
        <v>0</v>
      </c>
      <c r="E160" t="e">
        <f>VLOOKUP(발송처리!V160,'상품DB(수정x)'!B:E,2,0)</f>
        <v>#N/A</v>
      </c>
      <c r="F160" s="13" t="e">
        <f>VLOOKUP(발송처리!V160,'상품DB(수정x)'!B:E,4,0)</f>
        <v>#N/A</v>
      </c>
      <c r="G160" s="8">
        <f>발송처리!X160</f>
        <v>0</v>
      </c>
      <c r="I160">
        <f>발송처리!AW160</f>
        <v>0</v>
      </c>
      <c r="K160" t="e">
        <f t="shared" si="4"/>
        <v>#N/A</v>
      </c>
      <c r="L160">
        <f>발송처리!AU160</f>
        <v>0</v>
      </c>
      <c r="M160">
        <f>발송처리!AP160</f>
        <v>0</v>
      </c>
      <c r="N160">
        <f>발송처리!AV160</f>
        <v>0</v>
      </c>
      <c r="O160">
        <f>발송처리!AR160</f>
        <v>0</v>
      </c>
      <c r="P160">
        <f>발송처리!K160</f>
        <v>0</v>
      </c>
      <c r="Q160" s="80">
        <f>발송처리!AC160</f>
        <v>0</v>
      </c>
    </row>
    <row r="161" spans="1:17">
      <c r="A161">
        <f>발송처리!A161</f>
        <v>0</v>
      </c>
      <c r="B161">
        <f>발송처리!M161</f>
        <v>0</v>
      </c>
      <c r="E161" t="e">
        <f>VLOOKUP(발송처리!V161,'상품DB(수정x)'!B:E,2,0)</f>
        <v>#N/A</v>
      </c>
      <c r="F161" s="13" t="e">
        <f>VLOOKUP(발송처리!V161,'상품DB(수정x)'!B:E,4,0)</f>
        <v>#N/A</v>
      </c>
      <c r="G161" s="8">
        <f>발송처리!X161</f>
        <v>0</v>
      </c>
      <c r="I161">
        <f>발송처리!AW161</f>
        <v>0</v>
      </c>
      <c r="K161" t="e">
        <f t="shared" si="4"/>
        <v>#N/A</v>
      </c>
      <c r="L161">
        <f>발송처리!AU161</f>
        <v>0</v>
      </c>
      <c r="M161">
        <f>발송처리!AP161</f>
        <v>0</v>
      </c>
      <c r="N161">
        <f>발송처리!AV161</f>
        <v>0</v>
      </c>
      <c r="O161">
        <f>발송처리!AR161</f>
        <v>0</v>
      </c>
      <c r="P161">
        <f>발송처리!K161</f>
        <v>0</v>
      </c>
      <c r="Q161" s="80">
        <f>발송처리!AC161</f>
        <v>0</v>
      </c>
    </row>
    <row r="162" spans="1:17">
      <c r="A162">
        <f>발송처리!A162</f>
        <v>0</v>
      </c>
      <c r="B162">
        <f>발송처리!M162</f>
        <v>0</v>
      </c>
      <c r="E162" t="e">
        <f>VLOOKUP(발송처리!V162,'상품DB(수정x)'!B:E,2,0)</f>
        <v>#N/A</v>
      </c>
      <c r="F162" s="13" t="e">
        <f>VLOOKUP(발송처리!V162,'상품DB(수정x)'!B:E,4,0)</f>
        <v>#N/A</v>
      </c>
      <c r="G162" s="8">
        <f>발송처리!X162</f>
        <v>0</v>
      </c>
      <c r="I162">
        <f>발송처리!AW162</f>
        <v>0</v>
      </c>
      <c r="K162" t="e">
        <f t="shared" si="4"/>
        <v>#N/A</v>
      </c>
      <c r="L162">
        <f>발송처리!AU162</f>
        <v>0</v>
      </c>
      <c r="M162">
        <f>발송처리!AP162</f>
        <v>0</v>
      </c>
      <c r="N162">
        <f>발송처리!AV162</f>
        <v>0</v>
      </c>
      <c r="O162">
        <f>발송처리!AR162</f>
        <v>0</v>
      </c>
      <c r="P162">
        <f>발송처리!K162</f>
        <v>0</v>
      </c>
      <c r="Q162" s="80">
        <f>발송처리!AC162</f>
        <v>0</v>
      </c>
    </row>
    <row r="163" spans="1:17">
      <c r="A163">
        <f>발송처리!A163</f>
        <v>0</v>
      </c>
      <c r="B163">
        <f>발송처리!M163</f>
        <v>0</v>
      </c>
      <c r="E163" t="e">
        <f>VLOOKUP(발송처리!V163,'상품DB(수정x)'!B:E,2,0)</f>
        <v>#N/A</v>
      </c>
      <c r="F163" s="13" t="e">
        <f>VLOOKUP(발송처리!V163,'상품DB(수정x)'!B:E,4,0)</f>
        <v>#N/A</v>
      </c>
      <c r="G163" s="8">
        <f>발송처리!X163</f>
        <v>0</v>
      </c>
      <c r="I163">
        <f>발송처리!AW163</f>
        <v>0</v>
      </c>
      <c r="K163" t="e">
        <f t="shared" si="4"/>
        <v>#N/A</v>
      </c>
      <c r="L163">
        <f>발송처리!AU163</f>
        <v>0</v>
      </c>
      <c r="M163">
        <f>발송처리!AP163</f>
        <v>0</v>
      </c>
      <c r="N163">
        <f>발송처리!AV163</f>
        <v>0</v>
      </c>
      <c r="O163">
        <f>발송처리!AR163</f>
        <v>0</v>
      </c>
      <c r="P163">
        <f>발송처리!K163</f>
        <v>0</v>
      </c>
      <c r="Q163" s="80">
        <f>발송처리!AC163</f>
        <v>0</v>
      </c>
    </row>
    <row r="164" spans="1:17">
      <c r="A164">
        <f>발송처리!A164</f>
        <v>0</v>
      </c>
      <c r="B164">
        <f>발송처리!M164</f>
        <v>0</v>
      </c>
      <c r="E164" t="e">
        <f>VLOOKUP(발송처리!V164,'상품DB(수정x)'!B:E,2,0)</f>
        <v>#N/A</v>
      </c>
      <c r="F164" s="13" t="e">
        <f>VLOOKUP(발송처리!V164,'상품DB(수정x)'!B:E,4,0)</f>
        <v>#N/A</v>
      </c>
      <c r="G164" s="8">
        <f>발송처리!X164</f>
        <v>0</v>
      </c>
      <c r="I164">
        <f>발송처리!AW164</f>
        <v>0</v>
      </c>
      <c r="K164" t="e">
        <f t="shared" si="4"/>
        <v>#N/A</v>
      </c>
      <c r="L164">
        <f>발송처리!AU164</f>
        <v>0</v>
      </c>
      <c r="M164">
        <f>발송처리!AP164</f>
        <v>0</v>
      </c>
      <c r="N164">
        <f>발송처리!AV164</f>
        <v>0</v>
      </c>
      <c r="O164">
        <f>발송처리!AR164</f>
        <v>0</v>
      </c>
      <c r="P164">
        <f>발송처리!K164</f>
        <v>0</v>
      </c>
      <c r="Q164" s="80">
        <f>발송처리!AC164</f>
        <v>0</v>
      </c>
    </row>
    <row r="165" spans="1:17">
      <c r="A165">
        <f>발송처리!A165</f>
        <v>0</v>
      </c>
      <c r="B165">
        <f>발송처리!M165</f>
        <v>0</v>
      </c>
      <c r="E165" t="e">
        <f>VLOOKUP(발송처리!V165,'상품DB(수정x)'!B:E,2,0)</f>
        <v>#N/A</v>
      </c>
      <c r="F165" s="13" t="e">
        <f>VLOOKUP(발송처리!V165,'상품DB(수정x)'!B:E,4,0)</f>
        <v>#N/A</v>
      </c>
      <c r="G165" s="8">
        <f>발송처리!X165</f>
        <v>0</v>
      </c>
      <c r="I165">
        <f>발송처리!AW165</f>
        <v>0</v>
      </c>
      <c r="K165" t="e">
        <f t="shared" si="4"/>
        <v>#N/A</v>
      </c>
      <c r="L165">
        <f>발송처리!AU165</f>
        <v>0</v>
      </c>
      <c r="M165">
        <f>발송처리!AP165</f>
        <v>0</v>
      </c>
      <c r="N165">
        <f>발송처리!AV165</f>
        <v>0</v>
      </c>
      <c r="O165">
        <f>발송처리!AR165</f>
        <v>0</v>
      </c>
      <c r="P165">
        <f>발송처리!K165</f>
        <v>0</v>
      </c>
      <c r="Q165" s="80">
        <f>발송처리!AC165</f>
        <v>0</v>
      </c>
    </row>
    <row r="166" spans="1:17">
      <c r="A166">
        <f>발송처리!A166</f>
        <v>0</v>
      </c>
      <c r="B166">
        <f>발송처리!M166</f>
        <v>0</v>
      </c>
      <c r="E166" t="e">
        <f>VLOOKUP(발송처리!V166,'상품DB(수정x)'!B:E,2,0)</f>
        <v>#N/A</v>
      </c>
      <c r="F166" s="13" t="e">
        <f>VLOOKUP(발송처리!V166,'상품DB(수정x)'!B:E,4,0)</f>
        <v>#N/A</v>
      </c>
      <c r="G166" s="8">
        <f>발송처리!X166</f>
        <v>0</v>
      </c>
      <c r="I166">
        <f>발송처리!AW166</f>
        <v>0</v>
      </c>
      <c r="K166" t="e">
        <f t="shared" si="4"/>
        <v>#N/A</v>
      </c>
      <c r="L166">
        <f>발송처리!AU166</f>
        <v>0</v>
      </c>
      <c r="M166">
        <f>발송처리!AP166</f>
        <v>0</v>
      </c>
      <c r="N166">
        <f>발송처리!AV166</f>
        <v>0</v>
      </c>
      <c r="O166">
        <f>발송처리!AR166</f>
        <v>0</v>
      </c>
      <c r="P166">
        <f>발송처리!K166</f>
        <v>0</v>
      </c>
      <c r="Q166" s="80">
        <f>발송처리!AC166</f>
        <v>0</v>
      </c>
    </row>
    <row r="167" spans="1:17">
      <c r="A167">
        <f>발송처리!A167</f>
        <v>0</v>
      </c>
      <c r="B167">
        <f>발송처리!M167</f>
        <v>0</v>
      </c>
      <c r="E167" t="e">
        <f>VLOOKUP(발송처리!V167,'상품DB(수정x)'!B:E,2,0)</f>
        <v>#N/A</v>
      </c>
      <c r="F167" s="13" t="e">
        <f>VLOOKUP(발송처리!V167,'상품DB(수정x)'!B:E,4,0)</f>
        <v>#N/A</v>
      </c>
      <c r="G167" s="8">
        <f>발송처리!X167</f>
        <v>0</v>
      </c>
      <c r="I167">
        <f>발송처리!AW167</f>
        <v>0</v>
      </c>
      <c r="K167" t="e">
        <f t="shared" si="4"/>
        <v>#N/A</v>
      </c>
      <c r="L167">
        <f>발송처리!AU167</f>
        <v>0</v>
      </c>
      <c r="M167">
        <f>발송처리!AP167</f>
        <v>0</v>
      </c>
      <c r="N167">
        <f>발송처리!AV167</f>
        <v>0</v>
      </c>
      <c r="O167">
        <f>발송처리!AR167</f>
        <v>0</v>
      </c>
      <c r="P167">
        <f>발송처리!K167</f>
        <v>0</v>
      </c>
      <c r="Q167" s="80">
        <f>발송처리!AC167</f>
        <v>0</v>
      </c>
    </row>
    <row r="168" spans="1:17">
      <c r="A168">
        <f>발송처리!A168</f>
        <v>0</v>
      </c>
      <c r="B168">
        <f>발송처리!M168</f>
        <v>0</v>
      </c>
      <c r="E168" t="e">
        <f>VLOOKUP(발송처리!V168,'상품DB(수정x)'!B:E,2,0)</f>
        <v>#N/A</v>
      </c>
      <c r="F168" s="13" t="e">
        <f>VLOOKUP(발송처리!V168,'상품DB(수정x)'!B:E,4,0)</f>
        <v>#N/A</v>
      </c>
      <c r="G168" s="8">
        <f>발송처리!X168</f>
        <v>0</v>
      </c>
      <c r="I168">
        <f>발송처리!AW168</f>
        <v>0</v>
      </c>
      <c r="K168" t="e">
        <f t="shared" si="4"/>
        <v>#N/A</v>
      </c>
      <c r="L168">
        <f>발송처리!AU168</f>
        <v>0</v>
      </c>
      <c r="M168">
        <f>발송처리!AP168</f>
        <v>0</v>
      </c>
      <c r="N168">
        <f>발송처리!AV168</f>
        <v>0</v>
      </c>
      <c r="O168">
        <f>발송처리!AR168</f>
        <v>0</v>
      </c>
      <c r="P168">
        <f>발송처리!K168</f>
        <v>0</v>
      </c>
      <c r="Q168" s="80">
        <f>발송처리!AC168</f>
        <v>0</v>
      </c>
    </row>
    <row r="169" spans="1:17">
      <c r="A169">
        <f>발송처리!A169</f>
        <v>0</v>
      </c>
      <c r="B169">
        <f>발송처리!M169</f>
        <v>0</v>
      </c>
      <c r="E169" t="e">
        <f>VLOOKUP(발송처리!V169,'상품DB(수정x)'!B:E,2,0)</f>
        <v>#N/A</v>
      </c>
      <c r="F169" s="13" t="e">
        <f>VLOOKUP(발송처리!V169,'상품DB(수정x)'!B:E,4,0)</f>
        <v>#N/A</v>
      </c>
      <c r="G169" s="8">
        <f>발송처리!X169</f>
        <v>0</v>
      </c>
      <c r="I169">
        <f>발송처리!AW169</f>
        <v>0</v>
      </c>
      <c r="K169" t="e">
        <f t="shared" si="4"/>
        <v>#N/A</v>
      </c>
      <c r="L169">
        <f>발송처리!AU169</f>
        <v>0</v>
      </c>
      <c r="M169">
        <f>발송처리!AP169</f>
        <v>0</v>
      </c>
      <c r="N169">
        <f>발송처리!AV169</f>
        <v>0</v>
      </c>
      <c r="O169">
        <f>발송처리!AR169</f>
        <v>0</v>
      </c>
      <c r="P169">
        <f>발송처리!K169</f>
        <v>0</v>
      </c>
      <c r="Q169" s="80">
        <f>발송처리!AC169</f>
        <v>0</v>
      </c>
    </row>
    <row r="170" spans="1:17">
      <c r="A170">
        <f>발송처리!A170</f>
        <v>0</v>
      </c>
      <c r="B170">
        <f>발송처리!M170</f>
        <v>0</v>
      </c>
      <c r="E170" t="e">
        <f>VLOOKUP(발송처리!V170,'상품DB(수정x)'!B:E,2,0)</f>
        <v>#N/A</v>
      </c>
      <c r="F170" s="13" t="e">
        <f>VLOOKUP(발송처리!V170,'상품DB(수정x)'!B:E,4,0)</f>
        <v>#N/A</v>
      </c>
      <c r="G170" s="8">
        <f>발송처리!X170</f>
        <v>0</v>
      </c>
      <c r="I170">
        <f>발송처리!AW170</f>
        <v>0</v>
      </c>
      <c r="K170" t="e">
        <f t="shared" si="4"/>
        <v>#N/A</v>
      </c>
      <c r="L170">
        <f>발송처리!AU170</f>
        <v>0</v>
      </c>
      <c r="M170">
        <f>발송처리!AP170</f>
        <v>0</v>
      </c>
      <c r="N170">
        <f>발송처리!AV170</f>
        <v>0</v>
      </c>
      <c r="O170">
        <f>발송처리!AR170</f>
        <v>0</v>
      </c>
      <c r="P170">
        <f>발송처리!K170</f>
        <v>0</v>
      </c>
      <c r="Q170" s="80">
        <f>발송처리!AC170</f>
        <v>0</v>
      </c>
    </row>
    <row r="171" spans="1:17">
      <c r="A171">
        <f>발송처리!A171</f>
        <v>0</v>
      </c>
      <c r="B171">
        <f>발송처리!M171</f>
        <v>0</v>
      </c>
      <c r="E171" t="e">
        <f>VLOOKUP(발송처리!V171,'상품DB(수정x)'!B:E,2,0)</f>
        <v>#N/A</v>
      </c>
      <c r="F171" s="13" t="e">
        <f>VLOOKUP(발송처리!V171,'상품DB(수정x)'!B:E,4,0)</f>
        <v>#N/A</v>
      </c>
      <c r="G171" s="8">
        <f>발송처리!X171</f>
        <v>0</v>
      </c>
      <c r="I171">
        <f>발송처리!AW171</f>
        <v>0</v>
      </c>
      <c r="K171" t="e">
        <f t="shared" si="4"/>
        <v>#N/A</v>
      </c>
      <c r="L171">
        <f>발송처리!AU171</f>
        <v>0</v>
      </c>
      <c r="M171">
        <f>발송처리!AP171</f>
        <v>0</v>
      </c>
      <c r="N171">
        <f>발송처리!AV171</f>
        <v>0</v>
      </c>
      <c r="O171">
        <f>발송처리!AR171</f>
        <v>0</v>
      </c>
      <c r="P171">
        <f>발송처리!K171</f>
        <v>0</v>
      </c>
      <c r="Q171" s="80">
        <f>발송처리!AC171</f>
        <v>0</v>
      </c>
    </row>
    <row r="172" spans="1:17">
      <c r="A172">
        <f>발송처리!A172</f>
        <v>0</v>
      </c>
      <c r="B172">
        <f>발송처리!M172</f>
        <v>0</v>
      </c>
      <c r="E172" t="e">
        <f>VLOOKUP(발송처리!V172,'상품DB(수정x)'!B:E,2,0)</f>
        <v>#N/A</v>
      </c>
      <c r="F172" s="13" t="e">
        <f>VLOOKUP(발송처리!V172,'상품DB(수정x)'!B:E,4,0)</f>
        <v>#N/A</v>
      </c>
      <c r="G172" s="8">
        <f>발송처리!X172</f>
        <v>0</v>
      </c>
      <c r="I172">
        <f>발송처리!AW172</f>
        <v>0</v>
      </c>
      <c r="K172" t="e">
        <f t="shared" si="4"/>
        <v>#N/A</v>
      </c>
      <c r="L172">
        <f>발송처리!AU172</f>
        <v>0</v>
      </c>
      <c r="M172">
        <f>발송처리!AP172</f>
        <v>0</v>
      </c>
      <c r="N172">
        <f>발송처리!AV172</f>
        <v>0</v>
      </c>
      <c r="O172">
        <f>발송처리!AR172</f>
        <v>0</v>
      </c>
      <c r="P172">
        <f>발송처리!K172</f>
        <v>0</v>
      </c>
      <c r="Q172" s="80">
        <f>발송처리!AC172</f>
        <v>0</v>
      </c>
    </row>
    <row r="173" spans="1:17">
      <c r="A173">
        <f>발송처리!A173</f>
        <v>0</v>
      </c>
      <c r="B173">
        <f>발송처리!M173</f>
        <v>0</v>
      </c>
      <c r="E173" t="e">
        <f>VLOOKUP(발송처리!V173,'상품DB(수정x)'!B:E,2,0)</f>
        <v>#N/A</v>
      </c>
      <c r="F173" s="13" t="e">
        <f>VLOOKUP(발송처리!V173,'상품DB(수정x)'!B:E,4,0)</f>
        <v>#N/A</v>
      </c>
      <c r="G173" s="8">
        <f>발송처리!X173</f>
        <v>0</v>
      </c>
      <c r="I173">
        <f>발송처리!AW173</f>
        <v>0</v>
      </c>
      <c r="K173" t="e">
        <f t="shared" si="4"/>
        <v>#N/A</v>
      </c>
      <c r="L173">
        <f>발송처리!AU173</f>
        <v>0</v>
      </c>
      <c r="M173">
        <f>발송처리!AP173</f>
        <v>0</v>
      </c>
      <c r="N173">
        <f>발송처리!AV173</f>
        <v>0</v>
      </c>
      <c r="O173">
        <f>발송처리!AR173</f>
        <v>0</v>
      </c>
      <c r="P173">
        <f>발송처리!K173</f>
        <v>0</v>
      </c>
      <c r="Q173" s="80">
        <f>발송처리!AC173</f>
        <v>0</v>
      </c>
    </row>
    <row r="174" spans="1:17">
      <c r="A174">
        <f>발송처리!A174</f>
        <v>0</v>
      </c>
      <c r="B174">
        <f>발송처리!M174</f>
        <v>0</v>
      </c>
      <c r="E174" t="e">
        <f>VLOOKUP(발송처리!V174,'상품DB(수정x)'!B:E,2,0)</f>
        <v>#N/A</v>
      </c>
      <c r="F174" s="13" t="e">
        <f>VLOOKUP(발송처리!V174,'상품DB(수정x)'!B:E,4,0)</f>
        <v>#N/A</v>
      </c>
      <c r="G174" s="8">
        <f>발송처리!X174</f>
        <v>0</v>
      </c>
      <c r="I174">
        <f>발송처리!AW174</f>
        <v>0</v>
      </c>
      <c r="K174" t="e">
        <f t="shared" si="4"/>
        <v>#N/A</v>
      </c>
      <c r="L174">
        <f>발송처리!AU174</f>
        <v>0</v>
      </c>
      <c r="M174">
        <f>발송처리!AP174</f>
        <v>0</v>
      </c>
      <c r="N174">
        <f>발송처리!AV174</f>
        <v>0</v>
      </c>
      <c r="O174">
        <f>발송처리!AR174</f>
        <v>0</v>
      </c>
      <c r="P174">
        <f>발송처리!K174</f>
        <v>0</v>
      </c>
      <c r="Q174" s="80">
        <f>발송처리!AC174</f>
        <v>0</v>
      </c>
    </row>
    <row r="175" spans="1:17">
      <c r="A175">
        <f>발송처리!A175</f>
        <v>0</v>
      </c>
      <c r="B175">
        <f>발송처리!M175</f>
        <v>0</v>
      </c>
      <c r="E175" t="e">
        <f>VLOOKUP(발송처리!V175,'상품DB(수정x)'!B:E,2,0)</f>
        <v>#N/A</v>
      </c>
      <c r="F175" s="13" t="e">
        <f>VLOOKUP(발송처리!V175,'상품DB(수정x)'!B:E,4,0)</f>
        <v>#N/A</v>
      </c>
      <c r="G175" s="8">
        <f>발송처리!X175</f>
        <v>0</v>
      </c>
      <c r="I175">
        <f>발송처리!AW175</f>
        <v>0</v>
      </c>
      <c r="K175" t="e">
        <f t="shared" si="4"/>
        <v>#N/A</v>
      </c>
      <c r="L175">
        <f>발송처리!AU175</f>
        <v>0</v>
      </c>
      <c r="M175">
        <f>발송처리!AP175</f>
        <v>0</v>
      </c>
      <c r="N175">
        <f>발송처리!AV175</f>
        <v>0</v>
      </c>
      <c r="O175">
        <f>발송처리!AR175</f>
        <v>0</v>
      </c>
      <c r="P175">
        <f>발송처리!K175</f>
        <v>0</v>
      </c>
      <c r="Q175" s="80">
        <f>발송처리!AC175</f>
        <v>0</v>
      </c>
    </row>
    <row r="176" spans="1:17">
      <c r="A176">
        <f>발송처리!A176</f>
        <v>0</v>
      </c>
      <c r="B176">
        <f>발송처리!M176</f>
        <v>0</v>
      </c>
      <c r="E176" t="e">
        <f>VLOOKUP(발송처리!V176,'상품DB(수정x)'!B:E,2,0)</f>
        <v>#N/A</v>
      </c>
      <c r="F176" s="13" t="e">
        <f>VLOOKUP(발송처리!V176,'상품DB(수정x)'!B:E,4,0)</f>
        <v>#N/A</v>
      </c>
      <c r="G176" s="8">
        <f>발송처리!X176</f>
        <v>0</v>
      </c>
      <c r="I176">
        <f>발송처리!AW176</f>
        <v>0</v>
      </c>
      <c r="K176" t="e">
        <f t="shared" si="4"/>
        <v>#N/A</v>
      </c>
      <c r="L176">
        <f>발송처리!AU176</f>
        <v>0</v>
      </c>
      <c r="M176">
        <f>발송처리!AP176</f>
        <v>0</v>
      </c>
      <c r="N176">
        <f>발송처리!AV176</f>
        <v>0</v>
      </c>
      <c r="O176">
        <f>발송처리!AR176</f>
        <v>0</v>
      </c>
      <c r="P176">
        <f>발송처리!K176</f>
        <v>0</v>
      </c>
      <c r="Q176" s="80">
        <f>발송처리!AC176</f>
        <v>0</v>
      </c>
    </row>
    <row r="177" spans="1:17">
      <c r="A177">
        <f>발송처리!A177</f>
        <v>0</v>
      </c>
      <c r="B177">
        <f>발송처리!M177</f>
        <v>0</v>
      </c>
      <c r="E177" t="e">
        <f>VLOOKUP(발송처리!V177,'상품DB(수정x)'!B:E,2,0)</f>
        <v>#N/A</v>
      </c>
      <c r="F177" s="13" t="e">
        <f>VLOOKUP(발송처리!V177,'상품DB(수정x)'!B:E,4,0)</f>
        <v>#N/A</v>
      </c>
      <c r="G177" s="8">
        <f>발송처리!X177</f>
        <v>0</v>
      </c>
      <c r="I177">
        <f>발송처리!AW177</f>
        <v>0</v>
      </c>
      <c r="K177" t="e">
        <f t="shared" si="4"/>
        <v>#N/A</v>
      </c>
      <c r="L177">
        <f>발송처리!AU177</f>
        <v>0</v>
      </c>
      <c r="M177">
        <f>발송처리!AP177</f>
        <v>0</v>
      </c>
      <c r="N177">
        <f>발송처리!AV177</f>
        <v>0</v>
      </c>
      <c r="O177">
        <f>발송처리!AR177</f>
        <v>0</v>
      </c>
      <c r="P177">
        <f>발송처리!K177</f>
        <v>0</v>
      </c>
      <c r="Q177" s="80">
        <f>발송처리!AC177</f>
        <v>0</v>
      </c>
    </row>
    <row r="178" spans="1:17">
      <c r="A178">
        <f>발송처리!A178</f>
        <v>0</v>
      </c>
      <c r="B178">
        <f>발송처리!M178</f>
        <v>0</v>
      </c>
      <c r="E178" t="e">
        <f>VLOOKUP(발송처리!V178,'상품DB(수정x)'!B:E,2,0)</f>
        <v>#N/A</v>
      </c>
      <c r="F178" s="13" t="e">
        <f>VLOOKUP(발송처리!V178,'상품DB(수정x)'!B:E,4,0)</f>
        <v>#N/A</v>
      </c>
      <c r="G178" s="8">
        <f>발송처리!X178</f>
        <v>0</v>
      </c>
      <c r="I178">
        <f>발송처리!AW178</f>
        <v>0</v>
      </c>
      <c r="K178" t="e">
        <f t="shared" si="4"/>
        <v>#N/A</v>
      </c>
      <c r="L178">
        <f>발송처리!AU178</f>
        <v>0</v>
      </c>
      <c r="M178">
        <f>발송처리!AP178</f>
        <v>0</v>
      </c>
      <c r="N178">
        <f>발송처리!AV178</f>
        <v>0</v>
      </c>
      <c r="O178">
        <f>발송처리!AR178</f>
        <v>0</v>
      </c>
      <c r="P178">
        <f>발송처리!K178</f>
        <v>0</v>
      </c>
      <c r="Q178" s="80">
        <f>발송처리!AC178</f>
        <v>0</v>
      </c>
    </row>
    <row r="179" spans="1:17">
      <c r="A179">
        <f>발송처리!A179</f>
        <v>0</v>
      </c>
      <c r="B179">
        <f>발송처리!M179</f>
        <v>0</v>
      </c>
      <c r="E179" t="e">
        <f>VLOOKUP(발송처리!V179,'상품DB(수정x)'!B:E,2,0)</f>
        <v>#N/A</v>
      </c>
      <c r="F179" s="13" t="e">
        <f>VLOOKUP(발송처리!V179,'상품DB(수정x)'!B:E,4,0)</f>
        <v>#N/A</v>
      </c>
      <c r="G179" s="8">
        <f>발송처리!X179</f>
        <v>0</v>
      </c>
      <c r="I179">
        <f>발송처리!AW179</f>
        <v>0</v>
      </c>
      <c r="K179" t="e">
        <f t="shared" si="4"/>
        <v>#N/A</v>
      </c>
      <c r="L179">
        <f>발송처리!AU179</f>
        <v>0</v>
      </c>
      <c r="M179">
        <f>발송처리!AP179</f>
        <v>0</v>
      </c>
      <c r="N179">
        <f>발송처리!AV179</f>
        <v>0</v>
      </c>
      <c r="O179">
        <f>발송처리!AR179</f>
        <v>0</v>
      </c>
      <c r="P179">
        <f>발송처리!K179</f>
        <v>0</v>
      </c>
      <c r="Q179" s="80">
        <f>발송처리!AC179</f>
        <v>0</v>
      </c>
    </row>
    <row r="180" spans="1:17">
      <c r="A180">
        <f>발송처리!A180</f>
        <v>0</v>
      </c>
      <c r="B180">
        <f>발송처리!M180</f>
        <v>0</v>
      </c>
      <c r="E180" t="e">
        <f>VLOOKUP(발송처리!V180,'상품DB(수정x)'!B:E,2,0)</f>
        <v>#N/A</v>
      </c>
      <c r="F180" s="13" t="e">
        <f>VLOOKUP(발송처리!V180,'상품DB(수정x)'!B:E,4,0)</f>
        <v>#N/A</v>
      </c>
      <c r="G180" s="8">
        <f>발송처리!X180</f>
        <v>0</v>
      </c>
      <c r="I180">
        <f>발송처리!AW180</f>
        <v>0</v>
      </c>
      <c r="K180" t="e">
        <f t="shared" si="4"/>
        <v>#N/A</v>
      </c>
      <c r="L180">
        <f>발송처리!AU180</f>
        <v>0</v>
      </c>
      <c r="M180">
        <f>발송처리!AP180</f>
        <v>0</v>
      </c>
      <c r="N180">
        <f>발송처리!AV180</f>
        <v>0</v>
      </c>
      <c r="O180">
        <f>발송처리!AR180</f>
        <v>0</v>
      </c>
      <c r="P180">
        <f>발송처리!K180</f>
        <v>0</v>
      </c>
      <c r="Q180" s="80">
        <f>발송처리!AC180</f>
        <v>0</v>
      </c>
    </row>
    <row r="181" spans="1:17">
      <c r="A181">
        <f>발송처리!A181</f>
        <v>0</v>
      </c>
      <c r="B181">
        <f>발송처리!M181</f>
        <v>0</v>
      </c>
      <c r="E181" t="e">
        <f>VLOOKUP(발송처리!V181,'상품DB(수정x)'!B:E,2,0)</f>
        <v>#N/A</v>
      </c>
      <c r="F181" s="13" t="e">
        <f>VLOOKUP(발송처리!V181,'상품DB(수정x)'!B:E,4,0)</f>
        <v>#N/A</v>
      </c>
      <c r="G181" s="8">
        <f>발송처리!X181</f>
        <v>0</v>
      </c>
      <c r="I181">
        <f>발송처리!AW181</f>
        <v>0</v>
      </c>
      <c r="K181" t="e">
        <f t="shared" si="4"/>
        <v>#N/A</v>
      </c>
      <c r="L181">
        <f>발송처리!AU181</f>
        <v>0</v>
      </c>
      <c r="M181">
        <f>발송처리!AP181</f>
        <v>0</v>
      </c>
      <c r="N181">
        <f>발송처리!AV181</f>
        <v>0</v>
      </c>
      <c r="O181">
        <f>발송처리!AR181</f>
        <v>0</v>
      </c>
      <c r="P181">
        <f>발송처리!K181</f>
        <v>0</v>
      </c>
      <c r="Q181" s="80">
        <f>발송처리!AC181</f>
        <v>0</v>
      </c>
    </row>
    <row r="182" spans="1:17">
      <c r="A182">
        <f>발송처리!A182</f>
        <v>0</v>
      </c>
      <c r="B182">
        <f>발송처리!M182</f>
        <v>0</v>
      </c>
      <c r="E182" t="e">
        <f>VLOOKUP(발송처리!V182,'상품DB(수정x)'!B:E,2,0)</f>
        <v>#N/A</v>
      </c>
      <c r="F182" s="13" t="e">
        <f>VLOOKUP(발송처리!V182,'상품DB(수정x)'!B:E,4,0)</f>
        <v>#N/A</v>
      </c>
      <c r="G182" s="8">
        <f>발송처리!X182</f>
        <v>0</v>
      </c>
      <c r="I182">
        <f>발송처리!AW182</f>
        <v>0</v>
      </c>
      <c r="K182" t="e">
        <f t="shared" si="4"/>
        <v>#N/A</v>
      </c>
      <c r="L182">
        <f>발송처리!AU182</f>
        <v>0</v>
      </c>
      <c r="M182">
        <f>발송처리!AP182</f>
        <v>0</v>
      </c>
      <c r="N182">
        <f>발송처리!AV182</f>
        <v>0</v>
      </c>
      <c r="O182">
        <f>발송처리!AR182</f>
        <v>0</v>
      </c>
      <c r="P182">
        <f>발송처리!K182</f>
        <v>0</v>
      </c>
      <c r="Q182" s="80">
        <f>발송처리!AC182</f>
        <v>0</v>
      </c>
    </row>
    <row r="183" spans="1:17">
      <c r="A183">
        <f>발송처리!A183</f>
        <v>0</v>
      </c>
      <c r="B183">
        <f>발송처리!M183</f>
        <v>0</v>
      </c>
      <c r="E183" t="e">
        <f>VLOOKUP(발송처리!V183,'상품DB(수정x)'!B:E,2,0)</f>
        <v>#N/A</v>
      </c>
      <c r="F183" s="13" t="e">
        <f>VLOOKUP(발송처리!V183,'상품DB(수정x)'!B:E,4,0)</f>
        <v>#N/A</v>
      </c>
      <c r="G183" s="8">
        <f>발송처리!X183</f>
        <v>0</v>
      </c>
      <c r="I183">
        <f>발송처리!AW183</f>
        <v>0</v>
      </c>
      <c r="K183" t="e">
        <f t="shared" si="4"/>
        <v>#N/A</v>
      </c>
      <c r="L183">
        <f>발송처리!AU183</f>
        <v>0</v>
      </c>
      <c r="M183">
        <f>발송처리!AP183</f>
        <v>0</v>
      </c>
      <c r="N183">
        <f>발송처리!AV183</f>
        <v>0</v>
      </c>
      <c r="O183">
        <f>발송처리!AR183</f>
        <v>0</v>
      </c>
      <c r="P183">
        <f>발송처리!K183</f>
        <v>0</v>
      </c>
      <c r="Q183" s="80">
        <f>발송처리!AC183</f>
        <v>0</v>
      </c>
    </row>
    <row r="184" spans="1:17">
      <c r="A184">
        <f>발송처리!A184</f>
        <v>0</v>
      </c>
      <c r="B184">
        <f>발송처리!M184</f>
        <v>0</v>
      </c>
      <c r="E184" t="e">
        <f>VLOOKUP(발송처리!V184,'상품DB(수정x)'!B:E,2,0)</f>
        <v>#N/A</v>
      </c>
      <c r="F184" s="13" t="e">
        <f>VLOOKUP(발송처리!V184,'상품DB(수정x)'!B:E,4,0)</f>
        <v>#N/A</v>
      </c>
      <c r="G184" s="8">
        <f>발송처리!X184</f>
        <v>0</v>
      </c>
      <c r="I184">
        <f>발송처리!AW184</f>
        <v>0</v>
      </c>
      <c r="K184" t="e">
        <f t="shared" si="4"/>
        <v>#N/A</v>
      </c>
      <c r="L184">
        <f>발송처리!AU184</f>
        <v>0</v>
      </c>
      <c r="M184">
        <f>발송처리!AP184</f>
        <v>0</v>
      </c>
      <c r="N184">
        <f>발송처리!AV184</f>
        <v>0</v>
      </c>
      <c r="O184">
        <f>발송처리!AR184</f>
        <v>0</v>
      </c>
      <c r="P184">
        <f>발송처리!K184</f>
        <v>0</v>
      </c>
      <c r="Q184" s="80">
        <f>발송처리!AC184</f>
        <v>0</v>
      </c>
    </row>
    <row r="185" spans="1:17">
      <c r="A185">
        <f>발송처리!A185</f>
        <v>0</v>
      </c>
      <c r="B185">
        <f>발송처리!M185</f>
        <v>0</v>
      </c>
      <c r="E185" t="e">
        <f>VLOOKUP(발송처리!V185,'상품DB(수정x)'!B:E,2,0)</f>
        <v>#N/A</v>
      </c>
      <c r="F185" s="13" t="e">
        <f>VLOOKUP(발송처리!V185,'상품DB(수정x)'!B:E,4,0)</f>
        <v>#N/A</v>
      </c>
      <c r="G185" s="8">
        <f>발송처리!X185</f>
        <v>0</v>
      </c>
      <c r="I185">
        <f>발송처리!AW185</f>
        <v>0</v>
      </c>
      <c r="K185" t="e">
        <f t="shared" si="4"/>
        <v>#N/A</v>
      </c>
      <c r="L185">
        <f>발송처리!AU185</f>
        <v>0</v>
      </c>
      <c r="M185">
        <f>발송처리!AP185</f>
        <v>0</v>
      </c>
      <c r="N185">
        <f>발송처리!AV185</f>
        <v>0</v>
      </c>
      <c r="O185">
        <f>발송처리!AR185</f>
        <v>0</v>
      </c>
      <c r="P185">
        <f>발송처리!K185</f>
        <v>0</v>
      </c>
      <c r="Q185" s="80">
        <f>발송처리!AC185</f>
        <v>0</v>
      </c>
    </row>
    <row r="186" spans="1:17">
      <c r="A186">
        <f>발송처리!A186</f>
        <v>0</v>
      </c>
      <c r="B186">
        <f>발송처리!M186</f>
        <v>0</v>
      </c>
      <c r="E186" t="e">
        <f>VLOOKUP(발송처리!V186,'상품DB(수정x)'!B:E,2,0)</f>
        <v>#N/A</v>
      </c>
      <c r="F186" s="13" t="e">
        <f>VLOOKUP(발송처리!V186,'상품DB(수정x)'!B:E,4,0)</f>
        <v>#N/A</v>
      </c>
      <c r="G186" s="8">
        <f>발송처리!X186</f>
        <v>0</v>
      </c>
      <c r="I186">
        <f>발송처리!AW186</f>
        <v>0</v>
      </c>
      <c r="K186" t="e">
        <f t="shared" si="4"/>
        <v>#N/A</v>
      </c>
      <c r="L186">
        <f>발송처리!AU186</f>
        <v>0</v>
      </c>
      <c r="M186">
        <f>발송처리!AP186</f>
        <v>0</v>
      </c>
      <c r="N186">
        <f>발송처리!AV186</f>
        <v>0</v>
      </c>
      <c r="O186">
        <f>발송처리!AR186</f>
        <v>0</v>
      </c>
      <c r="P186">
        <f>발송처리!K186</f>
        <v>0</v>
      </c>
      <c r="Q186" s="80">
        <f>발송처리!AC186</f>
        <v>0</v>
      </c>
    </row>
    <row r="187" spans="1:17">
      <c r="A187">
        <f>발송처리!A187</f>
        <v>0</v>
      </c>
      <c r="B187">
        <f>발송처리!M187</f>
        <v>0</v>
      </c>
      <c r="E187" t="e">
        <f>VLOOKUP(발송처리!V187,'상품DB(수정x)'!B:E,2,0)</f>
        <v>#N/A</v>
      </c>
      <c r="F187" s="13" t="e">
        <f>VLOOKUP(발송처리!V187,'상품DB(수정x)'!B:E,4,0)</f>
        <v>#N/A</v>
      </c>
      <c r="G187" s="8">
        <f>발송처리!X187</f>
        <v>0</v>
      </c>
      <c r="I187">
        <f>발송처리!AW187</f>
        <v>0</v>
      </c>
      <c r="K187" t="e">
        <f t="shared" si="4"/>
        <v>#N/A</v>
      </c>
      <c r="L187">
        <f>발송처리!AU187</f>
        <v>0</v>
      </c>
      <c r="M187">
        <f>발송처리!AP187</f>
        <v>0</v>
      </c>
      <c r="N187">
        <f>발송처리!AV187</f>
        <v>0</v>
      </c>
      <c r="O187">
        <f>발송처리!AR187</f>
        <v>0</v>
      </c>
      <c r="P187">
        <f>발송처리!K187</f>
        <v>0</v>
      </c>
      <c r="Q187" s="80">
        <f>발송처리!AC187</f>
        <v>0</v>
      </c>
    </row>
    <row r="188" spans="1:17">
      <c r="A188">
        <f>발송처리!A188</f>
        <v>0</v>
      </c>
      <c r="B188">
        <f>발송처리!M188</f>
        <v>0</v>
      </c>
      <c r="E188" t="e">
        <f>VLOOKUP(발송처리!V188,'상품DB(수정x)'!B:E,2,0)</f>
        <v>#N/A</v>
      </c>
      <c r="F188" s="13" t="e">
        <f>VLOOKUP(발송처리!V188,'상품DB(수정x)'!B:E,4,0)</f>
        <v>#N/A</v>
      </c>
      <c r="G188" s="8">
        <f>발송처리!X188</f>
        <v>0</v>
      </c>
      <c r="I188">
        <f>발송처리!AW188</f>
        <v>0</v>
      </c>
      <c r="K188" t="e">
        <f t="shared" si="4"/>
        <v>#N/A</v>
      </c>
      <c r="L188">
        <f>발송처리!AU188</f>
        <v>0</v>
      </c>
      <c r="M188">
        <f>발송처리!AP188</f>
        <v>0</v>
      </c>
      <c r="N188">
        <f>발송처리!AV188</f>
        <v>0</v>
      </c>
      <c r="O188">
        <f>발송처리!AR188</f>
        <v>0</v>
      </c>
      <c r="P188">
        <f>발송처리!K188</f>
        <v>0</v>
      </c>
      <c r="Q188" s="80">
        <f>발송처리!AC188</f>
        <v>0</v>
      </c>
    </row>
    <row r="189" spans="1:17">
      <c r="A189">
        <f>발송처리!A189</f>
        <v>0</v>
      </c>
      <c r="B189">
        <f>발송처리!M189</f>
        <v>0</v>
      </c>
      <c r="E189" t="e">
        <f>VLOOKUP(발송처리!V189,'상품DB(수정x)'!B:E,2,0)</f>
        <v>#N/A</v>
      </c>
      <c r="F189" s="13" t="e">
        <f>VLOOKUP(발송처리!V189,'상품DB(수정x)'!B:E,4,0)</f>
        <v>#N/A</v>
      </c>
      <c r="G189" s="8">
        <f>발송처리!X189</f>
        <v>0</v>
      </c>
      <c r="I189">
        <f>발송처리!AW189</f>
        <v>0</v>
      </c>
      <c r="K189" t="e">
        <f t="shared" si="4"/>
        <v>#N/A</v>
      </c>
      <c r="L189">
        <f>발송처리!AU189</f>
        <v>0</v>
      </c>
      <c r="M189">
        <f>발송처리!AP189</f>
        <v>0</v>
      </c>
      <c r="N189">
        <f>발송처리!AV189</f>
        <v>0</v>
      </c>
      <c r="O189">
        <f>발송처리!AR189</f>
        <v>0</v>
      </c>
      <c r="P189">
        <f>발송처리!K189</f>
        <v>0</v>
      </c>
      <c r="Q189" s="80">
        <f>발송처리!AC189</f>
        <v>0</v>
      </c>
    </row>
    <row r="190" spans="1:17">
      <c r="A190">
        <f>발송처리!A190</f>
        <v>0</v>
      </c>
      <c r="B190">
        <f>발송처리!M190</f>
        <v>0</v>
      </c>
      <c r="E190" t="e">
        <f>VLOOKUP(발송처리!V190,'상품DB(수정x)'!B:E,2,0)</f>
        <v>#N/A</v>
      </c>
      <c r="F190" s="13" t="e">
        <f>VLOOKUP(발송처리!V190,'상품DB(수정x)'!B:E,4,0)</f>
        <v>#N/A</v>
      </c>
      <c r="G190" s="8">
        <f>발송처리!X190</f>
        <v>0</v>
      </c>
      <c r="I190">
        <f>발송처리!AW190</f>
        <v>0</v>
      </c>
      <c r="K190" t="e">
        <f t="shared" si="4"/>
        <v>#N/A</v>
      </c>
      <c r="L190">
        <f>발송처리!AU190</f>
        <v>0</v>
      </c>
      <c r="M190">
        <f>발송처리!AP190</f>
        <v>0</v>
      </c>
      <c r="N190">
        <f>발송처리!AV190</f>
        <v>0</v>
      </c>
      <c r="O190">
        <f>발송처리!AR190</f>
        <v>0</v>
      </c>
      <c r="P190">
        <f>발송처리!K190</f>
        <v>0</v>
      </c>
      <c r="Q190" s="80">
        <f>발송처리!AC190</f>
        <v>0</v>
      </c>
    </row>
    <row r="191" spans="1:17">
      <c r="A191">
        <f>발송처리!A191</f>
        <v>0</v>
      </c>
      <c r="B191">
        <f>발송처리!M191</f>
        <v>0</v>
      </c>
      <c r="E191" t="e">
        <f>VLOOKUP(발송처리!V191,'상품DB(수정x)'!B:E,2,0)</f>
        <v>#N/A</v>
      </c>
      <c r="F191" s="13" t="e">
        <f>VLOOKUP(발송처리!V191,'상품DB(수정x)'!B:E,4,0)</f>
        <v>#N/A</v>
      </c>
      <c r="G191" s="8">
        <f>발송처리!X191</f>
        <v>0</v>
      </c>
      <c r="I191">
        <f>발송처리!AW191</f>
        <v>0</v>
      </c>
      <c r="K191" t="e">
        <f t="shared" si="4"/>
        <v>#N/A</v>
      </c>
      <c r="L191">
        <f>발송처리!AU191</f>
        <v>0</v>
      </c>
      <c r="M191">
        <f>발송처리!AP191</f>
        <v>0</v>
      </c>
      <c r="N191">
        <f>발송처리!AV191</f>
        <v>0</v>
      </c>
      <c r="O191">
        <f>발송처리!AR191</f>
        <v>0</v>
      </c>
      <c r="P191">
        <f>발송처리!K191</f>
        <v>0</v>
      </c>
      <c r="Q191" s="80">
        <f>발송처리!AC191</f>
        <v>0</v>
      </c>
    </row>
    <row r="192" spans="1:17">
      <c r="A192">
        <f>발송처리!A192</f>
        <v>0</v>
      </c>
      <c r="B192">
        <f>발송처리!M192</f>
        <v>0</v>
      </c>
      <c r="E192" t="e">
        <f>VLOOKUP(발송처리!V192,'상품DB(수정x)'!B:E,2,0)</f>
        <v>#N/A</v>
      </c>
      <c r="F192" s="13" t="e">
        <f>VLOOKUP(발송처리!V192,'상품DB(수정x)'!B:E,4,0)</f>
        <v>#N/A</v>
      </c>
      <c r="G192" s="8">
        <f>발송처리!X192</f>
        <v>0</v>
      </c>
      <c r="I192">
        <f>발송처리!AW192</f>
        <v>0</v>
      </c>
      <c r="K192" t="e">
        <f t="shared" si="4"/>
        <v>#N/A</v>
      </c>
      <c r="L192">
        <f>발송처리!AU192</f>
        <v>0</v>
      </c>
      <c r="M192">
        <f>발송처리!AP192</f>
        <v>0</v>
      </c>
      <c r="N192">
        <f>발송처리!AV192</f>
        <v>0</v>
      </c>
      <c r="O192">
        <f>발송처리!AR192</f>
        <v>0</v>
      </c>
      <c r="P192">
        <f>발송처리!K192</f>
        <v>0</v>
      </c>
      <c r="Q192" s="80">
        <f>발송처리!AC192</f>
        <v>0</v>
      </c>
    </row>
    <row r="193" spans="1:17">
      <c r="A193">
        <f>발송처리!A193</f>
        <v>0</v>
      </c>
      <c r="B193">
        <f>발송처리!M193</f>
        <v>0</v>
      </c>
      <c r="E193" t="e">
        <f>VLOOKUP(발송처리!V193,'상품DB(수정x)'!B:E,2,0)</f>
        <v>#N/A</v>
      </c>
      <c r="F193" s="13" t="e">
        <f>VLOOKUP(발송처리!V193,'상품DB(수정x)'!B:E,4,0)</f>
        <v>#N/A</v>
      </c>
      <c r="G193" s="8">
        <f>발송처리!X193</f>
        <v>0</v>
      </c>
      <c r="I193">
        <f>발송처리!AW193</f>
        <v>0</v>
      </c>
      <c r="K193" t="e">
        <f t="shared" si="4"/>
        <v>#N/A</v>
      </c>
      <c r="L193">
        <f>발송처리!AU193</f>
        <v>0</v>
      </c>
      <c r="M193">
        <f>발송처리!AP193</f>
        <v>0</v>
      </c>
      <c r="N193">
        <f>발송처리!AV193</f>
        <v>0</v>
      </c>
      <c r="O193">
        <f>발송처리!AR193</f>
        <v>0</v>
      </c>
      <c r="P193">
        <f>발송처리!K193</f>
        <v>0</v>
      </c>
      <c r="Q193" s="80">
        <f>발송처리!AC193</f>
        <v>0</v>
      </c>
    </row>
    <row r="194" spans="1:17">
      <c r="A194">
        <f>발송처리!A194</f>
        <v>0</v>
      </c>
      <c r="B194">
        <f>발송처리!M194</f>
        <v>0</v>
      </c>
      <c r="E194" t="e">
        <f>VLOOKUP(발송처리!V194,'상품DB(수정x)'!B:E,2,0)</f>
        <v>#N/A</v>
      </c>
      <c r="F194" s="13" t="e">
        <f>VLOOKUP(발송처리!V194,'상품DB(수정x)'!B:E,4,0)</f>
        <v>#N/A</v>
      </c>
      <c r="G194" s="8">
        <f>발송처리!X194</f>
        <v>0</v>
      </c>
      <c r="I194">
        <f>발송처리!AW194</f>
        <v>0</v>
      </c>
      <c r="K194" t="e">
        <f t="shared" si="4"/>
        <v>#N/A</v>
      </c>
      <c r="L194">
        <f>발송처리!AU194</f>
        <v>0</v>
      </c>
      <c r="M194">
        <f>발송처리!AP194</f>
        <v>0</v>
      </c>
      <c r="N194">
        <f>발송처리!AV194</f>
        <v>0</v>
      </c>
      <c r="O194">
        <f>발송처리!AR194</f>
        <v>0</v>
      </c>
      <c r="P194">
        <f>발송처리!K194</f>
        <v>0</v>
      </c>
      <c r="Q194" s="80">
        <f>발송처리!AC194</f>
        <v>0</v>
      </c>
    </row>
    <row r="195" spans="1:17">
      <c r="A195">
        <f>발송처리!A195</f>
        <v>0</v>
      </c>
      <c r="B195">
        <f>발송처리!M195</f>
        <v>0</v>
      </c>
      <c r="E195" t="e">
        <f>VLOOKUP(발송처리!V195,'상품DB(수정x)'!B:E,2,0)</f>
        <v>#N/A</v>
      </c>
      <c r="F195" s="13" t="e">
        <f>VLOOKUP(발송처리!V195,'상품DB(수정x)'!B:E,4,0)</f>
        <v>#N/A</v>
      </c>
      <c r="G195" s="8">
        <f>발송처리!X195</f>
        <v>0</v>
      </c>
      <c r="I195">
        <f>발송처리!AW195</f>
        <v>0</v>
      </c>
      <c r="K195" t="e">
        <f t="shared" ref="K195:K258" si="5">IF(LEFT(E195,1)="2","",IF(LEFT(E195,1)="4","",IF(Q195&gt;=500000,"★증정★테이프20mx2",IF(Q195&gt;=95000,"★증정★테이프20mx1",""))))</f>
        <v>#N/A</v>
      </c>
      <c r="L195">
        <f>발송처리!AU195</f>
        <v>0</v>
      </c>
      <c r="M195">
        <f>발송처리!AP195</f>
        <v>0</v>
      </c>
      <c r="N195">
        <f>발송처리!AV195</f>
        <v>0</v>
      </c>
      <c r="O195">
        <f>발송처리!AR195</f>
        <v>0</v>
      </c>
      <c r="P195">
        <f>발송처리!K195</f>
        <v>0</v>
      </c>
      <c r="Q195" s="80">
        <f>발송처리!AC195</f>
        <v>0</v>
      </c>
    </row>
    <row r="196" spans="1:17">
      <c r="A196">
        <f>발송처리!A196</f>
        <v>0</v>
      </c>
      <c r="B196">
        <f>발송처리!M196</f>
        <v>0</v>
      </c>
      <c r="E196" t="e">
        <f>VLOOKUP(발송처리!V196,'상품DB(수정x)'!B:E,2,0)</f>
        <v>#N/A</v>
      </c>
      <c r="F196" s="13" t="e">
        <f>VLOOKUP(발송처리!V196,'상품DB(수정x)'!B:E,4,0)</f>
        <v>#N/A</v>
      </c>
      <c r="G196" s="8">
        <f>발송처리!X196</f>
        <v>0</v>
      </c>
      <c r="I196">
        <f>발송처리!AW196</f>
        <v>0</v>
      </c>
      <c r="K196" t="e">
        <f t="shared" si="5"/>
        <v>#N/A</v>
      </c>
      <c r="L196">
        <f>발송처리!AU196</f>
        <v>0</v>
      </c>
      <c r="M196">
        <f>발송처리!AP196</f>
        <v>0</v>
      </c>
      <c r="N196">
        <f>발송처리!AV196</f>
        <v>0</v>
      </c>
      <c r="O196">
        <f>발송처리!AR196</f>
        <v>0</v>
      </c>
      <c r="P196">
        <f>발송처리!K196</f>
        <v>0</v>
      </c>
      <c r="Q196" s="80">
        <f>발송처리!AC196</f>
        <v>0</v>
      </c>
    </row>
    <row r="197" spans="1:17">
      <c r="A197">
        <f>발송처리!A197</f>
        <v>0</v>
      </c>
      <c r="B197">
        <f>발송처리!M197</f>
        <v>0</v>
      </c>
      <c r="E197" t="e">
        <f>VLOOKUP(발송처리!V197,'상품DB(수정x)'!B:E,2,0)</f>
        <v>#N/A</v>
      </c>
      <c r="F197" s="13" t="e">
        <f>VLOOKUP(발송처리!V197,'상품DB(수정x)'!B:E,4,0)</f>
        <v>#N/A</v>
      </c>
      <c r="G197" s="8">
        <f>발송처리!X197</f>
        <v>0</v>
      </c>
      <c r="I197">
        <f>발송처리!AW197</f>
        <v>0</v>
      </c>
      <c r="K197" t="e">
        <f t="shared" si="5"/>
        <v>#N/A</v>
      </c>
      <c r="L197">
        <f>발송처리!AU197</f>
        <v>0</v>
      </c>
      <c r="M197">
        <f>발송처리!AP197</f>
        <v>0</v>
      </c>
      <c r="N197">
        <f>발송처리!AV197</f>
        <v>0</v>
      </c>
      <c r="O197">
        <f>발송처리!AR197</f>
        <v>0</v>
      </c>
      <c r="P197">
        <f>발송처리!K197</f>
        <v>0</v>
      </c>
      <c r="Q197" s="80">
        <f>발송처리!AC197</f>
        <v>0</v>
      </c>
    </row>
    <row r="198" spans="1:17">
      <c r="A198">
        <f>발송처리!A198</f>
        <v>0</v>
      </c>
      <c r="B198">
        <f>발송처리!M198</f>
        <v>0</v>
      </c>
      <c r="E198" t="e">
        <f>VLOOKUP(발송처리!V198,'상품DB(수정x)'!B:E,2,0)</f>
        <v>#N/A</v>
      </c>
      <c r="F198" s="13" t="e">
        <f>VLOOKUP(발송처리!V198,'상품DB(수정x)'!B:E,4,0)</f>
        <v>#N/A</v>
      </c>
      <c r="G198" s="8">
        <f>발송처리!X198</f>
        <v>0</v>
      </c>
      <c r="I198">
        <f>발송처리!AW198</f>
        <v>0</v>
      </c>
      <c r="K198" t="e">
        <f t="shared" si="5"/>
        <v>#N/A</v>
      </c>
      <c r="L198">
        <f>발송처리!AU198</f>
        <v>0</v>
      </c>
      <c r="M198">
        <f>발송처리!AP198</f>
        <v>0</v>
      </c>
      <c r="N198">
        <f>발송처리!AV198</f>
        <v>0</v>
      </c>
      <c r="O198">
        <f>발송처리!AR198</f>
        <v>0</v>
      </c>
      <c r="P198">
        <f>발송처리!K198</f>
        <v>0</v>
      </c>
      <c r="Q198" s="80">
        <f>발송처리!AC198</f>
        <v>0</v>
      </c>
    </row>
    <row r="199" spans="1:17">
      <c r="A199">
        <f>발송처리!A199</f>
        <v>0</v>
      </c>
      <c r="B199">
        <f>발송처리!M199</f>
        <v>0</v>
      </c>
      <c r="E199" t="e">
        <f>VLOOKUP(발송처리!V199,'상품DB(수정x)'!B:E,2,0)</f>
        <v>#N/A</v>
      </c>
      <c r="F199" s="13" t="e">
        <f>VLOOKUP(발송처리!V199,'상품DB(수정x)'!B:E,4,0)</f>
        <v>#N/A</v>
      </c>
      <c r="G199" s="8">
        <f>발송처리!X199</f>
        <v>0</v>
      </c>
      <c r="I199">
        <f>발송처리!AW199</f>
        <v>0</v>
      </c>
      <c r="K199" t="e">
        <f t="shared" si="5"/>
        <v>#N/A</v>
      </c>
      <c r="L199">
        <f>발송처리!AU199</f>
        <v>0</v>
      </c>
      <c r="M199">
        <f>발송처리!AP199</f>
        <v>0</v>
      </c>
      <c r="N199">
        <f>발송처리!AV199</f>
        <v>0</v>
      </c>
      <c r="O199">
        <f>발송처리!AR199</f>
        <v>0</v>
      </c>
      <c r="P199">
        <f>발송처리!K199</f>
        <v>0</v>
      </c>
      <c r="Q199" s="80">
        <f>발송처리!AC199</f>
        <v>0</v>
      </c>
    </row>
    <row r="200" spans="1:17">
      <c r="A200">
        <f>발송처리!A200</f>
        <v>0</v>
      </c>
      <c r="B200">
        <f>발송처리!M200</f>
        <v>0</v>
      </c>
      <c r="E200" t="e">
        <f>VLOOKUP(발송처리!V200,'상품DB(수정x)'!B:E,2,0)</f>
        <v>#N/A</v>
      </c>
      <c r="F200" s="13" t="e">
        <f>VLOOKUP(발송처리!V200,'상품DB(수정x)'!B:E,4,0)</f>
        <v>#N/A</v>
      </c>
      <c r="G200" s="8">
        <f>발송처리!X200</f>
        <v>0</v>
      </c>
      <c r="I200">
        <f>발송처리!AW200</f>
        <v>0</v>
      </c>
      <c r="K200" t="e">
        <f t="shared" si="5"/>
        <v>#N/A</v>
      </c>
      <c r="L200">
        <f>발송처리!AU200</f>
        <v>0</v>
      </c>
      <c r="M200">
        <f>발송처리!AP200</f>
        <v>0</v>
      </c>
      <c r="N200">
        <f>발송처리!AV200</f>
        <v>0</v>
      </c>
      <c r="O200">
        <f>발송처리!AR200</f>
        <v>0</v>
      </c>
      <c r="P200">
        <f>발송처리!K200</f>
        <v>0</v>
      </c>
      <c r="Q200" s="80">
        <f>발송처리!AC200</f>
        <v>0</v>
      </c>
    </row>
    <row r="201" spans="1:17">
      <c r="A201">
        <f>발송처리!A201</f>
        <v>0</v>
      </c>
      <c r="B201">
        <f>발송처리!M201</f>
        <v>0</v>
      </c>
      <c r="E201" t="e">
        <f>VLOOKUP(발송처리!V201,'상품DB(수정x)'!B:E,2,0)</f>
        <v>#N/A</v>
      </c>
      <c r="F201" s="13" t="e">
        <f>VLOOKUP(발송처리!V201,'상품DB(수정x)'!B:E,4,0)</f>
        <v>#N/A</v>
      </c>
      <c r="G201" s="8">
        <f>발송처리!X201</f>
        <v>0</v>
      </c>
      <c r="I201">
        <f>발송처리!AW201</f>
        <v>0</v>
      </c>
      <c r="K201" t="e">
        <f t="shared" si="5"/>
        <v>#N/A</v>
      </c>
      <c r="L201">
        <f>발송처리!AU201</f>
        <v>0</v>
      </c>
      <c r="M201">
        <f>발송처리!AP201</f>
        <v>0</v>
      </c>
      <c r="N201">
        <f>발송처리!AV201</f>
        <v>0</v>
      </c>
      <c r="O201">
        <f>발송처리!AR201</f>
        <v>0</v>
      </c>
      <c r="P201">
        <f>발송처리!K201</f>
        <v>0</v>
      </c>
      <c r="Q201" s="80">
        <f>발송처리!AC201</f>
        <v>0</v>
      </c>
    </row>
    <row r="202" spans="1:17">
      <c r="A202">
        <f>발송처리!A202</f>
        <v>0</v>
      </c>
      <c r="B202">
        <f>발송처리!M202</f>
        <v>0</v>
      </c>
      <c r="E202" t="e">
        <f>VLOOKUP(발송처리!V202,'상품DB(수정x)'!B:E,2,0)</f>
        <v>#N/A</v>
      </c>
      <c r="F202" s="13" t="e">
        <f>VLOOKUP(발송처리!V202,'상품DB(수정x)'!B:E,4,0)</f>
        <v>#N/A</v>
      </c>
      <c r="G202" s="8">
        <f>발송처리!X202</f>
        <v>0</v>
      </c>
      <c r="I202">
        <f>발송처리!AW202</f>
        <v>0</v>
      </c>
      <c r="K202" t="e">
        <f t="shared" si="5"/>
        <v>#N/A</v>
      </c>
      <c r="L202">
        <f>발송처리!AU202</f>
        <v>0</v>
      </c>
      <c r="M202">
        <f>발송처리!AP202</f>
        <v>0</v>
      </c>
      <c r="N202">
        <f>발송처리!AV202</f>
        <v>0</v>
      </c>
      <c r="O202">
        <f>발송처리!AR202</f>
        <v>0</v>
      </c>
      <c r="P202">
        <f>발송처리!K202</f>
        <v>0</v>
      </c>
      <c r="Q202" s="80">
        <f>발송처리!AC202</f>
        <v>0</v>
      </c>
    </row>
    <row r="203" spans="1:17">
      <c r="A203">
        <f>발송처리!A203</f>
        <v>0</v>
      </c>
      <c r="B203">
        <f>발송처리!M203</f>
        <v>0</v>
      </c>
      <c r="E203" t="e">
        <f>VLOOKUP(발송처리!V203,'상품DB(수정x)'!B:E,2,0)</f>
        <v>#N/A</v>
      </c>
      <c r="F203" s="13" t="e">
        <f>VLOOKUP(발송처리!V203,'상품DB(수정x)'!B:E,4,0)</f>
        <v>#N/A</v>
      </c>
      <c r="G203" s="8">
        <f>발송처리!X203</f>
        <v>0</v>
      </c>
      <c r="I203">
        <f>발송처리!AW203</f>
        <v>0</v>
      </c>
      <c r="K203" t="e">
        <f t="shared" si="5"/>
        <v>#N/A</v>
      </c>
      <c r="L203">
        <f>발송처리!AU203</f>
        <v>0</v>
      </c>
      <c r="M203">
        <f>발송처리!AP203</f>
        <v>0</v>
      </c>
      <c r="N203">
        <f>발송처리!AV203</f>
        <v>0</v>
      </c>
      <c r="O203">
        <f>발송처리!AR203</f>
        <v>0</v>
      </c>
      <c r="P203">
        <f>발송처리!K203</f>
        <v>0</v>
      </c>
      <c r="Q203" s="80">
        <f>발송처리!AC203</f>
        <v>0</v>
      </c>
    </row>
    <row r="204" spans="1:17">
      <c r="A204">
        <f>발송처리!A204</f>
        <v>0</v>
      </c>
      <c r="B204">
        <f>발송처리!M204</f>
        <v>0</v>
      </c>
      <c r="E204" t="e">
        <f>VLOOKUP(발송처리!V204,'상품DB(수정x)'!B:E,2,0)</f>
        <v>#N/A</v>
      </c>
      <c r="F204" s="13" t="e">
        <f>VLOOKUP(발송처리!V204,'상품DB(수정x)'!B:E,4,0)</f>
        <v>#N/A</v>
      </c>
      <c r="G204" s="8">
        <f>발송처리!X204</f>
        <v>0</v>
      </c>
      <c r="I204">
        <f>발송처리!AW204</f>
        <v>0</v>
      </c>
      <c r="K204" t="e">
        <f t="shared" si="5"/>
        <v>#N/A</v>
      </c>
      <c r="L204">
        <f>발송처리!AU204</f>
        <v>0</v>
      </c>
      <c r="M204">
        <f>발송처리!AP204</f>
        <v>0</v>
      </c>
      <c r="N204">
        <f>발송처리!AV204</f>
        <v>0</v>
      </c>
      <c r="O204">
        <f>발송처리!AR204</f>
        <v>0</v>
      </c>
      <c r="P204">
        <f>발송처리!K204</f>
        <v>0</v>
      </c>
      <c r="Q204" s="80">
        <f>발송처리!AC204</f>
        <v>0</v>
      </c>
    </row>
    <row r="205" spans="1:17">
      <c r="A205">
        <f>발송처리!A205</f>
        <v>0</v>
      </c>
      <c r="B205">
        <f>발송처리!M205</f>
        <v>0</v>
      </c>
      <c r="E205" t="e">
        <f>VLOOKUP(발송처리!V205,'상품DB(수정x)'!B:E,2,0)</f>
        <v>#N/A</v>
      </c>
      <c r="F205" s="13" t="e">
        <f>VLOOKUP(발송처리!V205,'상품DB(수정x)'!B:E,4,0)</f>
        <v>#N/A</v>
      </c>
      <c r="G205" s="8">
        <f>발송처리!X205</f>
        <v>0</v>
      </c>
      <c r="I205">
        <f>발송처리!AW205</f>
        <v>0</v>
      </c>
      <c r="K205" t="e">
        <f t="shared" si="5"/>
        <v>#N/A</v>
      </c>
      <c r="L205">
        <f>발송처리!AU205</f>
        <v>0</v>
      </c>
      <c r="M205">
        <f>발송처리!AP205</f>
        <v>0</v>
      </c>
      <c r="N205">
        <f>발송처리!AV205</f>
        <v>0</v>
      </c>
      <c r="O205">
        <f>발송처리!AR205</f>
        <v>0</v>
      </c>
      <c r="P205">
        <f>발송처리!K205</f>
        <v>0</v>
      </c>
      <c r="Q205" s="80">
        <f>발송처리!AC205</f>
        <v>0</v>
      </c>
    </row>
    <row r="206" spans="1:17">
      <c r="A206">
        <f>발송처리!A206</f>
        <v>0</v>
      </c>
      <c r="B206">
        <f>발송처리!M206</f>
        <v>0</v>
      </c>
      <c r="E206" t="e">
        <f>VLOOKUP(발송처리!V206,'상품DB(수정x)'!B:E,2,0)</f>
        <v>#N/A</v>
      </c>
      <c r="F206" s="13" t="e">
        <f>VLOOKUP(발송처리!V206,'상품DB(수정x)'!B:E,4,0)</f>
        <v>#N/A</v>
      </c>
      <c r="G206" s="8">
        <f>발송처리!X206</f>
        <v>0</v>
      </c>
      <c r="I206">
        <f>발송처리!AW206</f>
        <v>0</v>
      </c>
      <c r="K206" t="e">
        <f t="shared" si="5"/>
        <v>#N/A</v>
      </c>
      <c r="L206">
        <f>발송처리!AU206</f>
        <v>0</v>
      </c>
      <c r="M206">
        <f>발송처리!AP206</f>
        <v>0</v>
      </c>
      <c r="N206">
        <f>발송처리!AV206</f>
        <v>0</v>
      </c>
      <c r="O206">
        <f>발송처리!AR206</f>
        <v>0</v>
      </c>
      <c r="P206">
        <f>발송처리!K206</f>
        <v>0</v>
      </c>
      <c r="Q206" s="80">
        <f>발송처리!AC206</f>
        <v>0</v>
      </c>
    </row>
    <row r="207" spans="1:17">
      <c r="A207">
        <f>발송처리!A207</f>
        <v>0</v>
      </c>
      <c r="B207">
        <f>발송처리!M207</f>
        <v>0</v>
      </c>
      <c r="E207" t="e">
        <f>VLOOKUP(발송처리!V207,'상품DB(수정x)'!B:E,2,0)</f>
        <v>#N/A</v>
      </c>
      <c r="F207" s="13" t="e">
        <f>VLOOKUP(발송처리!V207,'상품DB(수정x)'!B:E,4,0)</f>
        <v>#N/A</v>
      </c>
      <c r="G207" s="8">
        <f>발송처리!X207</f>
        <v>0</v>
      </c>
      <c r="I207">
        <f>발송처리!AW207</f>
        <v>0</v>
      </c>
      <c r="K207" t="e">
        <f t="shared" si="5"/>
        <v>#N/A</v>
      </c>
      <c r="L207">
        <f>발송처리!AU207</f>
        <v>0</v>
      </c>
      <c r="M207">
        <f>발송처리!AP207</f>
        <v>0</v>
      </c>
      <c r="N207">
        <f>발송처리!AV207</f>
        <v>0</v>
      </c>
      <c r="O207">
        <f>발송처리!AR207</f>
        <v>0</v>
      </c>
      <c r="P207">
        <f>발송처리!K207</f>
        <v>0</v>
      </c>
      <c r="Q207" s="80">
        <f>발송처리!AC207</f>
        <v>0</v>
      </c>
    </row>
    <row r="208" spans="1:17">
      <c r="A208">
        <f>발송처리!A208</f>
        <v>0</v>
      </c>
      <c r="B208">
        <f>발송처리!M208</f>
        <v>0</v>
      </c>
      <c r="E208" t="e">
        <f>VLOOKUP(발송처리!V208,'상품DB(수정x)'!B:E,2,0)</f>
        <v>#N/A</v>
      </c>
      <c r="F208" s="13" t="e">
        <f>VLOOKUP(발송처리!V208,'상품DB(수정x)'!B:E,4,0)</f>
        <v>#N/A</v>
      </c>
      <c r="G208" s="8">
        <f>발송처리!X208</f>
        <v>0</v>
      </c>
      <c r="I208">
        <f>발송처리!AW208</f>
        <v>0</v>
      </c>
      <c r="K208" t="e">
        <f t="shared" si="5"/>
        <v>#N/A</v>
      </c>
      <c r="L208">
        <f>발송처리!AU208</f>
        <v>0</v>
      </c>
      <c r="M208">
        <f>발송처리!AP208</f>
        <v>0</v>
      </c>
      <c r="N208">
        <f>발송처리!AV208</f>
        <v>0</v>
      </c>
      <c r="O208">
        <f>발송처리!AR208</f>
        <v>0</v>
      </c>
      <c r="P208">
        <f>발송처리!K208</f>
        <v>0</v>
      </c>
      <c r="Q208" s="80">
        <f>발송처리!AC208</f>
        <v>0</v>
      </c>
    </row>
    <row r="209" spans="1:17">
      <c r="A209">
        <f>발송처리!A209</f>
        <v>0</v>
      </c>
      <c r="B209">
        <f>발송처리!M209</f>
        <v>0</v>
      </c>
      <c r="E209" t="e">
        <f>VLOOKUP(발송처리!V209,'상품DB(수정x)'!B:E,2,0)</f>
        <v>#N/A</v>
      </c>
      <c r="F209" s="13" t="e">
        <f>VLOOKUP(발송처리!V209,'상품DB(수정x)'!B:E,4,0)</f>
        <v>#N/A</v>
      </c>
      <c r="G209" s="8">
        <f>발송처리!X209</f>
        <v>0</v>
      </c>
      <c r="I209">
        <f>발송처리!AW209</f>
        <v>0</v>
      </c>
      <c r="K209" t="e">
        <f t="shared" si="5"/>
        <v>#N/A</v>
      </c>
      <c r="L209">
        <f>발송처리!AU209</f>
        <v>0</v>
      </c>
      <c r="M209">
        <f>발송처리!AP209</f>
        <v>0</v>
      </c>
      <c r="N209">
        <f>발송처리!AV209</f>
        <v>0</v>
      </c>
      <c r="O209">
        <f>발송처리!AR209</f>
        <v>0</v>
      </c>
      <c r="P209">
        <f>발송처리!K209</f>
        <v>0</v>
      </c>
      <c r="Q209" s="80">
        <f>발송처리!AC209</f>
        <v>0</v>
      </c>
    </row>
    <row r="210" spans="1:17">
      <c r="A210">
        <f>발송처리!A210</f>
        <v>0</v>
      </c>
      <c r="B210">
        <f>발송처리!M210</f>
        <v>0</v>
      </c>
      <c r="E210" t="e">
        <f>VLOOKUP(발송처리!V210,'상품DB(수정x)'!B:E,2,0)</f>
        <v>#N/A</v>
      </c>
      <c r="F210" s="13" t="e">
        <f>VLOOKUP(발송처리!V210,'상품DB(수정x)'!B:E,4,0)</f>
        <v>#N/A</v>
      </c>
      <c r="G210" s="8">
        <f>발송처리!X210</f>
        <v>0</v>
      </c>
      <c r="I210">
        <f>발송처리!AW210</f>
        <v>0</v>
      </c>
      <c r="K210" t="e">
        <f t="shared" si="5"/>
        <v>#N/A</v>
      </c>
      <c r="L210">
        <f>발송처리!AU210</f>
        <v>0</v>
      </c>
      <c r="M210">
        <f>발송처리!AP210</f>
        <v>0</v>
      </c>
      <c r="N210">
        <f>발송처리!AV210</f>
        <v>0</v>
      </c>
      <c r="O210">
        <f>발송처리!AR210</f>
        <v>0</v>
      </c>
      <c r="P210">
        <f>발송처리!K210</f>
        <v>0</v>
      </c>
      <c r="Q210" s="80">
        <f>발송처리!AC210</f>
        <v>0</v>
      </c>
    </row>
    <row r="211" spans="1:17">
      <c r="A211">
        <f>발송처리!A211</f>
        <v>0</v>
      </c>
      <c r="B211">
        <f>발송처리!M211</f>
        <v>0</v>
      </c>
      <c r="E211" t="e">
        <f>VLOOKUP(발송처리!V211,'상품DB(수정x)'!B:E,2,0)</f>
        <v>#N/A</v>
      </c>
      <c r="F211" s="13" t="e">
        <f>VLOOKUP(발송처리!V211,'상품DB(수정x)'!B:E,4,0)</f>
        <v>#N/A</v>
      </c>
      <c r="G211" s="8">
        <f>발송처리!X211</f>
        <v>0</v>
      </c>
      <c r="I211">
        <f>발송처리!AW211</f>
        <v>0</v>
      </c>
      <c r="K211" t="e">
        <f t="shared" si="5"/>
        <v>#N/A</v>
      </c>
      <c r="L211">
        <f>발송처리!AU211</f>
        <v>0</v>
      </c>
      <c r="M211">
        <f>발송처리!AP211</f>
        <v>0</v>
      </c>
      <c r="N211">
        <f>발송처리!AV211</f>
        <v>0</v>
      </c>
      <c r="O211">
        <f>발송처리!AR211</f>
        <v>0</v>
      </c>
      <c r="P211">
        <f>발송처리!K211</f>
        <v>0</v>
      </c>
      <c r="Q211" s="80">
        <f>발송처리!AC211</f>
        <v>0</v>
      </c>
    </row>
    <row r="212" spans="1:17">
      <c r="A212">
        <f>발송처리!A212</f>
        <v>0</v>
      </c>
      <c r="B212">
        <f>발송처리!M212</f>
        <v>0</v>
      </c>
      <c r="E212" t="e">
        <f>VLOOKUP(발송처리!V212,'상품DB(수정x)'!B:E,2,0)</f>
        <v>#N/A</v>
      </c>
      <c r="F212" s="13" t="e">
        <f>VLOOKUP(발송처리!V212,'상품DB(수정x)'!B:E,4,0)</f>
        <v>#N/A</v>
      </c>
      <c r="G212" s="8">
        <f>발송처리!X212</f>
        <v>0</v>
      </c>
      <c r="I212">
        <f>발송처리!AW212</f>
        <v>0</v>
      </c>
      <c r="K212" t="e">
        <f t="shared" si="5"/>
        <v>#N/A</v>
      </c>
      <c r="L212">
        <f>발송처리!AU212</f>
        <v>0</v>
      </c>
      <c r="M212">
        <f>발송처리!AP212</f>
        <v>0</v>
      </c>
      <c r="N212">
        <f>발송처리!AV212</f>
        <v>0</v>
      </c>
      <c r="O212">
        <f>발송처리!AR212</f>
        <v>0</v>
      </c>
      <c r="P212">
        <f>발송처리!K212</f>
        <v>0</v>
      </c>
      <c r="Q212" s="80">
        <f>발송처리!AC212</f>
        <v>0</v>
      </c>
    </row>
    <row r="213" spans="1:17">
      <c r="A213">
        <f>발송처리!A213</f>
        <v>0</v>
      </c>
      <c r="B213">
        <f>발송처리!M213</f>
        <v>0</v>
      </c>
      <c r="E213" t="e">
        <f>VLOOKUP(발송처리!V213,'상품DB(수정x)'!B:E,2,0)</f>
        <v>#N/A</v>
      </c>
      <c r="F213" s="13" t="e">
        <f>VLOOKUP(발송처리!V213,'상품DB(수정x)'!B:E,4,0)</f>
        <v>#N/A</v>
      </c>
      <c r="G213" s="8">
        <f>발송처리!X213</f>
        <v>0</v>
      </c>
      <c r="I213">
        <f>발송처리!AW213</f>
        <v>0</v>
      </c>
      <c r="K213" t="e">
        <f t="shared" si="5"/>
        <v>#N/A</v>
      </c>
      <c r="L213">
        <f>발송처리!AU213</f>
        <v>0</v>
      </c>
      <c r="M213">
        <f>발송처리!AP213</f>
        <v>0</v>
      </c>
      <c r="N213">
        <f>발송처리!AV213</f>
        <v>0</v>
      </c>
      <c r="O213">
        <f>발송처리!AR213</f>
        <v>0</v>
      </c>
      <c r="P213">
        <f>발송처리!K213</f>
        <v>0</v>
      </c>
      <c r="Q213" s="80">
        <f>발송처리!AC213</f>
        <v>0</v>
      </c>
    </row>
    <row r="214" spans="1:17">
      <c r="A214">
        <f>발송처리!A214</f>
        <v>0</v>
      </c>
      <c r="B214">
        <f>발송처리!M214</f>
        <v>0</v>
      </c>
      <c r="E214" t="e">
        <f>VLOOKUP(발송처리!V214,'상품DB(수정x)'!B:E,2,0)</f>
        <v>#N/A</v>
      </c>
      <c r="F214" s="13" t="e">
        <f>VLOOKUP(발송처리!V214,'상품DB(수정x)'!B:E,4,0)</f>
        <v>#N/A</v>
      </c>
      <c r="G214" s="8">
        <f>발송처리!X214</f>
        <v>0</v>
      </c>
      <c r="I214">
        <f>발송처리!AW214</f>
        <v>0</v>
      </c>
      <c r="K214" t="e">
        <f t="shared" si="5"/>
        <v>#N/A</v>
      </c>
      <c r="L214">
        <f>발송처리!AU214</f>
        <v>0</v>
      </c>
      <c r="M214">
        <f>발송처리!AP214</f>
        <v>0</v>
      </c>
      <c r="N214">
        <f>발송처리!AV214</f>
        <v>0</v>
      </c>
      <c r="O214">
        <f>발송처리!AR214</f>
        <v>0</v>
      </c>
      <c r="P214">
        <f>발송처리!K214</f>
        <v>0</v>
      </c>
      <c r="Q214" s="80">
        <f>발송처리!AC214</f>
        <v>0</v>
      </c>
    </row>
    <row r="215" spans="1:17">
      <c r="A215">
        <f>발송처리!A215</f>
        <v>0</v>
      </c>
      <c r="B215">
        <f>발송처리!M215</f>
        <v>0</v>
      </c>
      <c r="E215" t="e">
        <f>VLOOKUP(발송처리!V215,'상품DB(수정x)'!B:E,2,0)</f>
        <v>#N/A</v>
      </c>
      <c r="F215" s="13" t="e">
        <f>VLOOKUP(발송처리!V215,'상품DB(수정x)'!B:E,4,0)</f>
        <v>#N/A</v>
      </c>
      <c r="G215" s="8">
        <f>발송처리!X215</f>
        <v>0</v>
      </c>
      <c r="I215">
        <f>발송처리!AW215</f>
        <v>0</v>
      </c>
      <c r="K215" t="e">
        <f t="shared" si="5"/>
        <v>#N/A</v>
      </c>
      <c r="L215">
        <f>발송처리!AU215</f>
        <v>0</v>
      </c>
      <c r="M215">
        <f>발송처리!AP215</f>
        <v>0</v>
      </c>
      <c r="N215">
        <f>발송처리!AV215</f>
        <v>0</v>
      </c>
      <c r="O215">
        <f>발송처리!AR215</f>
        <v>0</v>
      </c>
      <c r="P215">
        <f>발송처리!K215</f>
        <v>0</v>
      </c>
      <c r="Q215" s="80">
        <f>발송처리!AC215</f>
        <v>0</v>
      </c>
    </row>
    <row r="216" spans="1:17">
      <c r="A216">
        <f>발송처리!A216</f>
        <v>0</v>
      </c>
      <c r="B216">
        <f>발송처리!M216</f>
        <v>0</v>
      </c>
      <c r="E216" t="e">
        <f>VLOOKUP(발송처리!V216,'상품DB(수정x)'!B:E,2,0)</f>
        <v>#N/A</v>
      </c>
      <c r="F216" s="13" t="e">
        <f>VLOOKUP(발송처리!V216,'상품DB(수정x)'!B:E,4,0)</f>
        <v>#N/A</v>
      </c>
      <c r="G216" s="8">
        <f>발송처리!X216</f>
        <v>0</v>
      </c>
      <c r="I216">
        <f>발송처리!AW216</f>
        <v>0</v>
      </c>
      <c r="K216" t="e">
        <f t="shared" si="5"/>
        <v>#N/A</v>
      </c>
      <c r="L216">
        <f>발송처리!AU216</f>
        <v>0</v>
      </c>
      <c r="M216">
        <f>발송처리!AP216</f>
        <v>0</v>
      </c>
      <c r="N216">
        <f>발송처리!AV216</f>
        <v>0</v>
      </c>
      <c r="O216">
        <f>발송처리!AR216</f>
        <v>0</v>
      </c>
      <c r="P216">
        <f>발송처리!K216</f>
        <v>0</v>
      </c>
      <c r="Q216" s="80">
        <f>발송처리!AC216</f>
        <v>0</v>
      </c>
    </row>
    <row r="217" spans="1:17">
      <c r="A217">
        <f>발송처리!A217</f>
        <v>0</v>
      </c>
      <c r="B217">
        <f>발송처리!M217</f>
        <v>0</v>
      </c>
      <c r="E217" t="e">
        <f>VLOOKUP(발송처리!V217,'상품DB(수정x)'!B:E,2,0)</f>
        <v>#N/A</v>
      </c>
      <c r="F217" s="13" t="e">
        <f>VLOOKUP(발송처리!V217,'상품DB(수정x)'!B:E,4,0)</f>
        <v>#N/A</v>
      </c>
      <c r="G217" s="8">
        <f>발송처리!X217</f>
        <v>0</v>
      </c>
      <c r="I217">
        <f>발송처리!AW217</f>
        <v>0</v>
      </c>
      <c r="K217" t="e">
        <f t="shared" si="5"/>
        <v>#N/A</v>
      </c>
      <c r="L217">
        <f>발송처리!AU217</f>
        <v>0</v>
      </c>
      <c r="M217">
        <f>발송처리!AP217</f>
        <v>0</v>
      </c>
      <c r="N217">
        <f>발송처리!AV217</f>
        <v>0</v>
      </c>
      <c r="O217">
        <f>발송처리!AR217</f>
        <v>0</v>
      </c>
      <c r="P217">
        <f>발송처리!K217</f>
        <v>0</v>
      </c>
      <c r="Q217" s="80">
        <f>발송처리!AC217</f>
        <v>0</v>
      </c>
    </row>
    <row r="218" spans="1:17">
      <c r="A218">
        <f>발송처리!A218</f>
        <v>0</v>
      </c>
      <c r="B218">
        <f>발송처리!M218</f>
        <v>0</v>
      </c>
      <c r="E218" t="e">
        <f>VLOOKUP(발송처리!V218,'상품DB(수정x)'!B:E,2,0)</f>
        <v>#N/A</v>
      </c>
      <c r="F218" s="13" t="e">
        <f>VLOOKUP(발송처리!V218,'상품DB(수정x)'!B:E,4,0)</f>
        <v>#N/A</v>
      </c>
      <c r="G218" s="8">
        <f>발송처리!X218</f>
        <v>0</v>
      </c>
      <c r="I218">
        <f>발송처리!AW218</f>
        <v>0</v>
      </c>
      <c r="K218" t="e">
        <f t="shared" si="5"/>
        <v>#N/A</v>
      </c>
      <c r="L218">
        <f>발송처리!AU218</f>
        <v>0</v>
      </c>
      <c r="M218">
        <f>발송처리!AP218</f>
        <v>0</v>
      </c>
      <c r="N218">
        <f>발송처리!AV218</f>
        <v>0</v>
      </c>
      <c r="O218">
        <f>발송처리!AR218</f>
        <v>0</v>
      </c>
      <c r="P218">
        <f>발송처리!K218</f>
        <v>0</v>
      </c>
      <c r="Q218" s="80">
        <f>발송처리!AC218</f>
        <v>0</v>
      </c>
    </row>
    <row r="219" spans="1:17">
      <c r="A219">
        <f>발송처리!A219</f>
        <v>0</v>
      </c>
      <c r="B219">
        <f>발송처리!M219</f>
        <v>0</v>
      </c>
      <c r="E219" t="e">
        <f>VLOOKUP(발송처리!V219,'상품DB(수정x)'!B:E,2,0)</f>
        <v>#N/A</v>
      </c>
      <c r="F219" s="13" t="e">
        <f>VLOOKUP(발송처리!V219,'상품DB(수정x)'!B:E,4,0)</f>
        <v>#N/A</v>
      </c>
      <c r="G219" s="8">
        <f>발송처리!X219</f>
        <v>0</v>
      </c>
      <c r="I219">
        <f>발송처리!AW219</f>
        <v>0</v>
      </c>
      <c r="K219" t="e">
        <f t="shared" si="5"/>
        <v>#N/A</v>
      </c>
      <c r="L219">
        <f>발송처리!AU219</f>
        <v>0</v>
      </c>
      <c r="M219">
        <f>발송처리!AP219</f>
        <v>0</v>
      </c>
      <c r="N219">
        <f>발송처리!AV219</f>
        <v>0</v>
      </c>
      <c r="O219">
        <f>발송처리!AR219</f>
        <v>0</v>
      </c>
      <c r="P219">
        <f>발송처리!K219</f>
        <v>0</v>
      </c>
      <c r="Q219" s="80">
        <f>발송처리!AC219</f>
        <v>0</v>
      </c>
    </row>
    <row r="220" spans="1:17">
      <c r="A220">
        <f>발송처리!A220</f>
        <v>0</v>
      </c>
      <c r="B220">
        <f>발송처리!M220</f>
        <v>0</v>
      </c>
      <c r="E220" t="e">
        <f>VLOOKUP(발송처리!V220,'상품DB(수정x)'!B:E,2,0)</f>
        <v>#N/A</v>
      </c>
      <c r="F220" s="13" t="e">
        <f>VLOOKUP(발송처리!V220,'상품DB(수정x)'!B:E,4,0)</f>
        <v>#N/A</v>
      </c>
      <c r="G220" s="8">
        <f>발송처리!X220</f>
        <v>0</v>
      </c>
      <c r="I220">
        <f>발송처리!AW220</f>
        <v>0</v>
      </c>
      <c r="K220" t="e">
        <f t="shared" si="5"/>
        <v>#N/A</v>
      </c>
      <c r="L220">
        <f>발송처리!AU220</f>
        <v>0</v>
      </c>
      <c r="M220">
        <f>발송처리!AP220</f>
        <v>0</v>
      </c>
      <c r="N220">
        <f>발송처리!AV220</f>
        <v>0</v>
      </c>
      <c r="O220">
        <f>발송처리!AR220</f>
        <v>0</v>
      </c>
      <c r="P220">
        <f>발송처리!K220</f>
        <v>0</v>
      </c>
      <c r="Q220" s="80">
        <f>발송처리!AC220</f>
        <v>0</v>
      </c>
    </row>
    <row r="221" spans="1:17">
      <c r="A221">
        <f>발송처리!A221</f>
        <v>0</v>
      </c>
      <c r="B221">
        <f>발송처리!M221</f>
        <v>0</v>
      </c>
      <c r="E221" t="e">
        <f>VLOOKUP(발송처리!V221,'상품DB(수정x)'!B:E,2,0)</f>
        <v>#N/A</v>
      </c>
      <c r="F221" s="13" t="e">
        <f>VLOOKUP(발송처리!V221,'상품DB(수정x)'!B:E,4,0)</f>
        <v>#N/A</v>
      </c>
      <c r="G221" s="8">
        <f>발송처리!X221</f>
        <v>0</v>
      </c>
      <c r="I221">
        <f>발송처리!AW221</f>
        <v>0</v>
      </c>
      <c r="K221" t="e">
        <f t="shared" si="5"/>
        <v>#N/A</v>
      </c>
      <c r="L221">
        <f>발송처리!AU221</f>
        <v>0</v>
      </c>
      <c r="M221">
        <f>발송처리!AP221</f>
        <v>0</v>
      </c>
      <c r="N221">
        <f>발송처리!AV221</f>
        <v>0</v>
      </c>
      <c r="O221">
        <f>발송처리!AR221</f>
        <v>0</v>
      </c>
      <c r="P221">
        <f>발송처리!K221</f>
        <v>0</v>
      </c>
      <c r="Q221" s="80">
        <f>발송처리!AC221</f>
        <v>0</v>
      </c>
    </row>
    <row r="222" spans="1:17">
      <c r="A222">
        <f>발송처리!A222</f>
        <v>0</v>
      </c>
      <c r="B222">
        <f>발송처리!M222</f>
        <v>0</v>
      </c>
      <c r="E222" t="e">
        <f>VLOOKUP(발송처리!V222,'상품DB(수정x)'!B:E,2,0)</f>
        <v>#N/A</v>
      </c>
      <c r="F222" s="13" t="e">
        <f>VLOOKUP(발송처리!V222,'상품DB(수정x)'!B:E,4,0)</f>
        <v>#N/A</v>
      </c>
      <c r="G222" s="8">
        <f>발송처리!X222</f>
        <v>0</v>
      </c>
      <c r="I222">
        <f>발송처리!AW222</f>
        <v>0</v>
      </c>
      <c r="K222" t="e">
        <f t="shared" si="5"/>
        <v>#N/A</v>
      </c>
      <c r="L222">
        <f>발송처리!AU222</f>
        <v>0</v>
      </c>
      <c r="M222">
        <f>발송처리!AP222</f>
        <v>0</v>
      </c>
      <c r="N222">
        <f>발송처리!AV222</f>
        <v>0</v>
      </c>
      <c r="O222">
        <f>발송처리!AR222</f>
        <v>0</v>
      </c>
      <c r="P222">
        <f>발송처리!K222</f>
        <v>0</v>
      </c>
      <c r="Q222" s="80">
        <f>발송처리!AC222</f>
        <v>0</v>
      </c>
    </row>
    <row r="223" spans="1:17">
      <c r="A223">
        <f>발송처리!A223</f>
        <v>0</v>
      </c>
      <c r="B223">
        <f>발송처리!M223</f>
        <v>0</v>
      </c>
      <c r="E223" t="e">
        <f>VLOOKUP(발송처리!V223,'상품DB(수정x)'!B:E,2,0)</f>
        <v>#N/A</v>
      </c>
      <c r="F223" s="13" t="e">
        <f>VLOOKUP(발송처리!V223,'상품DB(수정x)'!B:E,4,0)</f>
        <v>#N/A</v>
      </c>
      <c r="G223" s="8">
        <f>발송처리!X223</f>
        <v>0</v>
      </c>
      <c r="I223">
        <f>발송처리!AW223</f>
        <v>0</v>
      </c>
      <c r="K223" t="e">
        <f t="shared" si="5"/>
        <v>#N/A</v>
      </c>
      <c r="L223">
        <f>발송처리!AU223</f>
        <v>0</v>
      </c>
      <c r="M223">
        <f>발송처리!AP223</f>
        <v>0</v>
      </c>
      <c r="N223">
        <f>발송처리!AV223</f>
        <v>0</v>
      </c>
      <c r="O223">
        <f>발송처리!AR223</f>
        <v>0</v>
      </c>
      <c r="P223">
        <f>발송처리!K223</f>
        <v>0</v>
      </c>
      <c r="Q223" s="80">
        <f>발송처리!AC223</f>
        <v>0</v>
      </c>
    </row>
    <row r="224" spans="1:17">
      <c r="A224">
        <f>발송처리!A224</f>
        <v>0</v>
      </c>
      <c r="B224">
        <f>발송처리!M224</f>
        <v>0</v>
      </c>
      <c r="E224" t="e">
        <f>VLOOKUP(발송처리!V224,'상품DB(수정x)'!B:E,2,0)</f>
        <v>#N/A</v>
      </c>
      <c r="F224" s="13" t="e">
        <f>VLOOKUP(발송처리!V224,'상품DB(수정x)'!B:E,4,0)</f>
        <v>#N/A</v>
      </c>
      <c r="G224" s="8">
        <f>발송처리!X224</f>
        <v>0</v>
      </c>
      <c r="I224">
        <f>발송처리!AW224</f>
        <v>0</v>
      </c>
      <c r="K224" t="e">
        <f t="shared" si="5"/>
        <v>#N/A</v>
      </c>
      <c r="L224">
        <f>발송처리!AU224</f>
        <v>0</v>
      </c>
      <c r="M224">
        <f>발송처리!AP224</f>
        <v>0</v>
      </c>
      <c r="N224">
        <f>발송처리!AV224</f>
        <v>0</v>
      </c>
      <c r="O224">
        <f>발송처리!AR224</f>
        <v>0</v>
      </c>
      <c r="P224">
        <f>발송처리!K224</f>
        <v>0</v>
      </c>
      <c r="Q224" s="80">
        <f>발송처리!AC224</f>
        <v>0</v>
      </c>
    </row>
    <row r="225" spans="1:17">
      <c r="A225">
        <f>발송처리!A225</f>
        <v>0</v>
      </c>
      <c r="B225">
        <f>발송처리!M225</f>
        <v>0</v>
      </c>
      <c r="E225" t="e">
        <f>VLOOKUP(발송처리!V225,'상품DB(수정x)'!B:E,2,0)</f>
        <v>#N/A</v>
      </c>
      <c r="F225" s="13" t="e">
        <f>VLOOKUP(발송처리!V225,'상품DB(수정x)'!B:E,4,0)</f>
        <v>#N/A</v>
      </c>
      <c r="G225" s="8">
        <f>발송처리!X225</f>
        <v>0</v>
      </c>
      <c r="I225">
        <f>발송처리!AW225</f>
        <v>0</v>
      </c>
      <c r="K225" t="e">
        <f t="shared" si="5"/>
        <v>#N/A</v>
      </c>
      <c r="L225">
        <f>발송처리!AU225</f>
        <v>0</v>
      </c>
      <c r="M225">
        <f>발송처리!AP225</f>
        <v>0</v>
      </c>
      <c r="N225">
        <f>발송처리!AV225</f>
        <v>0</v>
      </c>
      <c r="O225">
        <f>발송처리!AR225</f>
        <v>0</v>
      </c>
      <c r="P225">
        <f>발송처리!K225</f>
        <v>0</v>
      </c>
      <c r="Q225" s="80">
        <f>발송처리!AC225</f>
        <v>0</v>
      </c>
    </row>
    <row r="226" spans="1:17">
      <c r="A226">
        <f>발송처리!A226</f>
        <v>0</v>
      </c>
      <c r="B226">
        <f>발송처리!M226</f>
        <v>0</v>
      </c>
      <c r="E226" t="e">
        <f>VLOOKUP(발송처리!V226,'상품DB(수정x)'!B:E,2,0)</f>
        <v>#N/A</v>
      </c>
      <c r="F226" s="13" t="e">
        <f>VLOOKUP(발송처리!V226,'상품DB(수정x)'!B:E,4,0)</f>
        <v>#N/A</v>
      </c>
      <c r="G226" s="8">
        <f>발송처리!X226</f>
        <v>0</v>
      </c>
      <c r="I226">
        <f>발송처리!AW226</f>
        <v>0</v>
      </c>
      <c r="K226" t="e">
        <f t="shared" si="5"/>
        <v>#N/A</v>
      </c>
      <c r="L226">
        <f>발송처리!AU226</f>
        <v>0</v>
      </c>
      <c r="M226">
        <f>발송처리!AP226</f>
        <v>0</v>
      </c>
      <c r="N226">
        <f>발송처리!AV226</f>
        <v>0</v>
      </c>
      <c r="O226">
        <f>발송처리!AR226</f>
        <v>0</v>
      </c>
      <c r="P226">
        <f>발송처리!K226</f>
        <v>0</v>
      </c>
      <c r="Q226" s="80">
        <f>발송처리!AC226</f>
        <v>0</v>
      </c>
    </row>
    <row r="227" spans="1:17">
      <c r="A227">
        <f>발송처리!A227</f>
        <v>0</v>
      </c>
      <c r="B227">
        <f>발송처리!M227</f>
        <v>0</v>
      </c>
      <c r="E227" t="e">
        <f>VLOOKUP(발송처리!V227,'상품DB(수정x)'!B:E,2,0)</f>
        <v>#N/A</v>
      </c>
      <c r="F227" s="13" t="e">
        <f>VLOOKUP(발송처리!V227,'상품DB(수정x)'!B:E,4,0)</f>
        <v>#N/A</v>
      </c>
      <c r="G227" s="8">
        <f>발송처리!X227</f>
        <v>0</v>
      </c>
      <c r="I227">
        <f>발송처리!AW227</f>
        <v>0</v>
      </c>
      <c r="K227" t="e">
        <f t="shared" si="5"/>
        <v>#N/A</v>
      </c>
      <c r="L227">
        <f>발송처리!AU227</f>
        <v>0</v>
      </c>
      <c r="M227">
        <f>발송처리!AP227</f>
        <v>0</v>
      </c>
      <c r="N227">
        <f>발송처리!AV227</f>
        <v>0</v>
      </c>
      <c r="O227">
        <f>발송처리!AR227</f>
        <v>0</v>
      </c>
      <c r="P227">
        <f>발송처리!K227</f>
        <v>0</v>
      </c>
      <c r="Q227" s="80">
        <f>발송처리!AC227</f>
        <v>0</v>
      </c>
    </row>
    <row r="228" spans="1:17">
      <c r="A228">
        <f>발송처리!A228</f>
        <v>0</v>
      </c>
      <c r="B228">
        <f>발송처리!M228</f>
        <v>0</v>
      </c>
      <c r="E228" t="e">
        <f>VLOOKUP(발송처리!V228,'상품DB(수정x)'!B:E,2,0)</f>
        <v>#N/A</v>
      </c>
      <c r="F228" s="13" t="e">
        <f>VLOOKUP(발송처리!V228,'상품DB(수정x)'!B:E,4,0)</f>
        <v>#N/A</v>
      </c>
      <c r="G228" s="8">
        <f>발송처리!X228</f>
        <v>0</v>
      </c>
      <c r="I228">
        <f>발송처리!AW228</f>
        <v>0</v>
      </c>
      <c r="K228" t="e">
        <f t="shared" si="5"/>
        <v>#N/A</v>
      </c>
      <c r="L228">
        <f>발송처리!AU228</f>
        <v>0</v>
      </c>
      <c r="M228">
        <f>발송처리!AP228</f>
        <v>0</v>
      </c>
      <c r="N228">
        <f>발송처리!AV228</f>
        <v>0</v>
      </c>
      <c r="O228">
        <f>발송처리!AR228</f>
        <v>0</v>
      </c>
      <c r="P228">
        <f>발송처리!K228</f>
        <v>0</v>
      </c>
      <c r="Q228" s="80">
        <f>발송처리!AC228</f>
        <v>0</v>
      </c>
    </row>
    <row r="229" spans="1:17">
      <c r="A229">
        <f>발송처리!A229</f>
        <v>0</v>
      </c>
      <c r="B229">
        <f>발송처리!M229</f>
        <v>0</v>
      </c>
      <c r="E229" t="e">
        <f>VLOOKUP(발송처리!V229,'상품DB(수정x)'!B:E,2,0)</f>
        <v>#N/A</v>
      </c>
      <c r="F229" s="13" t="e">
        <f>VLOOKUP(발송처리!V229,'상품DB(수정x)'!B:E,4,0)</f>
        <v>#N/A</v>
      </c>
      <c r="G229" s="8">
        <f>발송처리!X229</f>
        <v>0</v>
      </c>
      <c r="I229">
        <f>발송처리!AW229</f>
        <v>0</v>
      </c>
      <c r="K229" t="e">
        <f t="shared" si="5"/>
        <v>#N/A</v>
      </c>
      <c r="L229">
        <f>발송처리!AU229</f>
        <v>0</v>
      </c>
      <c r="M229">
        <f>발송처리!AP229</f>
        <v>0</v>
      </c>
      <c r="N229">
        <f>발송처리!AV229</f>
        <v>0</v>
      </c>
      <c r="O229">
        <f>발송처리!AR229</f>
        <v>0</v>
      </c>
      <c r="P229">
        <f>발송처리!K229</f>
        <v>0</v>
      </c>
      <c r="Q229" s="80">
        <f>발송처리!AC229</f>
        <v>0</v>
      </c>
    </row>
    <row r="230" spans="1:17">
      <c r="A230">
        <f>발송처리!A230</f>
        <v>0</v>
      </c>
      <c r="B230">
        <f>발송처리!M230</f>
        <v>0</v>
      </c>
      <c r="E230" t="e">
        <f>VLOOKUP(발송처리!V230,'상품DB(수정x)'!B:E,2,0)</f>
        <v>#N/A</v>
      </c>
      <c r="F230" s="13" t="e">
        <f>VLOOKUP(발송처리!V230,'상품DB(수정x)'!B:E,4,0)</f>
        <v>#N/A</v>
      </c>
      <c r="G230" s="8">
        <f>발송처리!X230</f>
        <v>0</v>
      </c>
      <c r="I230">
        <f>발송처리!AW230</f>
        <v>0</v>
      </c>
      <c r="K230" t="e">
        <f t="shared" si="5"/>
        <v>#N/A</v>
      </c>
      <c r="L230">
        <f>발송처리!AU230</f>
        <v>0</v>
      </c>
      <c r="M230">
        <f>발송처리!AP230</f>
        <v>0</v>
      </c>
      <c r="N230">
        <f>발송처리!AV230</f>
        <v>0</v>
      </c>
      <c r="O230">
        <f>발송처리!AR230</f>
        <v>0</v>
      </c>
      <c r="P230">
        <f>발송처리!K230</f>
        <v>0</v>
      </c>
      <c r="Q230" s="80">
        <f>발송처리!AC230</f>
        <v>0</v>
      </c>
    </row>
    <row r="231" spans="1:17">
      <c r="A231">
        <f>발송처리!A231</f>
        <v>0</v>
      </c>
      <c r="B231">
        <f>발송처리!M231</f>
        <v>0</v>
      </c>
      <c r="E231" t="e">
        <f>VLOOKUP(발송처리!V231,'상품DB(수정x)'!B:E,2,0)</f>
        <v>#N/A</v>
      </c>
      <c r="F231" s="13" t="e">
        <f>VLOOKUP(발송처리!V231,'상품DB(수정x)'!B:E,4,0)</f>
        <v>#N/A</v>
      </c>
      <c r="G231" s="8">
        <f>발송처리!X231</f>
        <v>0</v>
      </c>
      <c r="I231">
        <f>발송처리!AW231</f>
        <v>0</v>
      </c>
      <c r="K231" t="e">
        <f t="shared" si="5"/>
        <v>#N/A</v>
      </c>
      <c r="L231">
        <f>발송처리!AU231</f>
        <v>0</v>
      </c>
      <c r="M231">
        <f>발송처리!AP231</f>
        <v>0</v>
      </c>
      <c r="N231">
        <f>발송처리!AV231</f>
        <v>0</v>
      </c>
      <c r="O231">
        <f>발송처리!AR231</f>
        <v>0</v>
      </c>
      <c r="P231">
        <f>발송처리!K231</f>
        <v>0</v>
      </c>
      <c r="Q231" s="80">
        <f>발송처리!AC231</f>
        <v>0</v>
      </c>
    </row>
    <row r="232" spans="1:17">
      <c r="A232">
        <f>발송처리!A232</f>
        <v>0</v>
      </c>
      <c r="B232">
        <f>발송처리!M232</f>
        <v>0</v>
      </c>
      <c r="E232" t="e">
        <f>VLOOKUP(발송처리!V232,'상품DB(수정x)'!B:E,2,0)</f>
        <v>#N/A</v>
      </c>
      <c r="F232" s="13" t="e">
        <f>VLOOKUP(발송처리!V232,'상품DB(수정x)'!B:E,4,0)</f>
        <v>#N/A</v>
      </c>
      <c r="G232" s="8">
        <f>발송처리!X232</f>
        <v>0</v>
      </c>
      <c r="I232">
        <f>발송처리!AW232</f>
        <v>0</v>
      </c>
      <c r="K232" t="e">
        <f t="shared" si="5"/>
        <v>#N/A</v>
      </c>
      <c r="L232">
        <f>발송처리!AU232</f>
        <v>0</v>
      </c>
      <c r="M232">
        <f>발송처리!AP232</f>
        <v>0</v>
      </c>
      <c r="N232">
        <f>발송처리!AV232</f>
        <v>0</v>
      </c>
      <c r="O232">
        <f>발송처리!AR232</f>
        <v>0</v>
      </c>
      <c r="P232">
        <f>발송처리!K232</f>
        <v>0</v>
      </c>
      <c r="Q232" s="80">
        <f>발송처리!AC232</f>
        <v>0</v>
      </c>
    </row>
    <row r="233" spans="1:17">
      <c r="A233">
        <f>발송처리!A233</f>
        <v>0</v>
      </c>
      <c r="B233">
        <f>발송처리!M233</f>
        <v>0</v>
      </c>
      <c r="E233" t="e">
        <f>VLOOKUP(발송처리!V233,'상품DB(수정x)'!B:E,2,0)</f>
        <v>#N/A</v>
      </c>
      <c r="F233" s="13" t="e">
        <f>VLOOKUP(발송처리!V233,'상품DB(수정x)'!B:E,4,0)</f>
        <v>#N/A</v>
      </c>
      <c r="G233" s="8">
        <f>발송처리!X233</f>
        <v>0</v>
      </c>
      <c r="I233">
        <f>발송처리!AW233</f>
        <v>0</v>
      </c>
      <c r="K233" t="e">
        <f t="shared" si="5"/>
        <v>#N/A</v>
      </c>
      <c r="L233">
        <f>발송처리!AU233</f>
        <v>0</v>
      </c>
      <c r="M233">
        <f>발송처리!AP233</f>
        <v>0</v>
      </c>
      <c r="N233">
        <f>발송처리!AV233</f>
        <v>0</v>
      </c>
      <c r="O233">
        <f>발송처리!AR233</f>
        <v>0</v>
      </c>
      <c r="P233">
        <f>발송처리!K233</f>
        <v>0</v>
      </c>
      <c r="Q233" s="80">
        <f>발송처리!AC233</f>
        <v>0</v>
      </c>
    </row>
    <row r="234" spans="1:17">
      <c r="A234">
        <f>발송처리!A234</f>
        <v>0</v>
      </c>
      <c r="B234">
        <f>발송처리!M234</f>
        <v>0</v>
      </c>
      <c r="E234" t="e">
        <f>VLOOKUP(발송처리!V234,'상품DB(수정x)'!B:E,2,0)</f>
        <v>#N/A</v>
      </c>
      <c r="F234" s="13" t="e">
        <f>VLOOKUP(발송처리!V234,'상품DB(수정x)'!B:E,4,0)</f>
        <v>#N/A</v>
      </c>
      <c r="G234" s="8">
        <f>발송처리!X234</f>
        <v>0</v>
      </c>
      <c r="I234">
        <f>발송처리!AW234</f>
        <v>0</v>
      </c>
      <c r="K234" t="e">
        <f t="shared" si="5"/>
        <v>#N/A</v>
      </c>
      <c r="L234">
        <f>발송처리!AU234</f>
        <v>0</v>
      </c>
      <c r="M234">
        <f>발송처리!AP234</f>
        <v>0</v>
      </c>
      <c r="N234">
        <f>발송처리!AV234</f>
        <v>0</v>
      </c>
      <c r="O234">
        <f>발송처리!AR234</f>
        <v>0</v>
      </c>
      <c r="P234">
        <f>발송처리!K234</f>
        <v>0</v>
      </c>
      <c r="Q234" s="80">
        <f>발송처리!AC234</f>
        <v>0</v>
      </c>
    </row>
    <row r="235" spans="1:17">
      <c r="A235">
        <f>발송처리!A235</f>
        <v>0</v>
      </c>
      <c r="B235">
        <f>발송처리!M235</f>
        <v>0</v>
      </c>
      <c r="E235" t="e">
        <f>VLOOKUP(발송처리!V235,'상품DB(수정x)'!B:E,2,0)</f>
        <v>#N/A</v>
      </c>
      <c r="F235" s="13" t="e">
        <f>VLOOKUP(발송처리!V235,'상품DB(수정x)'!B:E,4,0)</f>
        <v>#N/A</v>
      </c>
      <c r="G235" s="8">
        <f>발송처리!X235</f>
        <v>0</v>
      </c>
      <c r="I235">
        <f>발송처리!AW235</f>
        <v>0</v>
      </c>
      <c r="K235" t="e">
        <f t="shared" si="5"/>
        <v>#N/A</v>
      </c>
      <c r="L235">
        <f>발송처리!AU235</f>
        <v>0</v>
      </c>
      <c r="M235">
        <f>발송처리!AP235</f>
        <v>0</v>
      </c>
      <c r="N235">
        <f>발송처리!AV235</f>
        <v>0</v>
      </c>
      <c r="O235">
        <f>발송처리!AR235</f>
        <v>0</v>
      </c>
      <c r="P235">
        <f>발송처리!K235</f>
        <v>0</v>
      </c>
      <c r="Q235" s="80">
        <f>발송처리!AC235</f>
        <v>0</v>
      </c>
    </row>
    <row r="236" spans="1:17">
      <c r="A236">
        <f>발송처리!A236</f>
        <v>0</v>
      </c>
      <c r="B236">
        <f>발송처리!M236</f>
        <v>0</v>
      </c>
      <c r="E236" t="e">
        <f>VLOOKUP(발송처리!V236,'상품DB(수정x)'!B:E,2,0)</f>
        <v>#N/A</v>
      </c>
      <c r="F236" s="13" t="e">
        <f>VLOOKUP(발송처리!V236,'상품DB(수정x)'!B:E,4,0)</f>
        <v>#N/A</v>
      </c>
      <c r="G236" s="8">
        <f>발송처리!X236</f>
        <v>0</v>
      </c>
      <c r="I236">
        <f>발송처리!AW236</f>
        <v>0</v>
      </c>
      <c r="K236" t="e">
        <f t="shared" si="5"/>
        <v>#N/A</v>
      </c>
      <c r="L236">
        <f>발송처리!AU236</f>
        <v>0</v>
      </c>
      <c r="M236">
        <f>발송처리!AP236</f>
        <v>0</v>
      </c>
      <c r="N236">
        <f>발송처리!AV236</f>
        <v>0</v>
      </c>
      <c r="O236">
        <f>발송처리!AR236</f>
        <v>0</v>
      </c>
      <c r="P236">
        <f>발송처리!K236</f>
        <v>0</v>
      </c>
      <c r="Q236" s="80">
        <f>발송처리!AC236</f>
        <v>0</v>
      </c>
    </row>
    <row r="237" spans="1:17">
      <c r="A237">
        <f>발송처리!A237</f>
        <v>0</v>
      </c>
      <c r="B237">
        <f>발송처리!M237</f>
        <v>0</v>
      </c>
      <c r="E237" t="e">
        <f>VLOOKUP(발송처리!V237,'상품DB(수정x)'!B:E,2,0)</f>
        <v>#N/A</v>
      </c>
      <c r="F237" s="13" t="e">
        <f>VLOOKUP(발송처리!V237,'상품DB(수정x)'!B:E,4,0)</f>
        <v>#N/A</v>
      </c>
      <c r="G237" s="8">
        <f>발송처리!X237</f>
        <v>0</v>
      </c>
      <c r="I237">
        <f>발송처리!AW237</f>
        <v>0</v>
      </c>
      <c r="K237" t="e">
        <f t="shared" si="5"/>
        <v>#N/A</v>
      </c>
      <c r="L237">
        <f>발송처리!AU237</f>
        <v>0</v>
      </c>
      <c r="M237">
        <f>발송처리!AP237</f>
        <v>0</v>
      </c>
      <c r="N237">
        <f>발송처리!AV237</f>
        <v>0</v>
      </c>
      <c r="O237">
        <f>발송처리!AR237</f>
        <v>0</v>
      </c>
      <c r="P237">
        <f>발송처리!K237</f>
        <v>0</v>
      </c>
      <c r="Q237" s="80">
        <f>발송처리!AC237</f>
        <v>0</v>
      </c>
    </row>
    <row r="238" spans="1:17">
      <c r="A238">
        <f>발송처리!A238</f>
        <v>0</v>
      </c>
      <c r="B238">
        <f>발송처리!M238</f>
        <v>0</v>
      </c>
      <c r="E238" t="e">
        <f>VLOOKUP(발송처리!V238,'상품DB(수정x)'!B:E,2,0)</f>
        <v>#N/A</v>
      </c>
      <c r="F238" s="13" t="e">
        <f>VLOOKUP(발송처리!V238,'상품DB(수정x)'!B:E,4,0)</f>
        <v>#N/A</v>
      </c>
      <c r="G238" s="8">
        <f>발송처리!X238</f>
        <v>0</v>
      </c>
      <c r="I238">
        <f>발송처리!AW238</f>
        <v>0</v>
      </c>
      <c r="K238" t="e">
        <f t="shared" si="5"/>
        <v>#N/A</v>
      </c>
      <c r="L238">
        <f>발송처리!AU238</f>
        <v>0</v>
      </c>
      <c r="M238">
        <f>발송처리!AP238</f>
        <v>0</v>
      </c>
      <c r="N238">
        <f>발송처리!AV238</f>
        <v>0</v>
      </c>
      <c r="O238">
        <f>발송처리!AR238</f>
        <v>0</v>
      </c>
      <c r="P238">
        <f>발송처리!K238</f>
        <v>0</v>
      </c>
      <c r="Q238" s="80">
        <f>발송처리!AC238</f>
        <v>0</v>
      </c>
    </row>
    <row r="239" spans="1:17">
      <c r="A239">
        <f>발송처리!A239</f>
        <v>0</v>
      </c>
      <c r="B239">
        <f>발송처리!M239</f>
        <v>0</v>
      </c>
      <c r="E239" t="e">
        <f>VLOOKUP(발송처리!V239,'상품DB(수정x)'!B:E,2,0)</f>
        <v>#N/A</v>
      </c>
      <c r="F239" s="13" t="e">
        <f>VLOOKUP(발송처리!V239,'상품DB(수정x)'!B:E,4,0)</f>
        <v>#N/A</v>
      </c>
      <c r="G239" s="8">
        <f>발송처리!X239</f>
        <v>0</v>
      </c>
      <c r="I239">
        <f>발송처리!AW239</f>
        <v>0</v>
      </c>
      <c r="K239" t="e">
        <f t="shared" si="5"/>
        <v>#N/A</v>
      </c>
      <c r="L239">
        <f>발송처리!AU239</f>
        <v>0</v>
      </c>
      <c r="M239">
        <f>발송처리!AP239</f>
        <v>0</v>
      </c>
      <c r="N239">
        <f>발송처리!AV239</f>
        <v>0</v>
      </c>
      <c r="O239">
        <f>발송처리!AR239</f>
        <v>0</v>
      </c>
      <c r="P239">
        <f>발송처리!K239</f>
        <v>0</v>
      </c>
      <c r="Q239" s="80">
        <f>발송처리!AC239</f>
        <v>0</v>
      </c>
    </row>
    <row r="240" spans="1:17">
      <c r="A240">
        <f>발송처리!A240</f>
        <v>0</v>
      </c>
      <c r="B240">
        <f>발송처리!M240</f>
        <v>0</v>
      </c>
      <c r="E240" t="e">
        <f>VLOOKUP(발송처리!V240,'상품DB(수정x)'!B:E,2,0)</f>
        <v>#N/A</v>
      </c>
      <c r="F240" s="13" t="e">
        <f>VLOOKUP(발송처리!V240,'상품DB(수정x)'!B:E,4,0)</f>
        <v>#N/A</v>
      </c>
      <c r="G240" s="8">
        <f>발송처리!X240</f>
        <v>0</v>
      </c>
      <c r="I240">
        <f>발송처리!AW240</f>
        <v>0</v>
      </c>
      <c r="K240" t="e">
        <f t="shared" si="5"/>
        <v>#N/A</v>
      </c>
      <c r="L240">
        <f>발송처리!AU240</f>
        <v>0</v>
      </c>
      <c r="M240">
        <f>발송처리!AP240</f>
        <v>0</v>
      </c>
      <c r="N240">
        <f>발송처리!AV240</f>
        <v>0</v>
      </c>
      <c r="O240">
        <f>발송처리!AR240</f>
        <v>0</v>
      </c>
      <c r="P240">
        <f>발송처리!K240</f>
        <v>0</v>
      </c>
      <c r="Q240" s="80">
        <f>발송처리!AC240</f>
        <v>0</v>
      </c>
    </row>
    <row r="241" spans="1:17">
      <c r="A241">
        <f>발송처리!A241</f>
        <v>0</v>
      </c>
      <c r="B241">
        <f>발송처리!M241</f>
        <v>0</v>
      </c>
      <c r="E241" t="e">
        <f>VLOOKUP(발송처리!V241,'상품DB(수정x)'!B:E,2,0)</f>
        <v>#N/A</v>
      </c>
      <c r="F241" s="13" t="e">
        <f>VLOOKUP(발송처리!V241,'상품DB(수정x)'!B:E,4,0)</f>
        <v>#N/A</v>
      </c>
      <c r="G241" s="8">
        <f>발송처리!X241</f>
        <v>0</v>
      </c>
      <c r="I241">
        <f>발송처리!AW241</f>
        <v>0</v>
      </c>
      <c r="K241" t="e">
        <f t="shared" si="5"/>
        <v>#N/A</v>
      </c>
      <c r="L241">
        <f>발송처리!AU241</f>
        <v>0</v>
      </c>
      <c r="M241">
        <f>발송처리!AP241</f>
        <v>0</v>
      </c>
      <c r="N241">
        <f>발송처리!AV241</f>
        <v>0</v>
      </c>
      <c r="O241">
        <f>발송처리!AR241</f>
        <v>0</v>
      </c>
      <c r="P241">
        <f>발송처리!K241</f>
        <v>0</v>
      </c>
      <c r="Q241" s="80">
        <f>발송처리!AC241</f>
        <v>0</v>
      </c>
    </row>
    <row r="242" spans="1:17">
      <c r="A242">
        <f>발송처리!A242</f>
        <v>0</v>
      </c>
      <c r="B242">
        <f>발송처리!M242</f>
        <v>0</v>
      </c>
      <c r="E242" t="e">
        <f>VLOOKUP(발송처리!V242,'상품DB(수정x)'!B:E,2,0)</f>
        <v>#N/A</v>
      </c>
      <c r="F242" s="13" t="e">
        <f>VLOOKUP(발송처리!V242,'상품DB(수정x)'!B:E,4,0)</f>
        <v>#N/A</v>
      </c>
      <c r="G242" s="8">
        <f>발송처리!X242</f>
        <v>0</v>
      </c>
      <c r="I242">
        <f>발송처리!AW242</f>
        <v>0</v>
      </c>
      <c r="K242" t="e">
        <f t="shared" si="5"/>
        <v>#N/A</v>
      </c>
      <c r="L242">
        <f>발송처리!AU242</f>
        <v>0</v>
      </c>
      <c r="M242">
        <f>발송처리!AP242</f>
        <v>0</v>
      </c>
      <c r="N242">
        <f>발송처리!AV242</f>
        <v>0</v>
      </c>
      <c r="O242">
        <f>발송처리!AR242</f>
        <v>0</v>
      </c>
      <c r="P242">
        <f>발송처리!K242</f>
        <v>0</v>
      </c>
      <c r="Q242" s="80">
        <f>발송처리!AC242</f>
        <v>0</v>
      </c>
    </row>
    <row r="243" spans="1:17">
      <c r="A243">
        <f>발송처리!A243</f>
        <v>0</v>
      </c>
      <c r="B243">
        <f>발송처리!M243</f>
        <v>0</v>
      </c>
      <c r="E243" t="e">
        <f>VLOOKUP(발송처리!V243,'상품DB(수정x)'!B:E,2,0)</f>
        <v>#N/A</v>
      </c>
      <c r="F243" s="13" t="e">
        <f>VLOOKUP(발송처리!V243,'상품DB(수정x)'!B:E,4,0)</f>
        <v>#N/A</v>
      </c>
      <c r="G243" s="8">
        <f>발송처리!X243</f>
        <v>0</v>
      </c>
      <c r="I243">
        <f>발송처리!AW243</f>
        <v>0</v>
      </c>
      <c r="K243" t="e">
        <f t="shared" si="5"/>
        <v>#N/A</v>
      </c>
      <c r="L243">
        <f>발송처리!AU243</f>
        <v>0</v>
      </c>
      <c r="M243">
        <f>발송처리!AP243</f>
        <v>0</v>
      </c>
      <c r="N243">
        <f>발송처리!AV243</f>
        <v>0</v>
      </c>
      <c r="O243">
        <f>발송처리!AR243</f>
        <v>0</v>
      </c>
      <c r="P243">
        <f>발송처리!K243</f>
        <v>0</v>
      </c>
      <c r="Q243" s="80">
        <f>발송처리!AC243</f>
        <v>0</v>
      </c>
    </row>
    <row r="244" spans="1:17">
      <c r="A244">
        <f>발송처리!A244</f>
        <v>0</v>
      </c>
      <c r="B244">
        <f>발송처리!M244</f>
        <v>0</v>
      </c>
      <c r="E244" t="e">
        <f>VLOOKUP(발송처리!V244,'상품DB(수정x)'!B:E,2,0)</f>
        <v>#N/A</v>
      </c>
      <c r="F244" s="13" t="e">
        <f>VLOOKUP(발송처리!V244,'상품DB(수정x)'!B:E,4,0)</f>
        <v>#N/A</v>
      </c>
      <c r="G244" s="8">
        <f>발송처리!X244</f>
        <v>0</v>
      </c>
      <c r="I244">
        <f>발송처리!AW244</f>
        <v>0</v>
      </c>
      <c r="K244" t="e">
        <f t="shared" si="5"/>
        <v>#N/A</v>
      </c>
      <c r="L244">
        <f>발송처리!AU244</f>
        <v>0</v>
      </c>
      <c r="M244">
        <f>발송처리!AP244</f>
        <v>0</v>
      </c>
      <c r="N244">
        <f>발송처리!AV244</f>
        <v>0</v>
      </c>
      <c r="O244">
        <f>발송처리!AR244</f>
        <v>0</v>
      </c>
      <c r="P244">
        <f>발송처리!K244</f>
        <v>0</v>
      </c>
      <c r="Q244" s="80">
        <f>발송처리!AC244</f>
        <v>0</v>
      </c>
    </row>
    <row r="245" spans="1:17">
      <c r="A245">
        <f>발송처리!A245</f>
        <v>0</v>
      </c>
      <c r="B245">
        <f>발송처리!M245</f>
        <v>0</v>
      </c>
      <c r="E245" t="e">
        <f>VLOOKUP(발송처리!V245,'상품DB(수정x)'!B:E,2,0)</f>
        <v>#N/A</v>
      </c>
      <c r="F245" s="13" t="e">
        <f>VLOOKUP(발송처리!V245,'상품DB(수정x)'!B:E,4,0)</f>
        <v>#N/A</v>
      </c>
      <c r="G245" s="8">
        <f>발송처리!X245</f>
        <v>0</v>
      </c>
      <c r="I245">
        <f>발송처리!AW245</f>
        <v>0</v>
      </c>
      <c r="K245" t="e">
        <f t="shared" si="5"/>
        <v>#N/A</v>
      </c>
      <c r="L245">
        <f>발송처리!AU245</f>
        <v>0</v>
      </c>
      <c r="M245">
        <f>발송처리!AP245</f>
        <v>0</v>
      </c>
      <c r="N245">
        <f>발송처리!AV245</f>
        <v>0</v>
      </c>
      <c r="O245">
        <f>발송처리!AR245</f>
        <v>0</v>
      </c>
      <c r="P245">
        <f>발송처리!K245</f>
        <v>0</v>
      </c>
      <c r="Q245" s="80">
        <f>발송처리!AC245</f>
        <v>0</v>
      </c>
    </row>
    <row r="246" spans="1:17">
      <c r="A246">
        <f>발송처리!A246</f>
        <v>0</v>
      </c>
      <c r="B246">
        <f>발송처리!M246</f>
        <v>0</v>
      </c>
      <c r="E246" t="e">
        <f>VLOOKUP(발송처리!V246,'상품DB(수정x)'!B:E,2,0)</f>
        <v>#N/A</v>
      </c>
      <c r="F246" s="13" t="e">
        <f>VLOOKUP(발송처리!V246,'상품DB(수정x)'!B:E,4,0)</f>
        <v>#N/A</v>
      </c>
      <c r="G246" s="8">
        <f>발송처리!X246</f>
        <v>0</v>
      </c>
      <c r="I246">
        <f>발송처리!AW246</f>
        <v>0</v>
      </c>
      <c r="K246" t="e">
        <f t="shared" si="5"/>
        <v>#N/A</v>
      </c>
      <c r="L246">
        <f>발송처리!AU246</f>
        <v>0</v>
      </c>
      <c r="M246">
        <f>발송처리!AP246</f>
        <v>0</v>
      </c>
      <c r="N246">
        <f>발송처리!AV246</f>
        <v>0</v>
      </c>
      <c r="O246">
        <f>발송처리!AR246</f>
        <v>0</v>
      </c>
      <c r="P246">
        <f>발송처리!K246</f>
        <v>0</v>
      </c>
      <c r="Q246" s="80">
        <f>발송처리!AC246</f>
        <v>0</v>
      </c>
    </row>
    <row r="247" spans="1:17">
      <c r="A247">
        <f>발송처리!A247</f>
        <v>0</v>
      </c>
      <c r="B247">
        <f>발송처리!M247</f>
        <v>0</v>
      </c>
      <c r="E247" t="e">
        <f>VLOOKUP(발송처리!V247,'상품DB(수정x)'!B:E,2,0)</f>
        <v>#N/A</v>
      </c>
      <c r="F247" s="13" t="e">
        <f>VLOOKUP(발송처리!V247,'상품DB(수정x)'!B:E,4,0)</f>
        <v>#N/A</v>
      </c>
      <c r="G247" s="8">
        <f>발송처리!X247</f>
        <v>0</v>
      </c>
      <c r="I247">
        <f>발송처리!AW247</f>
        <v>0</v>
      </c>
      <c r="K247" t="e">
        <f t="shared" si="5"/>
        <v>#N/A</v>
      </c>
      <c r="L247">
        <f>발송처리!AU247</f>
        <v>0</v>
      </c>
      <c r="M247">
        <f>발송처리!AP247</f>
        <v>0</v>
      </c>
      <c r="N247">
        <f>발송처리!AV247</f>
        <v>0</v>
      </c>
      <c r="O247">
        <f>발송처리!AR247</f>
        <v>0</v>
      </c>
      <c r="P247">
        <f>발송처리!K247</f>
        <v>0</v>
      </c>
      <c r="Q247" s="80">
        <f>발송처리!AC247</f>
        <v>0</v>
      </c>
    </row>
    <row r="248" spans="1:17">
      <c r="A248">
        <f>발송처리!A248</f>
        <v>0</v>
      </c>
      <c r="B248">
        <f>발송처리!M248</f>
        <v>0</v>
      </c>
      <c r="E248" t="e">
        <f>VLOOKUP(발송처리!V248,'상품DB(수정x)'!B:E,2,0)</f>
        <v>#N/A</v>
      </c>
      <c r="F248" s="13" t="e">
        <f>VLOOKUP(발송처리!V248,'상품DB(수정x)'!B:E,4,0)</f>
        <v>#N/A</v>
      </c>
      <c r="G248" s="8">
        <f>발송처리!X248</f>
        <v>0</v>
      </c>
      <c r="I248">
        <f>발송처리!AW248</f>
        <v>0</v>
      </c>
      <c r="K248" t="e">
        <f t="shared" si="5"/>
        <v>#N/A</v>
      </c>
      <c r="L248">
        <f>발송처리!AU248</f>
        <v>0</v>
      </c>
      <c r="M248">
        <f>발송처리!AP248</f>
        <v>0</v>
      </c>
      <c r="N248">
        <f>발송처리!AV248</f>
        <v>0</v>
      </c>
      <c r="O248">
        <f>발송처리!AR248</f>
        <v>0</v>
      </c>
      <c r="P248">
        <f>발송처리!K248</f>
        <v>0</v>
      </c>
      <c r="Q248" s="80">
        <f>발송처리!AC248</f>
        <v>0</v>
      </c>
    </row>
    <row r="249" spans="1:17">
      <c r="A249">
        <f>발송처리!A249</f>
        <v>0</v>
      </c>
      <c r="B249">
        <f>발송처리!M249</f>
        <v>0</v>
      </c>
      <c r="E249" t="e">
        <f>VLOOKUP(발송처리!V249,'상품DB(수정x)'!B:E,2,0)</f>
        <v>#N/A</v>
      </c>
      <c r="F249" s="13" t="e">
        <f>VLOOKUP(발송처리!V249,'상품DB(수정x)'!B:E,4,0)</f>
        <v>#N/A</v>
      </c>
      <c r="G249" s="8">
        <f>발송처리!X249</f>
        <v>0</v>
      </c>
      <c r="I249">
        <f>발송처리!AW249</f>
        <v>0</v>
      </c>
      <c r="K249" t="e">
        <f t="shared" si="5"/>
        <v>#N/A</v>
      </c>
      <c r="L249">
        <f>발송처리!AU249</f>
        <v>0</v>
      </c>
      <c r="M249">
        <f>발송처리!AP249</f>
        <v>0</v>
      </c>
      <c r="N249">
        <f>발송처리!AV249</f>
        <v>0</v>
      </c>
      <c r="O249">
        <f>발송처리!AR249</f>
        <v>0</v>
      </c>
      <c r="P249">
        <f>발송처리!K249</f>
        <v>0</v>
      </c>
      <c r="Q249" s="80">
        <f>발송처리!AC249</f>
        <v>0</v>
      </c>
    </row>
    <row r="250" spans="1:17">
      <c r="A250">
        <f>발송처리!A250</f>
        <v>0</v>
      </c>
      <c r="B250">
        <f>발송처리!M250</f>
        <v>0</v>
      </c>
      <c r="E250" t="e">
        <f>VLOOKUP(발송처리!V250,'상품DB(수정x)'!B:E,2,0)</f>
        <v>#N/A</v>
      </c>
      <c r="F250" s="13" t="e">
        <f>VLOOKUP(발송처리!V250,'상품DB(수정x)'!B:E,4,0)</f>
        <v>#N/A</v>
      </c>
      <c r="G250" s="8">
        <f>발송처리!X250</f>
        <v>0</v>
      </c>
      <c r="I250">
        <f>발송처리!AW250</f>
        <v>0</v>
      </c>
      <c r="K250" t="e">
        <f t="shared" si="5"/>
        <v>#N/A</v>
      </c>
      <c r="L250">
        <f>발송처리!AU250</f>
        <v>0</v>
      </c>
      <c r="M250">
        <f>발송처리!AP250</f>
        <v>0</v>
      </c>
      <c r="N250">
        <f>발송처리!AV250</f>
        <v>0</v>
      </c>
      <c r="O250">
        <f>발송처리!AR250</f>
        <v>0</v>
      </c>
      <c r="P250">
        <f>발송처리!K250</f>
        <v>0</v>
      </c>
      <c r="Q250" s="80">
        <f>발송처리!AC250</f>
        <v>0</v>
      </c>
    </row>
    <row r="251" spans="1:17">
      <c r="A251">
        <f>발송처리!A251</f>
        <v>0</v>
      </c>
      <c r="B251">
        <f>발송처리!M251</f>
        <v>0</v>
      </c>
      <c r="E251" t="e">
        <f>VLOOKUP(발송처리!V251,'상품DB(수정x)'!B:E,2,0)</f>
        <v>#N/A</v>
      </c>
      <c r="F251" s="13" t="e">
        <f>VLOOKUP(발송처리!V251,'상품DB(수정x)'!B:E,4,0)</f>
        <v>#N/A</v>
      </c>
      <c r="G251" s="8">
        <f>발송처리!X251</f>
        <v>0</v>
      </c>
      <c r="I251">
        <f>발송처리!AW251</f>
        <v>0</v>
      </c>
      <c r="K251" t="e">
        <f t="shared" si="5"/>
        <v>#N/A</v>
      </c>
      <c r="L251">
        <f>발송처리!AU251</f>
        <v>0</v>
      </c>
      <c r="M251">
        <f>발송처리!AP251</f>
        <v>0</v>
      </c>
      <c r="N251">
        <f>발송처리!AV251</f>
        <v>0</v>
      </c>
      <c r="O251">
        <f>발송처리!AR251</f>
        <v>0</v>
      </c>
      <c r="P251">
        <f>발송처리!K251</f>
        <v>0</v>
      </c>
      <c r="Q251" s="80">
        <f>발송처리!AC251</f>
        <v>0</v>
      </c>
    </row>
    <row r="252" spans="1:17">
      <c r="A252">
        <f>발송처리!A252</f>
        <v>0</v>
      </c>
      <c r="B252">
        <f>발송처리!M252</f>
        <v>0</v>
      </c>
      <c r="E252" t="e">
        <f>VLOOKUP(발송처리!V252,'상품DB(수정x)'!B:E,2,0)</f>
        <v>#N/A</v>
      </c>
      <c r="F252" s="13" t="e">
        <f>VLOOKUP(발송처리!V252,'상품DB(수정x)'!B:E,4,0)</f>
        <v>#N/A</v>
      </c>
      <c r="G252" s="8">
        <f>발송처리!X252</f>
        <v>0</v>
      </c>
      <c r="I252">
        <f>발송처리!AW252</f>
        <v>0</v>
      </c>
      <c r="K252" t="e">
        <f t="shared" si="5"/>
        <v>#N/A</v>
      </c>
      <c r="L252">
        <f>발송처리!AU252</f>
        <v>0</v>
      </c>
      <c r="M252">
        <f>발송처리!AP252</f>
        <v>0</v>
      </c>
      <c r="N252">
        <f>발송처리!AV252</f>
        <v>0</v>
      </c>
      <c r="O252">
        <f>발송처리!AR252</f>
        <v>0</v>
      </c>
      <c r="P252">
        <f>발송처리!K252</f>
        <v>0</v>
      </c>
      <c r="Q252" s="80">
        <f>발송처리!AC252</f>
        <v>0</v>
      </c>
    </row>
    <row r="253" spans="1:17">
      <c r="A253">
        <f>발송처리!A253</f>
        <v>0</v>
      </c>
      <c r="B253">
        <f>발송처리!M253</f>
        <v>0</v>
      </c>
      <c r="E253" t="e">
        <f>VLOOKUP(발송처리!V253,'상품DB(수정x)'!B:E,2,0)</f>
        <v>#N/A</v>
      </c>
      <c r="F253" s="13" t="e">
        <f>VLOOKUP(발송처리!V253,'상품DB(수정x)'!B:E,4,0)</f>
        <v>#N/A</v>
      </c>
      <c r="G253" s="8">
        <f>발송처리!X253</f>
        <v>0</v>
      </c>
      <c r="I253">
        <f>발송처리!AW253</f>
        <v>0</v>
      </c>
      <c r="K253" t="e">
        <f t="shared" si="5"/>
        <v>#N/A</v>
      </c>
      <c r="L253">
        <f>발송처리!AU253</f>
        <v>0</v>
      </c>
      <c r="M253">
        <f>발송처리!AP253</f>
        <v>0</v>
      </c>
      <c r="N253">
        <f>발송처리!AV253</f>
        <v>0</v>
      </c>
      <c r="O253">
        <f>발송처리!AR253</f>
        <v>0</v>
      </c>
      <c r="P253">
        <f>발송처리!K253</f>
        <v>0</v>
      </c>
      <c r="Q253" s="2">
        <f>발송처리!AC253</f>
        <v>0</v>
      </c>
    </row>
    <row r="254" spans="1:17">
      <c r="A254">
        <f>발송처리!A254</f>
        <v>0</v>
      </c>
      <c r="B254">
        <f>발송처리!M254</f>
        <v>0</v>
      </c>
      <c r="E254" t="e">
        <f>VLOOKUP(발송처리!V254,'상품DB(수정x)'!B:E,2,0)</f>
        <v>#N/A</v>
      </c>
      <c r="F254" s="13" t="e">
        <f>VLOOKUP(발송처리!V254,'상품DB(수정x)'!B:E,4,0)</f>
        <v>#N/A</v>
      </c>
      <c r="G254" s="8">
        <f>발송처리!X254</f>
        <v>0</v>
      </c>
      <c r="I254">
        <f>발송처리!AW254</f>
        <v>0</v>
      </c>
      <c r="K254" t="e">
        <f t="shared" si="5"/>
        <v>#N/A</v>
      </c>
      <c r="L254">
        <f>발송처리!AU254</f>
        <v>0</v>
      </c>
      <c r="M254">
        <f>발송처리!AP254</f>
        <v>0</v>
      </c>
      <c r="N254">
        <f>발송처리!AV254</f>
        <v>0</v>
      </c>
      <c r="O254">
        <f>발송처리!AR254</f>
        <v>0</v>
      </c>
      <c r="P254">
        <f>발송처리!K254</f>
        <v>0</v>
      </c>
      <c r="Q254" s="2">
        <f>발송처리!AC254</f>
        <v>0</v>
      </c>
    </row>
    <row r="255" spans="1:17">
      <c r="A255">
        <f>발송처리!A255</f>
        <v>0</v>
      </c>
      <c r="B255">
        <f>발송처리!M255</f>
        <v>0</v>
      </c>
      <c r="E255" t="e">
        <f>VLOOKUP(발송처리!V255,'상품DB(수정x)'!B:E,2,0)</f>
        <v>#N/A</v>
      </c>
      <c r="F255" s="13" t="e">
        <f>VLOOKUP(발송처리!V255,'상품DB(수정x)'!B:E,4,0)</f>
        <v>#N/A</v>
      </c>
      <c r="G255" s="8">
        <f>발송처리!X255</f>
        <v>0</v>
      </c>
      <c r="I255">
        <f>발송처리!AW255</f>
        <v>0</v>
      </c>
      <c r="K255" t="e">
        <f t="shared" si="5"/>
        <v>#N/A</v>
      </c>
      <c r="L255">
        <f>발송처리!AU255</f>
        <v>0</v>
      </c>
      <c r="M255">
        <f>발송처리!AP255</f>
        <v>0</v>
      </c>
      <c r="N255">
        <f>발송처리!AV255</f>
        <v>0</v>
      </c>
      <c r="O255">
        <f>발송처리!AR255</f>
        <v>0</v>
      </c>
      <c r="P255">
        <f>발송처리!K255</f>
        <v>0</v>
      </c>
      <c r="Q255" s="2">
        <f>발송처리!AC255</f>
        <v>0</v>
      </c>
    </row>
    <row r="256" spans="1:17">
      <c r="A256">
        <f>발송처리!A256</f>
        <v>0</v>
      </c>
      <c r="B256">
        <f>발송처리!M256</f>
        <v>0</v>
      </c>
      <c r="E256" t="e">
        <f>VLOOKUP(발송처리!V256,'상품DB(수정x)'!B:E,2,0)</f>
        <v>#N/A</v>
      </c>
      <c r="F256" s="13" t="e">
        <f>VLOOKUP(발송처리!V256,'상품DB(수정x)'!B:E,4,0)</f>
        <v>#N/A</v>
      </c>
      <c r="G256" s="8">
        <f>발송처리!X256</f>
        <v>0</v>
      </c>
      <c r="I256">
        <f>발송처리!AW256</f>
        <v>0</v>
      </c>
      <c r="K256" t="e">
        <f t="shared" si="5"/>
        <v>#N/A</v>
      </c>
      <c r="L256">
        <f>발송처리!AU256</f>
        <v>0</v>
      </c>
      <c r="M256">
        <f>발송처리!AP256</f>
        <v>0</v>
      </c>
      <c r="N256">
        <f>발송처리!AV256</f>
        <v>0</v>
      </c>
      <c r="O256">
        <f>발송처리!AR256</f>
        <v>0</v>
      </c>
      <c r="P256">
        <f>발송처리!K256</f>
        <v>0</v>
      </c>
      <c r="Q256" s="2">
        <f>발송처리!AC256</f>
        <v>0</v>
      </c>
    </row>
    <row r="257" spans="1:17">
      <c r="A257">
        <f>발송처리!A257</f>
        <v>0</v>
      </c>
      <c r="B257">
        <f>발송처리!M257</f>
        <v>0</v>
      </c>
      <c r="E257" t="e">
        <f>VLOOKUP(발송처리!V257,'상품DB(수정x)'!B:E,2,0)</f>
        <v>#N/A</v>
      </c>
      <c r="F257" s="13" t="e">
        <f>VLOOKUP(발송처리!V257,'상품DB(수정x)'!B:E,4,0)</f>
        <v>#N/A</v>
      </c>
      <c r="G257" s="8">
        <f>발송처리!X257</f>
        <v>0</v>
      </c>
      <c r="I257">
        <f>발송처리!AW257</f>
        <v>0</v>
      </c>
      <c r="K257" t="e">
        <f t="shared" si="5"/>
        <v>#N/A</v>
      </c>
      <c r="L257">
        <f>발송처리!AU257</f>
        <v>0</v>
      </c>
      <c r="M257">
        <f>발송처리!AP257</f>
        <v>0</v>
      </c>
      <c r="N257">
        <f>발송처리!AV257</f>
        <v>0</v>
      </c>
      <c r="O257">
        <f>발송처리!AR257</f>
        <v>0</v>
      </c>
      <c r="P257">
        <f>발송처리!K257</f>
        <v>0</v>
      </c>
      <c r="Q257" s="2">
        <f>발송처리!AC257</f>
        <v>0</v>
      </c>
    </row>
    <row r="258" spans="1:17">
      <c r="A258">
        <f>발송처리!A258</f>
        <v>0</v>
      </c>
      <c r="B258">
        <f>발송처리!M258</f>
        <v>0</v>
      </c>
      <c r="E258" t="e">
        <f>VLOOKUP(발송처리!V258,'상품DB(수정x)'!B:E,2,0)</f>
        <v>#N/A</v>
      </c>
      <c r="F258" s="13" t="e">
        <f>VLOOKUP(발송처리!V258,'상품DB(수정x)'!B:E,4,0)</f>
        <v>#N/A</v>
      </c>
      <c r="G258" s="8">
        <f>발송처리!X258</f>
        <v>0</v>
      </c>
      <c r="I258">
        <f>발송처리!AW258</f>
        <v>0</v>
      </c>
      <c r="K258" t="e">
        <f t="shared" si="5"/>
        <v>#N/A</v>
      </c>
      <c r="L258">
        <f>발송처리!AU258</f>
        <v>0</v>
      </c>
      <c r="M258">
        <f>발송처리!AP258</f>
        <v>0</v>
      </c>
      <c r="N258">
        <f>발송처리!AV258</f>
        <v>0</v>
      </c>
      <c r="O258">
        <f>발송처리!AR258</f>
        <v>0</v>
      </c>
      <c r="P258">
        <f>발송처리!K258</f>
        <v>0</v>
      </c>
      <c r="Q258" s="2">
        <f>발송처리!AC258</f>
        <v>0</v>
      </c>
    </row>
    <row r="259" spans="1:17">
      <c r="A259">
        <f>발송처리!A259</f>
        <v>0</v>
      </c>
      <c r="B259">
        <f>발송처리!M259</f>
        <v>0</v>
      </c>
      <c r="E259" t="e">
        <f>VLOOKUP(발송처리!V259,'상품DB(수정x)'!B:E,2,0)</f>
        <v>#N/A</v>
      </c>
      <c r="F259" s="13" t="e">
        <f>VLOOKUP(발송처리!V259,'상품DB(수정x)'!B:E,4,0)</f>
        <v>#N/A</v>
      </c>
      <c r="G259" s="8">
        <f>발송처리!X259</f>
        <v>0</v>
      </c>
      <c r="I259">
        <f>발송처리!AW259</f>
        <v>0</v>
      </c>
      <c r="K259" t="e">
        <f t="shared" ref="K259:K322" si="6">IF(LEFT(E259,1)="2","",IF(LEFT(E259,1)="4","",IF(Q259&gt;=500000,"★증정★테이프20mx2",IF(Q259&gt;=95000,"★증정★테이프20mx1",""))))</f>
        <v>#N/A</v>
      </c>
      <c r="L259">
        <f>발송처리!AU259</f>
        <v>0</v>
      </c>
      <c r="M259">
        <f>발송처리!AP259</f>
        <v>0</v>
      </c>
      <c r="N259">
        <f>발송처리!AV259</f>
        <v>0</v>
      </c>
      <c r="O259">
        <f>발송처리!AR259</f>
        <v>0</v>
      </c>
      <c r="P259">
        <f>발송처리!K259</f>
        <v>0</v>
      </c>
      <c r="Q259" s="2">
        <f>발송처리!AC259</f>
        <v>0</v>
      </c>
    </row>
    <row r="260" spans="1:17">
      <c r="A260">
        <f>발송처리!A260</f>
        <v>0</v>
      </c>
      <c r="B260">
        <f>발송처리!M260</f>
        <v>0</v>
      </c>
      <c r="E260" t="e">
        <f>VLOOKUP(발송처리!V260,'상품DB(수정x)'!B:E,2,0)</f>
        <v>#N/A</v>
      </c>
      <c r="F260" s="13" t="e">
        <f>VLOOKUP(발송처리!V260,'상품DB(수정x)'!B:E,4,0)</f>
        <v>#N/A</v>
      </c>
      <c r="G260" s="8">
        <f>발송처리!X260</f>
        <v>0</v>
      </c>
      <c r="I260">
        <f>발송처리!AW260</f>
        <v>0</v>
      </c>
      <c r="K260" t="e">
        <f t="shared" si="6"/>
        <v>#N/A</v>
      </c>
      <c r="L260">
        <f>발송처리!AU260</f>
        <v>0</v>
      </c>
      <c r="M260">
        <f>발송처리!AP260</f>
        <v>0</v>
      </c>
      <c r="N260">
        <f>발송처리!AV260</f>
        <v>0</v>
      </c>
      <c r="O260">
        <f>발송처리!AR260</f>
        <v>0</v>
      </c>
      <c r="P260">
        <f>발송처리!K260</f>
        <v>0</v>
      </c>
      <c r="Q260" s="2">
        <f>발송처리!AC260</f>
        <v>0</v>
      </c>
    </row>
    <row r="261" spans="1:17">
      <c r="A261">
        <f>발송처리!A261</f>
        <v>0</v>
      </c>
      <c r="B261">
        <f>발송처리!M261</f>
        <v>0</v>
      </c>
      <c r="E261" t="e">
        <f>VLOOKUP(발송처리!V261,'상품DB(수정x)'!B:E,2,0)</f>
        <v>#N/A</v>
      </c>
      <c r="F261" s="13" t="e">
        <f>VLOOKUP(발송처리!V261,'상품DB(수정x)'!B:E,4,0)</f>
        <v>#N/A</v>
      </c>
      <c r="G261" s="8">
        <f>발송처리!X261</f>
        <v>0</v>
      </c>
      <c r="I261">
        <f>발송처리!AW261</f>
        <v>0</v>
      </c>
      <c r="K261" t="e">
        <f t="shared" si="6"/>
        <v>#N/A</v>
      </c>
      <c r="L261">
        <f>발송처리!AU261</f>
        <v>0</v>
      </c>
      <c r="M261">
        <f>발송처리!AP261</f>
        <v>0</v>
      </c>
      <c r="N261">
        <f>발송처리!AV261</f>
        <v>0</v>
      </c>
      <c r="O261">
        <f>발송처리!AR261</f>
        <v>0</v>
      </c>
      <c r="P261">
        <f>발송처리!K261</f>
        <v>0</v>
      </c>
      <c r="Q261" s="2">
        <f>발송처리!AC261</f>
        <v>0</v>
      </c>
    </row>
    <row r="262" spans="1:17">
      <c r="A262">
        <f>발송처리!A262</f>
        <v>0</v>
      </c>
      <c r="B262">
        <f>발송처리!M262</f>
        <v>0</v>
      </c>
      <c r="E262" t="e">
        <f>VLOOKUP(발송처리!V262,'상품DB(수정x)'!B:E,2,0)</f>
        <v>#N/A</v>
      </c>
      <c r="F262" s="13" t="e">
        <f>VLOOKUP(발송처리!V262,'상품DB(수정x)'!B:E,4,0)</f>
        <v>#N/A</v>
      </c>
      <c r="G262" s="8">
        <f>발송처리!X262</f>
        <v>0</v>
      </c>
      <c r="I262">
        <f>발송처리!AW262</f>
        <v>0</v>
      </c>
      <c r="K262" t="e">
        <f t="shared" si="6"/>
        <v>#N/A</v>
      </c>
      <c r="L262">
        <f>발송처리!AU262</f>
        <v>0</v>
      </c>
      <c r="M262">
        <f>발송처리!AP262</f>
        <v>0</v>
      </c>
      <c r="N262">
        <f>발송처리!AV262</f>
        <v>0</v>
      </c>
      <c r="O262">
        <f>발송처리!AR262</f>
        <v>0</v>
      </c>
      <c r="P262">
        <f>발송처리!K262</f>
        <v>0</v>
      </c>
      <c r="Q262" s="2">
        <f>발송처리!AC262</f>
        <v>0</v>
      </c>
    </row>
    <row r="263" spans="1:17">
      <c r="A263">
        <f>발송처리!A263</f>
        <v>0</v>
      </c>
      <c r="B263">
        <f>발송처리!M263</f>
        <v>0</v>
      </c>
      <c r="E263" t="e">
        <f>VLOOKUP(발송처리!V263,'상품DB(수정x)'!B:E,2,0)</f>
        <v>#N/A</v>
      </c>
      <c r="F263" s="13" t="e">
        <f>VLOOKUP(발송처리!V263,'상품DB(수정x)'!B:E,4,0)</f>
        <v>#N/A</v>
      </c>
      <c r="G263" s="8">
        <f>발송처리!X263</f>
        <v>0</v>
      </c>
      <c r="I263">
        <f>발송처리!AW263</f>
        <v>0</v>
      </c>
      <c r="K263" t="e">
        <f t="shared" si="6"/>
        <v>#N/A</v>
      </c>
      <c r="L263">
        <f>발송처리!AU263</f>
        <v>0</v>
      </c>
      <c r="M263">
        <f>발송처리!AP263</f>
        <v>0</v>
      </c>
      <c r="N263">
        <f>발송처리!AV263</f>
        <v>0</v>
      </c>
      <c r="O263">
        <f>발송처리!AR263</f>
        <v>0</v>
      </c>
      <c r="P263">
        <f>발송처리!K263</f>
        <v>0</v>
      </c>
      <c r="Q263" s="2">
        <f>발송처리!AC263</f>
        <v>0</v>
      </c>
    </row>
    <row r="264" spans="1:17">
      <c r="A264">
        <f>발송처리!A264</f>
        <v>0</v>
      </c>
      <c r="B264">
        <f>발송처리!M264</f>
        <v>0</v>
      </c>
      <c r="E264" t="e">
        <f>VLOOKUP(발송처리!V264,'상품DB(수정x)'!B:E,2,0)</f>
        <v>#N/A</v>
      </c>
      <c r="F264" s="13" t="e">
        <f>VLOOKUP(발송처리!V264,'상품DB(수정x)'!B:E,4,0)</f>
        <v>#N/A</v>
      </c>
      <c r="G264" s="8">
        <f>발송처리!X264</f>
        <v>0</v>
      </c>
      <c r="I264">
        <f>발송처리!AW264</f>
        <v>0</v>
      </c>
      <c r="K264" t="e">
        <f t="shared" si="6"/>
        <v>#N/A</v>
      </c>
      <c r="L264">
        <f>발송처리!AU264</f>
        <v>0</v>
      </c>
      <c r="M264">
        <f>발송처리!AP264</f>
        <v>0</v>
      </c>
      <c r="N264">
        <f>발송처리!AV264</f>
        <v>0</v>
      </c>
      <c r="O264">
        <f>발송처리!AR264</f>
        <v>0</v>
      </c>
      <c r="P264">
        <f>발송처리!K264</f>
        <v>0</v>
      </c>
      <c r="Q264" s="2">
        <f>발송처리!AC264</f>
        <v>0</v>
      </c>
    </row>
    <row r="265" spans="1:17">
      <c r="A265">
        <f>발송처리!A265</f>
        <v>0</v>
      </c>
      <c r="B265">
        <f>발송처리!M265</f>
        <v>0</v>
      </c>
      <c r="E265" t="e">
        <f>VLOOKUP(발송처리!V265,'상품DB(수정x)'!B:E,2,0)</f>
        <v>#N/A</v>
      </c>
      <c r="F265" s="13" t="e">
        <f>VLOOKUP(발송처리!V265,'상품DB(수정x)'!B:E,4,0)</f>
        <v>#N/A</v>
      </c>
      <c r="G265" s="8">
        <f>발송처리!X265</f>
        <v>0</v>
      </c>
      <c r="I265">
        <f>발송처리!AW265</f>
        <v>0</v>
      </c>
      <c r="K265" t="e">
        <f t="shared" si="6"/>
        <v>#N/A</v>
      </c>
      <c r="L265">
        <f>발송처리!AU265</f>
        <v>0</v>
      </c>
      <c r="M265">
        <f>발송처리!AP265</f>
        <v>0</v>
      </c>
      <c r="N265">
        <f>발송처리!AV265</f>
        <v>0</v>
      </c>
      <c r="O265">
        <f>발송처리!AR265</f>
        <v>0</v>
      </c>
      <c r="P265">
        <f>발송처리!K265</f>
        <v>0</v>
      </c>
      <c r="Q265" s="2">
        <f>발송처리!AC265</f>
        <v>0</v>
      </c>
    </row>
    <row r="266" spans="1:17">
      <c r="A266">
        <f>발송처리!A266</f>
        <v>0</v>
      </c>
      <c r="B266">
        <f>발송처리!M266</f>
        <v>0</v>
      </c>
      <c r="E266" t="e">
        <f>VLOOKUP(발송처리!V266,'상품DB(수정x)'!B:E,2,0)</f>
        <v>#N/A</v>
      </c>
      <c r="F266" s="13" t="e">
        <f>VLOOKUP(발송처리!V266,'상품DB(수정x)'!B:E,4,0)</f>
        <v>#N/A</v>
      </c>
      <c r="G266" s="8">
        <f>발송처리!X266</f>
        <v>0</v>
      </c>
      <c r="I266">
        <f>발송처리!AW266</f>
        <v>0</v>
      </c>
      <c r="K266" t="e">
        <f t="shared" si="6"/>
        <v>#N/A</v>
      </c>
      <c r="L266">
        <f>발송처리!AU266</f>
        <v>0</v>
      </c>
      <c r="M266">
        <f>발송처리!AP266</f>
        <v>0</v>
      </c>
      <c r="N266">
        <f>발송처리!AV266</f>
        <v>0</v>
      </c>
      <c r="O266">
        <f>발송처리!AR266</f>
        <v>0</v>
      </c>
      <c r="P266">
        <f>발송처리!K266</f>
        <v>0</v>
      </c>
      <c r="Q266" s="2">
        <f>발송처리!AC266</f>
        <v>0</v>
      </c>
    </row>
    <row r="267" spans="1:17">
      <c r="A267">
        <f>발송처리!A267</f>
        <v>0</v>
      </c>
      <c r="B267">
        <f>발송처리!M267</f>
        <v>0</v>
      </c>
      <c r="E267" t="e">
        <f>VLOOKUP(발송처리!V267,'상품DB(수정x)'!B:E,2,0)</f>
        <v>#N/A</v>
      </c>
      <c r="F267" s="13" t="e">
        <f>VLOOKUP(발송처리!V267,'상품DB(수정x)'!B:E,4,0)</f>
        <v>#N/A</v>
      </c>
      <c r="G267" s="8">
        <f>발송처리!X267</f>
        <v>0</v>
      </c>
      <c r="I267">
        <f>발송처리!AW267</f>
        <v>0</v>
      </c>
      <c r="K267" t="e">
        <f t="shared" si="6"/>
        <v>#N/A</v>
      </c>
      <c r="L267">
        <f>발송처리!AU267</f>
        <v>0</v>
      </c>
      <c r="M267">
        <f>발송처리!AP267</f>
        <v>0</v>
      </c>
      <c r="N267">
        <f>발송처리!AV267</f>
        <v>0</v>
      </c>
      <c r="O267">
        <f>발송처리!AR267</f>
        <v>0</v>
      </c>
      <c r="P267">
        <f>발송처리!K267</f>
        <v>0</v>
      </c>
      <c r="Q267" s="2">
        <f>발송처리!AC267</f>
        <v>0</v>
      </c>
    </row>
    <row r="268" spans="1:17">
      <c r="A268">
        <f>발송처리!A268</f>
        <v>0</v>
      </c>
      <c r="B268">
        <f>발송처리!M268</f>
        <v>0</v>
      </c>
      <c r="E268" t="e">
        <f>VLOOKUP(발송처리!V268,'상품DB(수정x)'!B:E,2,0)</f>
        <v>#N/A</v>
      </c>
      <c r="F268" s="13" t="e">
        <f>VLOOKUP(발송처리!V268,'상품DB(수정x)'!B:E,4,0)</f>
        <v>#N/A</v>
      </c>
      <c r="G268" s="8">
        <f>발송처리!X268</f>
        <v>0</v>
      </c>
      <c r="I268">
        <f>발송처리!AW268</f>
        <v>0</v>
      </c>
      <c r="K268" t="e">
        <f t="shared" si="6"/>
        <v>#N/A</v>
      </c>
      <c r="L268">
        <f>발송처리!AU268</f>
        <v>0</v>
      </c>
      <c r="M268">
        <f>발송처리!AP268</f>
        <v>0</v>
      </c>
      <c r="N268">
        <f>발송처리!AV268</f>
        <v>0</v>
      </c>
      <c r="O268">
        <f>발송처리!AR268</f>
        <v>0</v>
      </c>
      <c r="P268">
        <f>발송처리!K268</f>
        <v>0</v>
      </c>
      <c r="Q268" s="2">
        <f>발송처리!AC268</f>
        <v>0</v>
      </c>
    </row>
    <row r="269" spans="1:17">
      <c r="A269">
        <f>발송처리!A269</f>
        <v>0</v>
      </c>
      <c r="B269">
        <f>발송처리!M269</f>
        <v>0</v>
      </c>
      <c r="E269" t="e">
        <f>VLOOKUP(발송처리!V269,'상품DB(수정x)'!B:E,2,0)</f>
        <v>#N/A</v>
      </c>
      <c r="F269" s="13" t="e">
        <f>VLOOKUP(발송처리!V269,'상품DB(수정x)'!B:E,4,0)</f>
        <v>#N/A</v>
      </c>
      <c r="G269" s="8">
        <f>발송처리!X269</f>
        <v>0</v>
      </c>
      <c r="I269">
        <f>발송처리!AW269</f>
        <v>0</v>
      </c>
      <c r="K269" t="e">
        <f t="shared" si="6"/>
        <v>#N/A</v>
      </c>
      <c r="L269">
        <f>발송처리!AU269</f>
        <v>0</v>
      </c>
      <c r="M269">
        <f>발송처리!AP269</f>
        <v>0</v>
      </c>
      <c r="N269">
        <f>발송처리!AV269</f>
        <v>0</v>
      </c>
      <c r="O269">
        <f>발송처리!AR269</f>
        <v>0</v>
      </c>
      <c r="P269">
        <f>발송처리!K269</f>
        <v>0</v>
      </c>
      <c r="Q269" s="2">
        <f>발송처리!AC269</f>
        <v>0</v>
      </c>
    </row>
    <row r="270" spans="1:17">
      <c r="A270">
        <f>발송처리!A270</f>
        <v>0</v>
      </c>
      <c r="B270">
        <f>발송처리!M270</f>
        <v>0</v>
      </c>
      <c r="E270" t="e">
        <f>VLOOKUP(발송처리!V270,'상품DB(수정x)'!B:E,2,0)</f>
        <v>#N/A</v>
      </c>
      <c r="F270" s="13" t="e">
        <f>VLOOKUP(발송처리!V270,'상품DB(수정x)'!B:E,4,0)</f>
        <v>#N/A</v>
      </c>
      <c r="G270" s="8">
        <f>발송처리!X270</f>
        <v>0</v>
      </c>
      <c r="I270">
        <f>발송처리!AW270</f>
        <v>0</v>
      </c>
      <c r="K270" t="e">
        <f t="shared" si="6"/>
        <v>#N/A</v>
      </c>
      <c r="L270">
        <f>발송처리!AU270</f>
        <v>0</v>
      </c>
      <c r="M270">
        <f>발송처리!AP270</f>
        <v>0</v>
      </c>
      <c r="N270">
        <f>발송처리!AV270</f>
        <v>0</v>
      </c>
      <c r="O270">
        <f>발송처리!AR270</f>
        <v>0</v>
      </c>
      <c r="P270">
        <f>발송처리!K270</f>
        <v>0</v>
      </c>
      <c r="Q270" s="2">
        <f>발송처리!AC270</f>
        <v>0</v>
      </c>
    </row>
    <row r="271" spans="1:17">
      <c r="A271">
        <f>발송처리!A271</f>
        <v>0</v>
      </c>
      <c r="B271">
        <f>발송처리!M271</f>
        <v>0</v>
      </c>
      <c r="E271" t="e">
        <f>VLOOKUP(발송처리!V271,'상품DB(수정x)'!B:E,2,0)</f>
        <v>#N/A</v>
      </c>
      <c r="F271" s="13" t="e">
        <f>VLOOKUP(발송처리!V271,'상품DB(수정x)'!B:E,4,0)</f>
        <v>#N/A</v>
      </c>
      <c r="G271" s="8">
        <f>발송처리!X271</f>
        <v>0</v>
      </c>
      <c r="I271">
        <f>발송처리!AW271</f>
        <v>0</v>
      </c>
      <c r="K271" t="e">
        <f t="shared" si="6"/>
        <v>#N/A</v>
      </c>
      <c r="L271">
        <f>발송처리!AU271</f>
        <v>0</v>
      </c>
      <c r="M271">
        <f>발송처리!AP271</f>
        <v>0</v>
      </c>
      <c r="N271">
        <f>발송처리!AV271</f>
        <v>0</v>
      </c>
      <c r="O271">
        <f>발송처리!AR271</f>
        <v>0</v>
      </c>
      <c r="P271">
        <f>발송처리!K271</f>
        <v>0</v>
      </c>
      <c r="Q271" s="2">
        <f>발송처리!AC271</f>
        <v>0</v>
      </c>
    </row>
    <row r="272" spans="1:17">
      <c r="A272">
        <f>발송처리!A272</f>
        <v>0</v>
      </c>
      <c r="B272">
        <f>발송처리!M272</f>
        <v>0</v>
      </c>
      <c r="E272" t="e">
        <f>VLOOKUP(발송처리!V272,'상품DB(수정x)'!B:E,2,0)</f>
        <v>#N/A</v>
      </c>
      <c r="F272" s="13" t="e">
        <f>VLOOKUP(발송처리!V272,'상품DB(수정x)'!B:E,4,0)</f>
        <v>#N/A</v>
      </c>
      <c r="G272" s="8">
        <f>발송처리!X272</f>
        <v>0</v>
      </c>
      <c r="I272">
        <f>발송처리!AW272</f>
        <v>0</v>
      </c>
      <c r="K272" t="e">
        <f t="shared" si="6"/>
        <v>#N/A</v>
      </c>
      <c r="L272">
        <f>발송처리!AU272</f>
        <v>0</v>
      </c>
      <c r="M272">
        <f>발송처리!AP272</f>
        <v>0</v>
      </c>
      <c r="N272">
        <f>발송처리!AV272</f>
        <v>0</v>
      </c>
      <c r="O272">
        <f>발송처리!AR272</f>
        <v>0</v>
      </c>
      <c r="P272">
        <f>발송처리!K272</f>
        <v>0</v>
      </c>
      <c r="Q272" s="2">
        <f>발송처리!AC272</f>
        <v>0</v>
      </c>
    </row>
    <row r="273" spans="1:17">
      <c r="A273">
        <f>발송처리!A273</f>
        <v>0</v>
      </c>
      <c r="B273">
        <f>발송처리!M273</f>
        <v>0</v>
      </c>
      <c r="E273" t="e">
        <f>VLOOKUP(발송처리!V273,'상품DB(수정x)'!B:E,2,0)</f>
        <v>#N/A</v>
      </c>
      <c r="F273" s="13" t="e">
        <f>VLOOKUP(발송처리!V273,'상품DB(수정x)'!B:E,4,0)</f>
        <v>#N/A</v>
      </c>
      <c r="G273" s="8">
        <f>발송처리!X273</f>
        <v>0</v>
      </c>
      <c r="I273">
        <f>발송처리!AW273</f>
        <v>0</v>
      </c>
      <c r="K273" t="e">
        <f t="shared" si="6"/>
        <v>#N/A</v>
      </c>
      <c r="L273">
        <f>발송처리!AU273</f>
        <v>0</v>
      </c>
      <c r="M273">
        <f>발송처리!AP273</f>
        <v>0</v>
      </c>
      <c r="N273">
        <f>발송처리!AV273</f>
        <v>0</v>
      </c>
      <c r="O273">
        <f>발송처리!AR273</f>
        <v>0</v>
      </c>
      <c r="P273">
        <f>발송처리!K273</f>
        <v>0</v>
      </c>
      <c r="Q273" s="2">
        <f>발송처리!AC273</f>
        <v>0</v>
      </c>
    </row>
    <row r="274" spans="1:17">
      <c r="A274">
        <f>발송처리!A274</f>
        <v>0</v>
      </c>
      <c r="B274">
        <f>발송처리!M274</f>
        <v>0</v>
      </c>
      <c r="E274" t="e">
        <f>VLOOKUP(발송처리!V274,'상품DB(수정x)'!B:E,2,0)</f>
        <v>#N/A</v>
      </c>
      <c r="F274" s="13" t="e">
        <f>VLOOKUP(발송처리!V274,'상품DB(수정x)'!B:E,4,0)</f>
        <v>#N/A</v>
      </c>
      <c r="G274" s="8">
        <f>발송처리!X274</f>
        <v>0</v>
      </c>
      <c r="I274">
        <f>발송처리!AW274</f>
        <v>0</v>
      </c>
      <c r="K274" t="e">
        <f t="shared" si="6"/>
        <v>#N/A</v>
      </c>
      <c r="L274">
        <f>발송처리!AU274</f>
        <v>0</v>
      </c>
      <c r="M274">
        <f>발송처리!AP274</f>
        <v>0</v>
      </c>
      <c r="N274">
        <f>발송처리!AV274</f>
        <v>0</v>
      </c>
      <c r="O274">
        <f>발송처리!AR274</f>
        <v>0</v>
      </c>
      <c r="P274">
        <f>발송처리!K274</f>
        <v>0</v>
      </c>
      <c r="Q274" s="2">
        <f>발송처리!AC274</f>
        <v>0</v>
      </c>
    </row>
    <row r="275" spans="1:17">
      <c r="A275">
        <f>발송처리!A275</f>
        <v>0</v>
      </c>
      <c r="B275">
        <f>발송처리!M275</f>
        <v>0</v>
      </c>
      <c r="E275" t="e">
        <f>VLOOKUP(발송처리!V275,'상품DB(수정x)'!B:E,2,0)</f>
        <v>#N/A</v>
      </c>
      <c r="F275" s="13" t="e">
        <f>VLOOKUP(발송처리!V275,'상품DB(수정x)'!B:E,4,0)</f>
        <v>#N/A</v>
      </c>
      <c r="G275" s="8">
        <f>발송처리!X275</f>
        <v>0</v>
      </c>
      <c r="I275">
        <f>발송처리!AW275</f>
        <v>0</v>
      </c>
      <c r="K275" t="e">
        <f t="shared" si="6"/>
        <v>#N/A</v>
      </c>
      <c r="L275">
        <f>발송처리!AU275</f>
        <v>0</v>
      </c>
      <c r="M275">
        <f>발송처리!AP275</f>
        <v>0</v>
      </c>
      <c r="N275">
        <f>발송처리!AV275</f>
        <v>0</v>
      </c>
      <c r="O275">
        <f>발송처리!AR275</f>
        <v>0</v>
      </c>
      <c r="P275">
        <f>발송처리!K275</f>
        <v>0</v>
      </c>
      <c r="Q275" s="2">
        <f>발송처리!AC275</f>
        <v>0</v>
      </c>
    </row>
    <row r="276" spans="1:17">
      <c r="A276">
        <f>발송처리!A276</f>
        <v>0</v>
      </c>
      <c r="B276">
        <f>발송처리!M276</f>
        <v>0</v>
      </c>
      <c r="E276" t="e">
        <f>VLOOKUP(발송처리!V276,'상품DB(수정x)'!B:E,2,0)</f>
        <v>#N/A</v>
      </c>
      <c r="F276" s="13" t="e">
        <f>VLOOKUP(발송처리!V276,'상품DB(수정x)'!B:E,4,0)</f>
        <v>#N/A</v>
      </c>
      <c r="G276" s="8">
        <f>발송처리!X276</f>
        <v>0</v>
      </c>
      <c r="I276">
        <f>발송처리!AW276</f>
        <v>0</v>
      </c>
      <c r="K276" t="e">
        <f t="shared" si="6"/>
        <v>#N/A</v>
      </c>
      <c r="L276">
        <f>발송처리!AU276</f>
        <v>0</v>
      </c>
      <c r="M276">
        <f>발송처리!AP276</f>
        <v>0</v>
      </c>
      <c r="N276">
        <f>발송처리!AV276</f>
        <v>0</v>
      </c>
      <c r="O276">
        <f>발송처리!AR276</f>
        <v>0</v>
      </c>
      <c r="P276">
        <f>발송처리!K276</f>
        <v>0</v>
      </c>
      <c r="Q276" s="2">
        <f>발송처리!AC276</f>
        <v>0</v>
      </c>
    </row>
    <row r="277" spans="1:17">
      <c r="A277">
        <f>발송처리!A277</f>
        <v>0</v>
      </c>
      <c r="B277">
        <f>발송처리!M277</f>
        <v>0</v>
      </c>
      <c r="E277" t="e">
        <f>VLOOKUP(발송처리!V277,'상품DB(수정x)'!B:E,2,0)</f>
        <v>#N/A</v>
      </c>
      <c r="F277" s="13" t="e">
        <f>VLOOKUP(발송처리!V277,'상품DB(수정x)'!B:E,4,0)</f>
        <v>#N/A</v>
      </c>
      <c r="G277" s="8">
        <f>발송처리!X277</f>
        <v>0</v>
      </c>
      <c r="I277">
        <f>발송처리!AW277</f>
        <v>0</v>
      </c>
      <c r="K277" t="e">
        <f t="shared" si="6"/>
        <v>#N/A</v>
      </c>
      <c r="L277">
        <f>발송처리!AU277</f>
        <v>0</v>
      </c>
      <c r="M277">
        <f>발송처리!AP277</f>
        <v>0</v>
      </c>
      <c r="N277">
        <f>발송처리!AV277</f>
        <v>0</v>
      </c>
      <c r="O277">
        <f>발송처리!AR277</f>
        <v>0</v>
      </c>
      <c r="P277">
        <f>발송처리!K277</f>
        <v>0</v>
      </c>
      <c r="Q277" s="2">
        <f>발송처리!AC277</f>
        <v>0</v>
      </c>
    </row>
    <row r="278" spans="1:17">
      <c r="A278">
        <f>발송처리!A278</f>
        <v>0</v>
      </c>
      <c r="B278">
        <f>발송처리!M278</f>
        <v>0</v>
      </c>
      <c r="E278" t="e">
        <f>VLOOKUP(발송처리!V278,'상품DB(수정x)'!B:E,2,0)</f>
        <v>#N/A</v>
      </c>
      <c r="F278" s="13" t="e">
        <f>VLOOKUP(발송처리!V278,'상품DB(수정x)'!B:E,4,0)</f>
        <v>#N/A</v>
      </c>
      <c r="G278" s="8">
        <f>발송처리!X278</f>
        <v>0</v>
      </c>
      <c r="I278">
        <f>발송처리!AW278</f>
        <v>0</v>
      </c>
      <c r="K278" t="e">
        <f t="shared" si="6"/>
        <v>#N/A</v>
      </c>
      <c r="L278">
        <f>발송처리!AU278</f>
        <v>0</v>
      </c>
      <c r="M278">
        <f>발송처리!AP278</f>
        <v>0</v>
      </c>
      <c r="N278">
        <f>발송처리!AV278</f>
        <v>0</v>
      </c>
      <c r="O278">
        <f>발송처리!AR278</f>
        <v>0</v>
      </c>
      <c r="P278">
        <f>발송처리!K278</f>
        <v>0</v>
      </c>
      <c r="Q278" s="2">
        <f>발송처리!AC278</f>
        <v>0</v>
      </c>
    </row>
    <row r="279" spans="1:17">
      <c r="A279">
        <f>발송처리!A279</f>
        <v>0</v>
      </c>
      <c r="B279">
        <f>발송처리!M279</f>
        <v>0</v>
      </c>
      <c r="E279" t="e">
        <f>VLOOKUP(발송처리!V279,'상품DB(수정x)'!B:E,2,0)</f>
        <v>#N/A</v>
      </c>
      <c r="F279" s="13" t="e">
        <f>VLOOKUP(발송처리!V279,'상품DB(수정x)'!B:E,4,0)</f>
        <v>#N/A</v>
      </c>
      <c r="G279" s="8">
        <f>발송처리!X279</f>
        <v>0</v>
      </c>
      <c r="I279">
        <f>발송처리!AW279</f>
        <v>0</v>
      </c>
      <c r="K279" t="e">
        <f t="shared" si="6"/>
        <v>#N/A</v>
      </c>
      <c r="L279">
        <f>발송처리!AU279</f>
        <v>0</v>
      </c>
      <c r="M279">
        <f>발송처리!AP279</f>
        <v>0</v>
      </c>
      <c r="N279">
        <f>발송처리!AV279</f>
        <v>0</v>
      </c>
      <c r="O279">
        <f>발송처리!AR279</f>
        <v>0</v>
      </c>
      <c r="P279">
        <f>발송처리!K279</f>
        <v>0</v>
      </c>
      <c r="Q279" s="2">
        <f>발송처리!AC279</f>
        <v>0</v>
      </c>
    </row>
    <row r="280" spans="1:17">
      <c r="A280">
        <f>발송처리!A280</f>
        <v>0</v>
      </c>
      <c r="B280">
        <f>발송처리!M280</f>
        <v>0</v>
      </c>
      <c r="E280" t="e">
        <f>VLOOKUP(발송처리!V280,'상품DB(수정x)'!B:E,2,0)</f>
        <v>#N/A</v>
      </c>
      <c r="F280" s="13" t="e">
        <f>VLOOKUP(발송처리!V280,'상품DB(수정x)'!B:E,4,0)</f>
        <v>#N/A</v>
      </c>
      <c r="G280" s="8">
        <f>발송처리!X280</f>
        <v>0</v>
      </c>
      <c r="I280">
        <f>발송처리!AW280</f>
        <v>0</v>
      </c>
      <c r="K280" t="e">
        <f t="shared" si="6"/>
        <v>#N/A</v>
      </c>
      <c r="L280">
        <f>발송처리!AU280</f>
        <v>0</v>
      </c>
      <c r="M280">
        <f>발송처리!AP280</f>
        <v>0</v>
      </c>
      <c r="N280">
        <f>발송처리!AV280</f>
        <v>0</v>
      </c>
      <c r="O280">
        <f>발송처리!AR280</f>
        <v>0</v>
      </c>
      <c r="P280">
        <f>발송처리!K280</f>
        <v>0</v>
      </c>
      <c r="Q280" s="2">
        <f>발송처리!AC280</f>
        <v>0</v>
      </c>
    </row>
    <row r="281" spans="1:17">
      <c r="A281">
        <f>발송처리!A281</f>
        <v>0</v>
      </c>
      <c r="B281">
        <f>발송처리!M281</f>
        <v>0</v>
      </c>
      <c r="E281" t="e">
        <f>VLOOKUP(발송처리!V281,'상품DB(수정x)'!B:E,2,0)</f>
        <v>#N/A</v>
      </c>
      <c r="F281" s="13" t="e">
        <f>VLOOKUP(발송처리!V281,'상품DB(수정x)'!B:E,4,0)</f>
        <v>#N/A</v>
      </c>
      <c r="G281" s="8">
        <f>발송처리!X281</f>
        <v>0</v>
      </c>
      <c r="I281">
        <f>발송처리!AW281</f>
        <v>0</v>
      </c>
      <c r="K281" t="e">
        <f t="shared" si="6"/>
        <v>#N/A</v>
      </c>
      <c r="L281">
        <f>발송처리!AU281</f>
        <v>0</v>
      </c>
      <c r="M281">
        <f>발송처리!AP281</f>
        <v>0</v>
      </c>
      <c r="N281">
        <f>발송처리!AV281</f>
        <v>0</v>
      </c>
      <c r="O281">
        <f>발송처리!AR281</f>
        <v>0</v>
      </c>
      <c r="P281">
        <f>발송처리!K281</f>
        <v>0</v>
      </c>
      <c r="Q281" s="2">
        <f>발송처리!AC281</f>
        <v>0</v>
      </c>
    </row>
    <row r="282" spans="1:17">
      <c r="A282">
        <f>발송처리!A282</f>
        <v>0</v>
      </c>
      <c r="B282">
        <f>발송처리!M282</f>
        <v>0</v>
      </c>
      <c r="E282" t="e">
        <f>VLOOKUP(발송처리!V282,'상품DB(수정x)'!B:E,2,0)</f>
        <v>#N/A</v>
      </c>
      <c r="F282" s="13" t="e">
        <f>VLOOKUP(발송처리!V282,'상품DB(수정x)'!B:E,4,0)</f>
        <v>#N/A</v>
      </c>
      <c r="G282" s="8">
        <f>발송처리!X282</f>
        <v>0</v>
      </c>
      <c r="I282">
        <f>발송처리!AW282</f>
        <v>0</v>
      </c>
      <c r="K282" t="e">
        <f t="shared" si="6"/>
        <v>#N/A</v>
      </c>
      <c r="L282">
        <f>발송처리!AU282</f>
        <v>0</v>
      </c>
      <c r="M282">
        <f>발송처리!AP282</f>
        <v>0</v>
      </c>
      <c r="N282">
        <f>발송처리!AV282</f>
        <v>0</v>
      </c>
      <c r="O282">
        <f>발송처리!AR282</f>
        <v>0</v>
      </c>
      <c r="P282">
        <f>발송처리!K282</f>
        <v>0</v>
      </c>
      <c r="Q282" s="2">
        <f>발송처리!AC282</f>
        <v>0</v>
      </c>
    </row>
    <row r="283" spans="1:17">
      <c r="A283">
        <f>발송처리!A283</f>
        <v>0</v>
      </c>
      <c r="B283">
        <f>발송처리!M283</f>
        <v>0</v>
      </c>
      <c r="E283" t="e">
        <f>VLOOKUP(발송처리!V283,'상품DB(수정x)'!B:E,2,0)</f>
        <v>#N/A</v>
      </c>
      <c r="F283" s="13" t="e">
        <f>VLOOKUP(발송처리!V283,'상품DB(수정x)'!B:E,4,0)</f>
        <v>#N/A</v>
      </c>
      <c r="G283" s="8">
        <f>발송처리!X283</f>
        <v>0</v>
      </c>
      <c r="I283">
        <f>발송처리!AW283</f>
        <v>0</v>
      </c>
      <c r="K283" t="e">
        <f t="shared" si="6"/>
        <v>#N/A</v>
      </c>
      <c r="L283">
        <f>발송처리!AU283</f>
        <v>0</v>
      </c>
      <c r="M283">
        <f>발송처리!AP283</f>
        <v>0</v>
      </c>
      <c r="N283">
        <f>발송처리!AV283</f>
        <v>0</v>
      </c>
      <c r="O283">
        <f>발송처리!AR283</f>
        <v>0</v>
      </c>
      <c r="P283">
        <f>발송처리!K283</f>
        <v>0</v>
      </c>
      <c r="Q283" s="2">
        <f>발송처리!AC283</f>
        <v>0</v>
      </c>
    </row>
    <row r="284" spans="1:17">
      <c r="A284">
        <f>발송처리!A284</f>
        <v>0</v>
      </c>
      <c r="B284">
        <f>발송처리!M284</f>
        <v>0</v>
      </c>
      <c r="E284" t="e">
        <f>VLOOKUP(발송처리!V284,'상품DB(수정x)'!B:E,2,0)</f>
        <v>#N/A</v>
      </c>
      <c r="F284" s="13" t="e">
        <f>VLOOKUP(발송처리!V284,'상품DB(수정x)'!B:E,4,0)</f>
        <v>#N/A</v>
      </c>
      <c r="G284" s="8">
        <f>발송처리!X284</f>
        <v>0</v>
      </c>
      <c r="I284">
        <f>발송처리!AW284</f>
        <v>0</v>
      </c>
      <c r="K284" t="e">
        <f t="shared" si="6"/>
        <v>#N/A</v>
      </c>
      <c r="L284">
        <f>발송처리!AU284</f>
        <v>0</v>
      </c>
      <c r="M284">
        <f>발송처리!AP284</f>
        <v>0</v>
      </c>
      <c r="N284">
        <f>발송처리!AV284</f>
        <v>0</v>
      </c>
      <c r="O284">
        <f>발송처리!AR284</f>
        <v>0</v>
      </c>
      <c r="P284">
        <f>발송처리!K284</f>
        <v>0</v>
      </c>
      <c r="Q284" s="2">
        <f>발송처리!AC284</f>
        <v>0</v>
      </c>
    </row>
    <row r="285" spans="1:17">
      <c r="A285">
        <f>발송처리!A285</f>
        <v>0</v>
      </c>
      <c r="B285">
        <f>발송처리!M285</f>
        <v>0</v>
      </c>
      <c r="E285" t="e">
        <f>VLOOKUP(발송처리!V285,'상품DB(수정x)'!B:E,2,0)</f>
        <v>#N/A</v>
      </c>
      <c r="F285" s="13" t="e">
        <f>VLOOKUP(발송처리!V285,'상품DB(수정x)'!B:E,4,0)</f>
        <v>#N/A</v>
      </c>
      <c r="G285" s="8">
        <f>발송처리!X285</f>
        <v>0</v>
      </c>
      <c r="I285">
        <f>발송처리!AW285</f>
        <v>0</v>
      </c>
      <c r="K285" t="e">
        <f t="shared" si="6"/>
        <v>#N/A</v>
      </c>
      <c r="L285">
        <f>발송처리!AU285</f>
        <v>0</v>
      </c>
      <c r="M285">
        <f>발송처리!AP285</f>
        <v>0</v>
      </c>
      <c r="N285">
        <f>발송처리!AV285</f>
        <v>0</v>
      </c>
      <c r="O285">
        <f>발송처리!AR285</f>
        <v>0</v>
      </c>
      <c r="P285">
        <f>발송처리!K285</f>
        <v>0</v>
      </c>
      <c r="Q285" s="2">
        <f>발송처리!AC285</f>
        <v>0</v>
      </c>
    </row>
    <row r="286" spans="1:17">
      <c r="A286">
        <f>발송처리!A286</f>
        <v>0</v>
      </c>
      <c r="B286">
        <f>발송처리!M286</f>
        <v>0</v>
      </c>
      <c r="E286" t="e">
        <f>VLOOKUP(발송처리!V286,'상품DB(수정x)'!B:E,2,0)</f>
        <v>#N/A</v>
      </c>
      <c r="F286" s="13" t="e">
        <f>VLOOKUP(발송처리!V286,'상품DB(수정x)'!B:E,4,0)</f>
        <v>#N/A</v>
      </c>
      <c r="G286" s="8">
        <f>발송처리!X286</f>
        <v>0</v>
      </c>
      <c r="I286">
        <f>발송처리!AW286</f>
        <v>0</v>
      </c>
      <c r="K286" t="e">
        <f t="shared" si="6"/>
        <v>#N/A</v>
      </c>
      <c r="L286">
        <f>발송처리!AU286</f>
        <v>0</v>
      </c>
      <c r="M286">
        <f>발송처리!AP286</f>
        <v>0</v>
      </c>
      <c r="N286">
        <f>발송처리!AV286</f>
        <v>0</v>
      </c>
      <c r="O286">
        <f>발송처리!AR286</f>
        <v>0</v>
      </c>
      <c r="P286">
        <f>발송처리!K286</f>
        <v>0</v>
      </c>
      <c r="Q286" s="2">
        <f>발송처리!AC286</f>
        <v>0</v>
      </c>
    </row>
    <row r="287" spans="1:17">
      <c r="A287">
        <f>발송처리!A287</f>
        <v>0</v>
      </c>
      <c r="B287">
        <f>발송처리!M287</f>
        <v>0</v>
      </c>
      <c r="E287" t="e">
        <f>VLOOKUP(발송처리!V287,'상품DB(수정x)'!B:E,2,0)</f>
        <v>#N/A</v>
      </c>
      <c r="F287" s="13" t="e">
        <f>VLOOKUP(발송처리!V287,'상품DB(수정x)'!B:E,4,0)</f>
        <v>#N/A</v>
      </c>
      <c r="G287" s="8">
        <f>발송처리!X287</f>
        <v>0</v>
      </c>
      <c r="I287">
        <f>발송처리!AW287</f>
        <v>0</v>
      </c>
      <c r="K287" t="e">
        <f t="shared" si="6"/>
        <v>#N/A</v>
      </c>
      <c r="L287">
        <f>발송처리!AU287</f>
        <v>0</v>
      </c>
      <c r="M287">
        <f>발송처리!AP287</f>
        <v>0</v>
      </c>
      <c r="N287">
        <f>발송처리!AV287</f>
        <v>0</v>
      </c>
      <c r="O287">
        <f>발송처리!AR287</f>
        <v>0</v>
      </c>
      <c r="P287">
        <f>발송처리!K287</f>
        <v>0</v>
      </c>
      <c r="Q287" s="2">
        <f>발송처리!AC287</f>
        <v>0</v>
      </c>
    </row>
    <row r="288" spans="1:17">
      <c r="A288">
        <f>발송처리!A288</f>
        <v>0</v>
      </c>
      <c r="B288">
        <f>발송처리!M288</f>
        <v>0</v>
      </c>
      <c r="E288" t="e">
        <f>VLOOKUP(발송처리!V288,'상품DB(수정x)'!B:E,2,0)</f>
        <v>#N/A</v>
      </c>
      <c r="F288" s="13" t="e">
        <f>VLOOKUP(발송처리!V288,'상품DB(수정x)'!B:E,4,0)</f>
        <v>#N/A</v>
      </c>
      <c r="G288" s="8">
        <f>발송처리!X288</f>
        <v>0</v>
      </c>
      <c r="I288">
        <f>발송처리!AW288</f>
        <v>0</v>
      </c>
      <c r="K288" t="e">
        <f t="shared" si="6"/>
        <v>#N/A</v>
      </c>
      <c r="L288">
        <f>발송처리!AU288</f>
        <v>0</v>
      </c>
      <c r="M288">
        <f>발송처리!AP288</f>
        <v>0</v>
      </c>
      <c r="N288">
        <f>발송처리!AV288</f>
        <v>0</v>
      </c>
      <c r="O288">
        <f>발송처리!AR288</f>
        <v>0</v>
      </c>
      <c r="P288">
        <f>발송처리!K288</f>
        <v>0</v>
      </c>
      <c r="Q288" s="2">
        <f>발송처리!AC288</f>
        <v>0</v>
      </c>
    </row>
    <row r="289" spans="1:17">
      <c r="A289">
        <f>발송처리!A289</f>
        <v>0</v>
      </c>
      <c r="B289">
        <f>발송처리!M289</f>
        <v>0</v>
      </c>
      <c r="E289" t="e">
        <f>VLOOKUP(발송처리!V289,'상품DB(수정x)'!B:E,2,0)</f>
        <v>#N/A</v>
      </c>
      <c r="F289" s="13" t="e">
        <f>VLOOKUP(발송처리!V289,'상품DB(수정x)'!B:E,4,0)</f>
        <v>#N/A</v>
      </c>
      <c r="G289" s="8">
        <f>발송처리!X289</f>
        <v>0</v>
      </c>
      <c r="I289">
        <f>발송처리!AW289</f>
        <v>0</v>
      </c>
      <c r="K289" t="e">
        <f t="shared" si="6"/>
        <v>#N/A</v>
      </c>
      <c r="L289">
        <f>발송처리!AU289</f>
        <v>0</v>
      </c>
      <c r="M289">
        <f>발송처리!AP289</f>
        <v>0</v>
      </c>
      <c r="N289">
        <f>발송처리!AV289</f>
        <v>0</v>
      </c>
      <c r="O289">
        <f>발송처리!AR289</f>
        <v>0</v>
      </c>
      <c r="P289">
        <f>발송처리!K289</f>
        <v>0</v>
      </c>
      <c r="Q289" s="2">
        <f>발송처리!AC289</f>
        <v>0</v>
      </c>
    </row>
    <row r="290" spans="1:17">
      <c r="A290">
        <f>발송처리!A290</f>
        <v>0</v>
      </c>
      <c r="B290">
        <f>발송처리!M290</f>
        <v>0</v>
      </c>
      <c r="E290" t="e">
        <f>VLOOKUP(발송처리!V290,'상품DB(수정x)'!B:E,2,0)</f>
        <v>#N/A</v>
      </c>
      <c r="F290" s="13" t="e">
        <f>VLOOKUP(발송처리!V290,'상품DB(수정x)'!B:E,4,0)</f>
        <v>#N/A</v>
      </c>
      <c r="G290" s="8">
        <f>발송처리!X290</f>
        <v>0</v>
      </c>
      <c r="I290">
        <f>발송처리!AW290</f>
        <v>0</v>
      </c>
      <c r="K290" t="e">
        <f t="shared" si="6"/>
        <v>#N/A</v>
      </c>
      <c r="L290">
        <f>발송처리!AU290</f>
        <v>0</v>
      </c>
      <c r="M290">
        <f>발송처리!AP290</f>
        <v>0</v>
      </c>
      <c r="N290">
        <f>발송처리!AV290</f>
        <v>0</v>
      </c>
      <c r="O290">
        <f>발송처리!AR290</f>
        <v>0</v>
      </c>
      <c r="P290">
        <f>발송처리!K290</f>
        <v>0</v>
      </c>
      <c r="Q290" s="2">
        <f>발송처리!AC290</f>
        <v>0</v>
      </c>
    </row>
    <row r="291" spans="1:17">
      <c r="A291">
        <f>발송처리!A291</f>
        <v>0</v>
      </c>
      <c r="B291">
        <f>발송처리!M291</f>
        <v>0</v>
      </c>
      <c r="E291" t="e">
        <f>VLOOKUP(발송처리!V291,'상품DB(수정x)'!B:E,2,0)</f>
        <v>#N/A</v>
      </c>
      <c r="F291" s="13" t="e">
        <f>VLOOKUP(발송처리!V291,'상품DB(수정x)'!B:E,4,0)</f>
        <v>#N/A</v>
      </c>
      <c r="G291" s="8">
        <f>발송처리!X291</f>
        <v>0</v>
      </c>
      <c r="I291">
        <f>발송처리!AW291</f>
        <v>0</v>
      </c>
      <c r="K291" t="e">
        <f t="shared" si="6"/>
        <v>#N/A</v>
      </c>
      <c r="L291">
        <f>발송처리!AU291</f>
        <v>0</v>
      </c>
      <c r="M291">
        <f>발송처리!AP291</f>
        <v>0</v>
      </c>
      <c r="N291">
        <f>발송처리!AV291</f>
        <v>0</v>
      </c>
      <c r="O291">
        <f>발송처리!AR291</f>
        <v>0</v>
      </c>
      <c r="P291">
        <f>발송처리!K291</f>
        <v>0</v>
      </c>
      <c r="Q291" s="2">
        <f>발송처리!AC291</f>
        <v>0</v>
      </c>
    </row>
    <row r="292" spans="1:17">
      <c r="A292">
        <f>발송처리!A292</f>
        <v>0</v>
      </c>
      <c r="B292">
        <f>발송처리!M292</f>
        <v>0</v>
      </c>
      <c r="E292" t="e">
        <f>VLOOKUP(발송처리!V292,'상품DB(수정x)'!B:E,2,0)</f>
        <v>#N/A</v>
      </c>
      <c r="F292" s="13" t="e">
        <f>VLOOKUP(발송처리!V292,'상품DB(수정x)'!B:E,4,0)</f>
        <v>#N/A</v>
      </c>
      <c r="G292" s="8">
        <f>발송처리!X292</f>
        <v>0</v>
      </c>
      <c r="I292">
        <f>발송처리!AW292</f>
        <v>0</v>
      </c>
      <c r="K292" t="e">
        <f t="shared" si="6"/>
        <v>#N/A</v>
      </c>
      <c r="L292">
        <f>발송처리!AU292</f>
        <v>0</v>
      </c>
      <c r="M292">
        <f>발송처리!AP292</f>
        <v>0</v>
      </c>
      <c r="N292">
        <f>발송처리!AV292</f>
        <v>0</v>
      </c>
      <c r="O292">
        <f>발송처리!AR292</f>
        <v>0</v>
      </c>
      <c r="P292">
        <f>발송처리!K292</f>
        <v>0</v>
      </c>
      <c r="Q292" s="2">
        <f>발송처리!AC292</f>
        <v>0</v>
      </c>
    </row>
    <row r="293" spans="1:17">
      <c r="A293">
        <f>발송처리!A293</f>
        <v>0</v>
      </c>
      <c r="B293">
        <f>발송처리!M293</f>
        <v>0</v>
      </c>
      <c r="E293" t="e">
        <f>VLOOKUP(발송처리!V293,'상품DB(수정x)'!B:E,2,0)</f>
        <v>#N/A</v>
      </c>
      <c r="F293" s="13" t="e">
        <f>VLOOKUP(발송처리!V293,'상품DB(수정x)'!B:E,4,0)</f>
        <v>#N/A</v>
      </c>
      <c r="G293" s="8">
        <f>발송처리!X293</f>
        <v>0</v>
      </c>
      <c r="I293">
        <f>발송처리!AW293</f>
        <v>0</v>
      </c>
      <c r="K293" t="e">
        <f t="shared" si="6"/>
        <v>#N/A</v>
      </c>
      <c r="L293">
        <f>발송처리!AU293</f>
        <v>0</v>
      </c>
      <c r="M293">
        <f>발송처리!AP293</f>
        <v>0</v>
      </c>
      <c r="N293">
        <f>발송처리!AV293</f>
        <v>0</v>
      </c>
      <c r="O293">
        <f>발송처리!AR293</f>
        <v>0</v>
      </c>
      <c r="P293">
        <f>발송처리!K293</f>
        <v>0</v>
      </c>
      <c r="Q293" s="2">
        <f>발송처리!AC293</f>
        <v>0</v>
      </c>
    </row>
    <row r="294" spans="1:17">
      <c r="A294">
        <f>발송처리!A294</f>
        <v>0</v>
      </c>
      <c r="B294">
        <f>발송처리!M294</f>
        <v>0</v>
      </c>
      <c r="E294" t="e">
        <f>VLOOKUP(발송처리!V294,'상품DB(수정x)'!B:E,2,0)</f>
        <v>#N/A</v>
      </c>
      <c r="F294" s="13" t="e">
        <f>VLOOKUP(발송처리!V294,'상품DB(수정x)'!B:E,4,0)</f>
        <v>#N/A</v>
      </c>
      <c r="G294" s="8">
        <f>발송처리!X294</f>
        <v>0</v>
      </c>
      <c r="I294">
        <f>발송처리!AW294</f>
        <v>0</v>
      </c>
      <c r="K294" t="e">
        <f t="shared" si="6"/>
        <v>#N/A</v>
      </c>
      <c r="L294">
        <f>발송처리!AU294</f>
        <v>0</v>
      </c>
      <c r="M294">
        <f>발송처리!AP294</f>
        <v>0</v>
      </c>
      <c r="N294">
        <f>발송처리!AV294</f>
        <v>0</v>
      </c>
      <c r="O294">
        <f>발송처리!AR294</f>
        <v>0</v>
      </c>
      <c r="P294">
        <f>발송처리!K294</f>
        <v>0</v>
      </c>
      <c r="Q294" s="2">
        <f>발송처리!AC294</f>
        <v>0</v>
      </c>
    </row>
    <row r="295" spans="1:17">
      <c r="A295">
        <f>발송처리!A295</f>
        <v>0</v>
      </c>
      <c r="B295">
        <f>발송처리!M295</f>
        <v>0</v>
      </c>
      <c r="E295" t="e">
        <f>VLOOKUP(발송처리!V295,'상품DB(수정x)'!B:E,2,0)</f>
        <v>#N/A</v>
      </c>
      <c r="F295" s="13" t="e">
        <f>VLOOKUP(발송처리!V295,'상품DB(수정x)'!B:E,4,0)</f>
        <v>#N/A</v>
      </c>
      <c r="G295" s="8">
        <f>발송처리!X295</f>
        <v>0</v>
      </c>
      <c r="I295">
        <f>발송처리!AW295</f>
        <v>0</v>
      </c>
      <c r="K295" t="e">
        <f t="shared" si="6"/>
        <v>#N/A</v>
      </c>
      <c r="L295">
        <f>발송처리!AU295</f>
        <v>0</v>
      </c>
      <c r="M295">
        <f>발송처리!AP295</f>
        <v>0</v>
      </c>
      <c r="N295">
        <f>발송처리!AV295</f>
        <v>0</v>
      </c>
      <c r="O295">
        <f>발송처리!AR295</f>
        <v>0</v>
      </c>
      <c r="P295">
        <f>발송처리!K295</f>
        <v>0</v>
      </c>
      <c r="Q295" s="2">
        <f>발송처리!AC295</f>
        <v>0</v>
      </c>
    </row>
    <row r="296" spans="1:17">
      <c r="A296">
        <f>발송처리!A296</f>
        <v>0</v>
      </c>
      <c r="B296">
        <f>발송처리!M296</f>
        <v>0</v>
      </c>
      <c r="E296" t="e">
        <f>VLOOKUP(발송처리!V296,'상품DB(수정x)'!B:E,2,0)</f>
        <v>#N/A</v>
      </c>
      <c r="F296" s="13" t="e">
        <f>VLOOKUP(발송처리!V296,'상품DB(수정x)'!B:E,4,0)</f>
        <v>#N/A</v>
      </c>
      <c r="G296" s="8">
        <f>발송처리!X296</f>
        <v>0</v>
      </c>
      <c r="I296">
        <f>발송처리!AW296</f>
        <v>0</v>
      </c>
      <c r="K296" t="e">
        <f t="shared" si="6"/>
        <v>#N/A</v>
      </c>
      <c r="L296">
        <f>발송처리!AU296</f>
        <v>0</v>
      </c>
      <c r="M296">
        <f>발송처리!AP296</f>
        <v>0</v>
      </c>
      <c r="N296">
        <f>발송처리!AV296</f>
        <v>0</v>
      </c>
      <c r="O296">
        <f>발송처리!AR296</f>
        <v>0</v>
      </c>
      <c r="P296">
        <f>발송처리!K296</f>
        <v>0</v>
      </c>
      <c r="Q296" s="2">
        <f>발송처리!AC296</f>
        <v>0</v>
      </c>
    </row>
    <row r="297" spans="1:17">
      <c r="A297">
        <f>발송처리!A297</f>
        <v>0</v>
      </c>
      <c r="B297">
        <f>발송처리!M297</f>
        <v>0</v>
      </c>
      <c r="E297" t="e">
        <f>VLOOKUP(발송처리!V297,'상품DB(수정x)'!B:E,2,0)</f>
        <v>#N/A</v>
      </c>
      <c r="F297" s="13" t="e">
        <f>VLOOKUP(발송처리!V297,'상품DB(수정x)'!B:E,4,0)</f>
        <v>#N/A</v>
      </c>
      <c r="G297" s="8">
        <f>발송처리!X297</f>
        <v>0</v>
      </c>
      <c r="I297">
        <f>발송처리!AW297</f>
        <v>0</v>
      </c>
      <c r="K297" t="e">
        <f t="shared" si="6"/>
        <v>#N/A</v>
      </c>
      <c r="L297">
        <f>발송처리!AU297</f>
        <v>0</v>
      </c>
      <c r="M297">
        <f>발송처리!AP297</f>
        <v>0</v>
      </c>
      <c r="N297">
        <f>발송처리!AV297</f>
        <v>0</v>
      </c>
      <c r="O297">
        <f>발송처리!AR297</f>
        <v>0</v>
      </c>
      <c r="P297">
        <f>발송처리!K297</f>
        <v>0</v>
      </c>
      <c r="Q297" s="2">
        <f>발송처리!AC297</f>
        <v>0</v>
      </c>
    </row>
    <row r="298" spans="1:17">
      <c r="A298">
        <f>발송처리!A298</f>
        <v>0</v>
      </c>
      <c r="B298">
        <f>발송처리!M298</f>
        <v>0</v>
      </c>
      <c r="E298" t="e">
        <f>VLOOKUP(발송처리!V298,'상품DB(수정x)'!B:E,2,0)</f>
        <v>#N/A</v>
      </c>
      <c r="F298" s="13" t="e">
        <f>VLOOKUP(발송처리!V298,'상품DB(수정x)'!B:E,4,0)</f>
        <v>#N/A</v>
      </c>
      <c r="G298" s="8">
        <f>발송처리!X298</f>
        <v>0</v>
      </c>
      <c r="I298">
        <f>발송처리!AW298</f>
        <v>0</v>
      </c>
      <c r="K298" t="e">
        <f t="shared" si="6"/>
        <v>#N/A</v>
      </c>
      <c r="L298">
        <f>발송처리!AU298</f>
        <v>0</v>
      </c>
      <c r="M298">
        <f>발송처리!AP298</f>
        <v>0</v>
      </c>
      <c r="N298">
        <f>발송처리!AV298</f>
        <v>0</v>
      </c>
      <c r="O298">
        <f>발송처리!AR298</f>
        <v>0</v>
      </c>
      <c r="P298">
        <f>발송처리!K298</f>
        <v>0</v>
      </c>
      <c r="Q298" s="2">
        <f>발송처리!AC298</f>
        <v>0</v>
      </c>
    </row>
    <row r="299" spans="1:17">
      <c r="A299">
        <f>발송처리!A299</f>
        <v>0</v>
      </c>
      <c r="B299">
        <f>발송처리!M299</f>
        <v>0</v>
      </c>
      <c r="E299" t="e">
        <f>VLOOKUP(발송처리!V299,'상품DB(수정x)'!B:E,2,0)</f>
        <v>#N/A</v>
      </c>
      <c r="F299" s="13" t="e">
        <f>VLOOKUP(발송처리!V299,'상품DB(수정x)'!B:E,4,0)</f>
        <v>#N/A</v>
      </c>
      <c r="G299" s="8">
        <f>발송처리!X299</f>
        <v>0</v>
      </c>
      <c r="I299">
        <f>발송처리!AW299</f>
        <v>0</v>
      </c>
      <c r="K299" t="e">
        <f t="shared" si="6"/>
        <v>#N/A</v>
      </c>
      <c r="L299">
        <f>발송처리!AU299</f>
        <v>0</v>
      </c>
      <c r="M299">
        <f>발송처리!AP299</f>
        <v>0</v>
      </c>
      <c r="N299">
        <f>발송처리!AV299</f>
        <v>0</v>
      </c>
      <c r="O299">
        <f>발송처리!AR299</f>
        <v>0</v>
      </c>
      <c r="P299">
        <f>발송처리!K299</f>
        <v>0</v>
      </c>
      <c r="Q299" s="2">
        <f>발송처리!AC299</f>
        <v>0</v>
      </c>
    </row>
    <row r="300" spans="1:17">
      <c r="A300">
        <f>발송처리!A300</f>
        <v>0</v>
      </c>
      <c r="B300">
        <f>발송처리!M300</f>
        <v>0</v>
      </c>
      <c r="E300" t="e">
        <f>VLOOKUP(발송처리!V300,'상품DB(수정x)'!B:E,2,0)</f>
        <v>#N/A</v>
      </c>
      <c r="F300" s="13" t="e">
        <f>VLOOKUP(발송처리!V300,'상품DB(수정x)'!B:E,4,0)</f>
        <v>#N/A</v>
      </c>
      <c r="G300" s="8">
        <f>발송처리!X300</f>
        <v>0</v>
      </c>
      <c r="I300">
        <f>발송처리!AW300</f>
        <v>0</v>
      </c>
      <c r="K300" t="e">
        <f t="shared" si="6"/>
        <v>#N/A</v>
      </c>
      <c r="L300">
        <f>발송처리!AU300</f>
        <v>0</v>
      </c>
      <c r="M300">
        <f>발송처리!AP300</f>
        <v>0</v>
      </c>
      <c r="N300">
        <f>발송처리!AV300</f>
        <v>0</v>
      </c>
      <c r="O300">
        <f>발송처리!AR300</f>
        <v>0</v>
      </c>
      <c r="P300">
        <f>발송처리!K300</f>
        <v>0</v>
      </c>
      <c r="Q300" s="2">
        <f>발송처리!AC300</f>
        <v>0</v>
      </c>
    </row>
    <row r="301" spans="1:17">
      <c r="A301">
        <f>발송처리!A301</f>
        <v>0</v>
      </c>
      <c r="B301">
        <f>발송처리!M301</f>
        <v>0</v>
      </c>
      <c r="E301" t="e">
        <f>VLOOKUP(발송처리!V301,'상품DB(수정x)'!B:E,2,0)</f>
        <v>#N/A</v>
      </c>
      <c r="F301" s="13" t="e">
        <f>VLOOKUP(발송처리!V301,'상품DB(수정x)'!B:E,4,0)</f>
        <v>#N/A</v>
      </c>
      <c r="G301" s="8">
        <f>발송처리!X301</f>
        <v>0</v>
      </c>
      <c r="I301">
        <f>발송처리!AW301</f>
        <v>0</v>
      </c>
      <c r="K301" t="e">
        <f t="shared" si="6"/>
        <v>#N/A</v>
      </c>
      <c r="L301">
        <f>발송처리!AU301</f>
        <v>0</v>
      </c>
      <c r="M301">
        <f>발송처리!AP301</f>
        <v>0</v>
      </c>
      <c r="N301">
        <f>발송처리!AV301</f>
        <v>0</v>
      </c>
      <c r="O301">
        <f>발송처리!AR301</f>
        <v>0</v>
      </c>
      <c r="P301">
        <f>발송처리!K301</f>
        <v>0</v>
      </c>
      <c r="Q301" s="2">
        <f>발송처리!AC301</f>
        <v>0</v>
      </c>
    </row>
    <row r="302" spans="1:17">
      <c r="A302">
        <f>발송처리!A302</f>
        <v>0</v>
      </c>
      <c r="B302">
        <f>발송처리!M302</f>
        <v>0</v>
      </c>
      <c r="E302" t="e">
        <f>VLOOKUP(발송처리!V302,'상품DB(수정x)'!B:E,2,0)</f>
        <v>#N/A</v>
      </c>
      <c r="F302" s="13" t="e">
        <f>VLOOKUP(발송처리!V302,'상품DB(수정x)'!B:E,4,0)</f>
        <v>#N/A</v>
      </c>
      <c r="G302" s="8">
        <f>발송처리!X302</f>
        <v>0</v>
      </c>
      <c r="I302">
        <f>발송처리!AW302</f>
        <v>0</v>
      </c>
      <c r="K302" t="e">
        <f t="shared" si="6"/>
        <v>#N/A</v>
      </c>
      <c r="L302">
        <f>발송처리!AU302</f>
        <v>0</v>
      </c>
      <c r="M302">
        <f>발송처리!AP302</f>
        <v>0</v>
      </c>
      <c r="N302">
        <f>발송처리!AV302</f>
        <v>0</v>
      </c>
      <c r="O302">
        <f>발송처리!AR302</f>
        <v>0</v>
      </c>
      <c r="P302">
        <f>발송처리!K302</f>
        <v>0</v>
      </c>
      <c r="Q302" s="2">
        <f>발송처리!AC302</f>
        <v>0</v>
      </c>
    </row>
    <row r="303" spans="1:17">
      <c r="A303">
        <f>발송처리!A303</f>
        <v>0</v>
      </c>
      <c r="B303">
        <f>발송처리!M303</f>
        <v>0</v>
      </c>
      <c r="E303" t="e">
        <f>VLOOKUP(발송처리!V303,'상품DB(수정x)'!B:E,2,0)</f>
        <v>#N/A</v>
      </c>
      <c r="F303" s="13" t="e">
        <f>VLOOKUP(발송처리!V303,'상품DB(수정x)'!B:E,4,0)</f>
        <v>#N/A</v>
      </c>
      <c r="G303" s="8">
        <f>발송처리!X303</f>
        <v>0</v>
      </c>
      <c r="I303">
        <f>발송처리!AW303</f>
        <v>0</v>
      </c>
      <c r="K303" t="e">
        <f t="shared" si="6"/>
        <v>#N/A</v>
      </c>
      <c r="L303">
        <f>발송처리!AU303</f>
        <v>0</v>
      </c>
      <c r="M303">
        <f>발송처리!AP303</f>
        <v>0</v>
      </c>
      <c r="N303">
        <f>발송처리!AV303</f>
        <v>0</v>
      </c>
      <c r="O303">
        <f>발송처리!AR303</f>
        <v>0</v>
      </c>
      <c r="P303">
        <f>발송처리!K303</f>
        <v>0</v>
      </c>
      <c r="Q303" s="2">
        <f>발송처리!AC303</f>
        <v>0</v>
      </c>
    </row>
    <row r="304" spans="1:17">
      <c r="A304">
        <f>발송처리!A304</f>
        <v>0</v>
      </c>
      <c r="B304">
        <f>발송처리!M304</f>
        <v>0</v>
      </c>
      <c r="E304" t="e">
        <f>VLOOKUP(발송처리!V304,'상품DB(수정x)'!B:E,2,0)</f>
        <v>#N/A</v>
      </c>
      <c r="F304" s="13" t="e">
        <f>VLOOKUP(발송처리!V304,'상품DB(수정x)'!B:E,4,0)</f>
        <v>#N/A</v>
      </c>
      <c r="G304" s="8">
        <f>발송처리!X304</f>
        <v>0</v>
      </c>
      <c r="I304">
        <f>발송처리!AW304</f>
        <v>0</v>
      </c>
      <c r="K304" t="e">
        <f t="shared" si="6"/>
        <v>#N/A</v>
      </c>
      <c r="L304">
        <f>발송처리!AU304</f>
        <v>0</v>
      </c>
      <c r="M304">
        <f>발송처리!AP304</f>
        <v>0</v>
      </c>
      <c r="N304">
        <f>발송처리!AV304</f>
        <v>0</v>
      </c>
      <c r="O304">
        <f>발송처리!AR304</f>
        <v>0</v>
      </c>
      <c r="P304">
        <f>발송처리!K304</f>
        <v>0</v>
      </c>
      <c r="Q304" s="2">
        <f>발송처리!AC304</f>
        <v>0</v>
      </c>
    </row>
    <row r="305" spans="1:17">
      <c r="A305">
        <f>발송처리!A305</f>
        <v>0</v>
      </c>
      <c r="B305">
        <f>발송처리!M305</f>
        <v>0</v>
      </c>
      <c r="E305" t="e">
        <f>VLOOKUP(발송처리!V305,'상품DB(수정x)'!B:E,2,0)</f>
        <v>#N/A</v>
      </c>
      <c r="F305" s="13" t="e">
        <f>VLOOKUP(발송처리!V305,'상품DB(수정x)'!B:E,4,0)</f>
        <v>#N/A</v>
      </c>
      <c r="G305" s="8">
        <f>발송처리!X305</f>
        <v>0</v>
      </c>
      <c r="I305">
        <f>발송처리!AW305</f>
        <v>0</v>
      </c>
      <c r="K305" t="e">
        <f t="shared" si="6"/>
        <v>#N/A</v>
      </c>
      <c r="L305">
        <f>발송처리!AU305</f>
        <v>0</v>
      </c>
      <c r="M305">
        <f>발송처리!AP305</f>
        <v>0</v>
      </c>
      <c r="N305">
        <f>발송처리!AV305</f>
        <v>0</v>
      </c>
      <c r="O305">
        <f>발송처리!AR305</f>
        <v>0</v>
      </c>
      <c r="P305">
        <f>발송처리!K305</f>
        <v>0</v>
      </c>
      <c r="Q305" s="2">
        <f>발송처리!AC305</f>
        <v>0</v>
      </c>
    </row>
    <row r="306" spans="1:17">
      <c r="A306">
        <f>발송처리!A306</f>
        <v>0</v>
      </c>
      <c r="B306">
        <f>발송처리!M306</f>
        <v>0</v>
      </c>
      <c r="E306" t="e">
        <f>VLOOKUP(발송처리!V306,'상품DB(수정x)'!B:E,2,0)</f>
        <v>#N/A</v>
      </c>
      <c r="F306" s="13" t="e">
        <f>VLOOKUP(발송처리!V306,'상품DB(수정x)'!B:E,4,0)</f>
        <v>#N/A</v>
      </c>
      <c r="G306" s="8">
        <f>발송처리!X306</f>
        <v>0</v>
      </c>
      <c r="I306">
        <f>발송처리!AW306</f>
        <v>0</v>
      </c>
      <c r="K306" t="e">
        <f t="shared" si="6"/>
        <v>#N/A</v>
      </c>
      <c r="L306">
        <f>발송처리!AU306</f>
        <v>0</v>
      </c>
      <c r="M306">
        <f>발송처리!AP306</f>
        <v>0</v>
      </c>
      <c r="N306">
        <f>발송처리!AV306</f>
        <v>0</v>
      </c>
      <c r="O306">
        <f>발송처리!AR306</f>
        <v>0</v>
      </c>
      <c r="P306">
        <f>발송처리!K306</f>
        <v>0</v>
      </c>
      <c r="Q306" s="2">
        <f>발송처리!AC306</f>
        <v>0</v>
      </c>
    </row>
    <row r="307" spans="1:17">
      <c r="A307">
        <f>발송처리!A307</f>
        <v>0</v>
      </c>
      <c r="B307">
        <f>발송처리!M307</f>
        <v>0</v>
      </c>
      <c r="E307" t="e">
        <f>VLOOKUP(발송처리!V307,'상품DB(수정x)'!B:E,2,0)</f>
        <v>#N/A</v>
      </c>
      <c r="F307" s="13" t="e">
        <f>VLOOKUP(발송처리!V307,'상품DB(수정x)'!B:E,4,0)</f>
        <v>#N/A</v>
      </c>
      <c r="G307" s="8">
        <f>발송처리!X307</f>
        <v>0</v>
      </c>
      <c r="I307">
        <f>발송처리!AW307</f>
        <v>0</v>
      </c>
      <c r="K307" t="e">
        <f t="shared" si="6"/>
        <v>#N/A</v>
      </c>
      <c r="L307">
        <f>발송처리!AU307</f>
        <v>0</v>
      </c>
      <c r="M307">
        <f>발송처리!AP307</f>
        <v>0</v>
      </c>
      <c r="N307">
        <f>발송처리!AV307</f>
        <v>0</v>
      </c>
      <c r="O307">
        <f>발송처리!AR307</f>
        <v>0</v>
      </c>
      <c r="P307">
        <f>발송처리!K307</f>
        <v>0</v>
      </c>
      <c r="Q307" s="2">
        <f>발송처리!AC307</f>
        <v>0</v>
      </c>
    </row>
    <row r="308" spans="1:17">
      <c r="A308">
        <f>발송처리!A308</f>
        <v>0</v>
      </c>
      <c r="B308">
        <f>발송처리!M308</f>
        <v>0</v>
      </c>
      <c r="E308" t="e">
        <f>VLOOKUP(발송처리!V308,'상품DB(수정x)'!B:E,2,0)</f>
        <v>#N/A</v>
      </c>
      <c r="F308" s="13" t="e">
        <f>VLOOKUP(발송처리!V308,'상품DB(수정x)'!B:E,4,0)</f>
        <v>#N/A</v>
      </c>
      <c r="G308" s="8">
        <f>발송처리!X308</f>
        <v>0</v>
      </c>
      <c r="I308">
        <f>발송처리!AW308</f>
        <v>0</v>
      </c>
      <c r="K308" t="e">
        <f t="shared" si="6"/>
        <v>#N/A</v>
      </c>
      <c r="L308">
        <f>발송처리!AU308</f>
        <v>0</v>
      </c>
      <c r="M308">
        <f>발송처리!AP308</f>
        <v>0</v>
      </c>
      <c r="N308">
        <f>발송처리!AV308</f>
        <v>0</v>
      </c>
      <c r="O308">
        <f>발송처리!AR308</f>
        <v>0</v>
      </c>
      <c r="P308">
        <f>발송처리!K308</f>
        <v>0</v>
      </c>
      <c r="Q308" s="2">
        <f>발송처리!AC308</f>
        <v>0</v>
      </c>
    </row>
    <row r="309" spans="1:17">
      <c r="A309">
        <f>발송처리!A309</f>
        <v>0</v>
      </c>
      <c r="B309">
        <f>발송처리!M309</f>
        <v>0</v>
      </c>
      <c r="E309" t="e">
        <f>VLOOKUP(발송처리!V309,'상품DB(수정x)'!B:E,2,0)</f>
        <v>#N/A</v>
      </c>
      <c r="F309" s="13" t="e">
        <f>VLOOKUP(발송처리!V309,'상품DB(수정x)'!B:E,4,0)</f>
        <v>#N/A</v>
      </c>
      <c r="G309" s="8">
        <f>발송처리!X309</f>
        <v>0</v>
      </c>
      <c r="I309">
        <f>발송처리!AW309</f>
        <v>0</v>
      </c>
      <c r="K309" t="e">
        <f t="shared" si="6"/>
        <v>#N/A</v>
      </c>
      <c r="L309">
        <f>발송처리!AU309</f>
        <v>0</v>
      </c>
      <c r="M309">
        <f>발송처리!AP309</f>
        <v>0</v>
      </c>
      <c r="N309">
        <f>발송처리!AV309</f>
        <v>0</v>
      </c>
      <c r="O309">
        <f>발송처리!AR309</f>
        <v>0</v>
      </c>
      <c r="P309">
        <f>발송처리!K309</f>
        <v>0</v>
      </c>
      <c r="Q309" s="2">
        <f>발송처리!AC309</f>
        <v>0</v>
      </c>
    </row>
    <row r="310" spans="1:17">
      <c r="A310">
        <f>발송처리!A310</f>
        <v>0</v>
      </c>
      <c r="B310">
        <f>발송처리!M310</f>
        <v>0</v>
      </c>
      <c r="E310" t="e">
        <f>VLOOKUP(발송처리!V310,'상품DB(수정x)'!B:E,2,0)</f>
        <v>#N/A</v>
      </c>
      <c r="F310" s="13" t="e">
        <f>VLOOKUP(발송처리!V310,'상품DB(수정x)'!B:E,4,0)</f>
        <v>#N/A</v>
      </c>
      <c r="G310" s="8">
        <f>발송처리!X310</f>
        <v>0</v>
      </c>
      <c r="I310">
        <f>발송처리!AW310</f>
        <v>0</v>
      </c>
      <c r="K310" t="e">
        <f t="shared" si="6"/>
        <v>#N/A</v>
      </c>
      <c r="L310">
        <f>발송처리!AU310</f>
        <v>0</v>
      </c>
      <c r="M310">
        <f>발송처리!AP310</f>
        <v>0</v>
      </c>
      <c r="N310">
        <f>발송처리!AV310</f>
        <v>0</v>
      </c>
      <c r="O310">
        <f>발송처리!AR310</f>
        <v>0</v>
      </c>
      <c r="P310">
        <f>발송처리!K310</f>
        <v>0</v>
      </c>
      <c r="Q310" s="2">
        <f>발송처리!AC310</f>
        <v>0</v>
      </c>
    </row>
    <row r="311" spans="1:17">
      <c r="A311">
        <f>발송처리!A311</f>
        <v>0</v>
      </c>
      <c r="B311">
        <f>발송처리!M311</f>
        <v>0</v>
      </c>
      <c r="E311" t="e">
        <f>VLOOKUP(발송처리!V311,'상품DB(수정x)'!B:E,2,0)</f>
        <v>#N/A</v>
      </c>
      <c r="F311" s="13" t="e">
        <f>VLOOKUP(발송처리!V311,'상품DB(수정x)'!B:E,4,0)</f>
        <v>#N/A</v>
      </c>
      <c r="G311" s="8">
        <f>발송처리!X311</f>
        <v>0</v>
      </c>
      <c r="I311">
        <f>발송처리!AW311</f>
        <v>0</v>
      </c>
      <c r="K311" t="e">
        <f t="shared" si="6"/>
        <v>#N/A</v>
      </c>
      <c r="L311">
        <f>발송처리!AU311</f>
        <v>0</v>
      </c>
      <c r="M311">
        <f>발송처리!AP311</f>
        <v>0</v>
      </c>
      <c r="N311">
        <f>발송처리!AV311</f>
        <v>0</v>
      </c>
      <c r="O311">
        <f>발송처리!AR311</f>
        <v>0</v>
      </c>
      <c r="P311">
        <f>발송처리!K311</f>
        <v>0</v>
      </c>
      <c r="Q311" s="2">
        <f>발송처리!AC311</f>
        <v>0</v>
      </c>
    </row>
    <row r="312" spans="1:17">
      <c r="A312">
        <f>발송처리!A312</f>
        <v>0</v>
      </c>
      <c r="B312">
        <f>발송처리!M312</f>
        <v>0</v>
      </c>
      <c r="E312" t="e">
        <f>VLOOKUP(발송처리!V312,'상품DB(수정x)'!B:E,2,0)</f>
        <v>#N/A</v>
      </c>
      <c r="F312" s="13" t="e">
        <f>VLOOKUP(발송처리!V312,'상품DB(수정x)'!B:E,4,0)</f>
        <v>#N/A</v>
      </c>
      <c r="G312" s="8">
        <f>발송처리!X312</f>
        <v>0</v>
      </c>
      <c r="I312">
        <f>발송처리!AW312</f>
        <v>0</v>
      </c>
      <c r="K312" t="e">
        <f t="shared" si="6"/>
        <v>#N/A</v>
      </c>
      <c r="L312">
        <f>발송처리!AU312</f>
        <v>0</v>
      </c>
      <c r="M312">
        <f>발송처리!AP312</f>
        <v>0</v>
      </c>
      <c r="N312">
        <f>발송처리!AV312</f>
        <v>0</v>
      </c>
      <c r="O312">
        <f>발송처리!AR312</f>
        <v>0</v>
      </c>
      <c r="P312">
        <f>발송처리!K312</f>
        <v>0</v>
      </c>
      <c r="Q312" s="2">
        <f>발송처리!AC312</f>
        <v>0</v>
      </c>
    </row>
    <row r="313" spans="1:17">
      <c r="A313">
        <f>발송처리!A313</f>
        <v>0</v>
      </c>
      <c r="B313">
        <f>발송처리!M313</f>
        <v>0</v>
      </c>
      <c r="E313" t="e">
        <f>VLOOKUP(발송처리!V313,'상품DB(수정x)'!B:E,2,0)</f>
        <v>#N/A</v>
      </c>
      <c r="F313" s="13" t="e">
        <f>VLOOKUP(발송처리!V313,'상품DB(수정x)'!B:E,4,0)</f>
        <v>#N/A</v>
      </c>
      <c r="G313" s="8">
        <f>발송처리!X313</f>
        <v>0</v>
      </c>
      <c r="I313">
        <f>발송처리!AW313</f>
        <v>0</v>
      </c>
      <c r="K313" t="e">
        <f t="shared" si="6"/>
        <v>#N/A</v>
      </c>
      <c r="L313">
        <f>발송처리!AU313</f>
        <v>0</v>
      </c>
      <c r="M313">
        <f>발송처리!AP313</f>
        <v>0</v>
      </c>
      <c r="N313">
        <f>발송처리!AV313</f>
        <v>0</v>
      </c>
      <c r="O313">
        <f>발송처리!AR313</f>
        <v>0</v>
      </c>
      <c r="P313">
        <f>발송처리!K313</f>
        <v>0</v>
      </c>
      <c r="Q313" s="2">
        <f>발송처리!AC313</f>
        <v>0</v>
      </c>
    </row>
    <row r="314" spans="1:17">
      <c r="A314">
        <f>발송처리!A314</f>
        <v>0</v>
      </c>
      <c r="B314">
        <f>발송처리!M314</f>
        <v>0</v>
      </c>
      <c r="E314" t="e">
        <f>VLOOKUP(발송처리!V314,'상품DB(수정x)'!B:E,2,0)</f>
        <v>#N/A</v>
      </c>
      <c r="F314" s="13" t="e">
        <f>VLOOKUP(발송처리!V314,'상품DB(수정x)'!B:E,4,0)</f>
        <v>#N/A</v>
      </c>
      <c r="G314" s="8">
        <f>발송처리!X314</f>
        <v>0</v>
      </c>
      <c r="I314">
        <f>발송처리!AW314</f>
        <v>0</v>
      </c>
      <c r="K314" t="e">
        <f t="shared" si="6"/>
        <v>#N/A</v>
      </c>
      <c r="L314">
        <f>발송처리!AU314</f>
        <v>0</v>
      </c>
      <c r="M314">
        <f>발송처리!AP314</f>
        <v>0</v>
      </c>
      <c r="N314">
        <f>발송처리!AV314</f>
        <v>0</v>
      </c>
      <c r="O314">
        <f>발송처리!AR314</f>
        <v>0</v>
      </c>
      <c r="P314">
        <f>발송처리!K314</f>
        <v>0</v>
      </c>
      <c r="Q314" s="2">
        <f>발송처리!AC314</f>
        <v>0</v>
      </c>
    </row>
    <row r="315" spans="1:17">
      <c r="A315">
        <f>발송처리!A315</f>
        <v>0</v>
      </c>
      <c r="B315">
        <f>발송처리!M315</f>
        <v>0</v>
      </c>
      <c r="E315" t="e">
        <f>VLOOKUP(발송처리!V315,'상품DB(수정x)'!B:E,2,0)</f>
        <v>#N/A</v>
      </c>
      <c r="F315" s="13" t="e">
        <f>VLOOKUP(발송처리!V315,'상품DB(수정x)'!B:E,4,0)</f>
        <v>#N/A</v>
      </c>
      <c r="G315" s="8">
        <f>발송처리!X315</f>
        <v>0</v>
      </c>
      <c r="I315">
        <f>발송처리!AW315</f>
        <v>0</v>
      </c>
      <c r="K315" t="e">
        <f t="shared" si="6"/>
        <v>#N/A</v>
      </c>
      <c r="L315">
        <f>발송처리!AU315</f>
        <v>0</v>
      </c>
      <c r="M315">
        <f>발송처리!AP315</f>
        <v>0</v>
      </c>
      <c r="N315">
        <f>발송처리!AV315</f>
        <v>0</v>
      </c>
      <c r="O315">
        <f>발송처리!AR315</f>
        <v>0</v>
      </c>
      <c r="P315">
        <f>발송처리!K315</f>
        <v>0</v>
      </c>
      <c r="Q315" s="2">
        <f>발송처리!AC315</f>
        <v>0</v>
      </c>
    </row>
    <row r="316" spans="1:17">
      <c r="A316">
        <f>발송처리!A316</f>
        <v>0</v>
      </c>
      <c r="B316">
        <f>발송처리!M316</f>
        <v>0</v>
      </c>
      <c r="E316" t="e">
        <f>VLOOKUP(발송처리!V316,'상품DB(수정x)'!B:E,2,0)</f>
        <v>#N/A</v>
      </c>
      <c r="F316" s="13" t="e">
        <f>VLOOKUP(발송처리!V316,'상품DB(수정x)'!B:E,4,0)</f>
        <v>#N/A</v>
      </c>
      <c r="G316" s="8">
        <f>발송처리!X316</f>
        <v>0</v>
      </c>
      <c r="I316">
        <f>발송처리!AW316</f>
        <v>0</v>
      </c>
      <c r="K316" t="e">
        <f t="shared" si="6"/>
        <v>#N/A</v>
      </c>
      <c r="L316">
        <f>발송처리!AU316</f>
        <v>0</v>
      </c>
      <c r="M316">
        <f>발송처리!AP316</f>
        <v>0</v>
      </c>
      <c r="N316">
        <f>발송처리!AV316</f>
        <v>0</v>
      </c>
      <c r="O316">
        <f>발송처리!AR316</f>
        <v>0</v>
      </c>
      <c r="P316">
        <f>발송처리!K316</f>
        <v>0</v>
      </c>
      <c r="Q316" s="2">
        <f>발송처리!AC316</f>
        <v>0</v>
      </c>
    </row>
    <row r="317" spans="1:17">
      <c r="A317">
        <f>발송처리!A317</f>
        <v>0</v>
      </c>
      <c r="B317">
        <f>발송처리!M317</f>
        <v>0</v>
      </c>
      <c r="E317" t="e">
        <f>VLOOKUP(발송처리!V317,'상품DB(수정x)'!B:E,2,0)</f>
        <v>#N/A</v>
      </c>
      <c r="F317" s="13" t="e">
        <f>VLOOKUP(발송처리!V317,'상품DB(수정x)'!B:E,4,0)</f>
        <v>#N/A</v>
      </c>
      <c r="G317" s="8">
        <f>발송처리!X317</f>
        <v>0</v>
      </c>
      <c r="I317">
        <f>발송처리!AW317</f>
        <v>0</v>
      </c>
      <c r="K317" t="e">
        <f t="shared" si="6"/>
        <v>#N/A</v>
      </c>
      <c r="L317">
        <f>발송처리!AU317</f>
        <v>0</v>
      </c>
      <c r="M317">
        <f>발송처리!AP317</f>
        <v>0</v>
      </c>
      <c r="N317">
        <f>발송처리!AV317</f>
        <v>0</v>
      </c>
      <c r="O317">
        <f>발송처리!AR317</f>
        <v>0</v>
      </c>
      <c r="P317">
        <f>발송처리!K317</f>
        <v>0</v>
      </c>
      <c r="Q317" s="2">
        <f>발송처리!AC317</f>
        <v>0</v>
      </c>
    </row>
    <row r="318" spans="1:17">
      <c r="A318">
        <f>발송처리!A318</f>
        <v>0</v>
      </c>
      <c r="B318">
        <f>발송처리!M318</f>
        <v>0</v>
      </c>
      <c r="E318" t="e">
        <f>VLOOKUP(발송처리!V318,'상품DB(수정x)'!B:E,2,0)</f>
        <v>#N/A</v>
      </c>
      <c r="F318" s="13" t="e">
        <f>VLOOKUP(발송처리!V318,'상품DB(수정x)'!B:E,4,0)</f>
        <v>#N/A</v>
      </c>
      <c r="G318" s="8">
        <f>발송처리!X318</f>
        <v>0</v>
      </c>
      <c r="I318">
        <f>발송처리!AW318</f>
        <v>0</v>
      </c>
      <c r="K318" t="e">
        <f t="shared" si="6"/>
        <v>#N/A</v>
      </c>
      <c r="L318">
        <f>발송처리!AU318</f>
        <v>0</v>
      </c>
      <c r="M318">
        <f>발송처리!AP318</f>
        <v>0</v>
      </c>
      <c r="N318">
        <f>발송처리!AV318</f>
        <v>0</v>
      </c>
      <c r="O318">
        <f>발송처리!AR318</f>
        <v>0</v>
      </c>
      <c r="P318">
        <f>발송처리!K318</f>
        <v>0</v>
      </c>
      <c r="Q318" s="2">
        <f>발송처리!AC318</f>
        <v>0</v>
      </c>
    </row>
    <row r="319" spans="1:17">
      <c r="A319">
        <f>발송처리!A319</f>
        <v>0</v>
      </c>
      <c r="B319">
        <f>발송처리!M319</f>
        <v>0</v>
      </c>
      <c r="E319" t="e">
        <f>VLOOKUP(발송처리!V319,'상품DB(수정x)'!B:E,2,0)</f>
        <v>#N/A</v>
      </c>
      <c r="F319" s="13" t="e">
        <f>VLOOKUP(발송처리!V319,'상품DB(수정x)'!B:E,4,0)</f>
        <v>#N/A</v>
      </c>
      <c r="G319" s="8">
        <f>발송처리!X319</f>
        <v>0</v>
      </c>
      <c r="I319">
        <f>발송처리!AW319</f>
        <v>0</v>
      </c>
      <c r="K319" t="e">
        <f t="shared" si="6"/>
        <v>#N/A</v>
      </c>
      <c r="L319">
        <f>발송처리!AU319</f>
        <v>0</v>
      </c>
      <c r="M319">
        <f>발송처리!AP319</f>
        <v>0</v>
      </c>
      <c r="N319">
        <f>발송처리!AV319</f>
        <v>0</v>
      </c>
      <c r="O319">
        <f>발송처리!AR319</f>
        <v>0</v>
      </c>
      <c r="P319">
        <f>발송처리!K319</f>
        <v>0</v>
      </c>
      <c r="Q319" s="2">
        <f>발송처리!AC319</f>
        <v>0</v>
      </c>
    </row>
    <row r="320" spans="1:17">
      <c r="A320">
        <f>발송처리!A320</f>
        <v>0</v>
      </c>
      <c r="B320">
        <f>발송처리!M320</f>
        <v>0</v>
      </c>
      <c r="E320" t="e">
        <f>VLOOKUP(발송처리!V320,'상품DB(수정x)'!B:E,2,0)</f>
        <v>#N/A</v>
      </c>
      <c r="F320" s="13" t="e">
        <f>VLOOKUP(발송처리!V320,'상품DB(수정x)'!B:E,4,0)</f>
        <v>#N/A</v>
      </c>
      <c r="G320" s="8">
        <f>발송처리!X320</f>
        <v>0</v>
      </c>
      <c r="I320">
        <f>발송처리!AW320</f>
        <v>0</v>
      </c>
      <c r="K320" t="e">
        <f t="shared" si="6"/>
        <v>#N/A</v>
      </c>
      <c r="L320">
        <f>발송처리!AU320</f>
        <v>0</v>
      </c>
      <c r="M320">
        <f>발송처리!AP320</f>
        <v>0</v>
      </c>
      <c r="N320">
        <f>발송처리!AV320</f>
        <v>0</v>
      </c>
      <c r="O320">
        <f>발송처리!AR320</f>
        <v>0</v>
      </c>
      <c r="P320">
        <f>발송처리!K320</f>
        <v>0</v>
      </c>
      <c r="Q320" s="2">
        <f>발송처리!AC320</f>
        <v>0</v>
      </c>
    </row>
    <row r="321" spans="1:17">
      <c r="A321">
        <f>발송처리!A321</f>
        <v>0</v>
      </c>
      <c r="B321">
        <f>발송처리!M321</f>
        <v>0</v>
      </c>
      <c r="E321" t="e">
        <f>VLOOKUP(발송처리!V321,'상품DB(수정x)'!B:E,2,0)</f>
        <v>#N/A</v>
      </c>
      <c r="F321" s="13" t="e">
        <f>VLOOKUP(발송처리!V321,'상품DB(수정x)'!B:E,4,0)</f>
        <v>#N/A</v>
      </c>
      <c r="G321" s="8">
        <f>발송처리!X321</f>
        <v>0</v>
      </c>
      <c r="I321">
        <f>발송처리!AW321</f>
        <v>0</v>
      </c>
      <c r="K321" t="e">
        <f t="shared" si="6"/>
        <v>#N/A</v>
      </c>
      <c r="L321">
        <f>발송처리!AU321</f>
        <v>0</v>
      </c>
      <c r="M321">
        <f>발송처리!AP321</f>
        <v>0</v>
      </c>
      <c r="N321">
        <f>발송처리!AV321</f>
        <v>0</v>
      </c>
      <c r="O321">
        <f>발송처리!AR321</f>
        <v>0</v>
      </c>
      <c r="P321">
        <f>발송처리!K321</f>
        <v>0</v>
      </c>
      <c r="Q321" s="2">
        <f>발송처리!AC321</f>
        <v>0</v>
      </c>
    </row>
    <row r="322" spans="1:17">
      <c r="A322">
        <f>발송처리!A322</f>
        <v>0</v>
      </c>
      <c r="B322">
        <f>발송처리!M322</f>
        <v>0</v>
      </c>
      <c r="E322" t="e">
        <f>VLOOKUP(발송처리!V322,'상품DB(수정x)'!B:E,2,0)</f>
        <v>#N/A</v>
      </c>
      <c r="F322" s="13" t="e">
        <f>VLOOKUP(발송처리!V322,'상품DB(수정x)'!B:E,4,0)</f>
        <v>#N/A</v>
      </c>
      <c r="G322" s="8">
        <f>발송처리!X322</f>
        <v>0</v>
      </c>
      <c r="I322">
        <f>발송처리!AW322</f>
        <v>0</v>
      </c>
      <c r="K322" t="e">
        <f t="shared" si="6"/>
        <v>#N/A</v>
      </c>
      <c r="L322">
        <f>발송처리!AU322</f>
        <v>0</v>
      </c>
      <c r="M322">
        <f>발송처리!AP322</f>
        <v>0</v>
      </c>
      <c r="N322">
        <f>발송처리!AV322</f>
        <v>0</v>
      </c>
      <c r="O322">
        <f>발송처리!AR322</f>
        <v>0</v>
      </c>
      <c r="P322">
        <f>발송처리!K322</f>
        <v>0</v>
      </c>
      <c r="Q322" s="2">
        <f>발송처리!AC322</f>
        <v>0</v>
      </c>
    </row>
    <row r="323" spans="1:17">
      <c r="A323">
        <f>발송처리!A323</f>
        <v>0</v>
      </c>
      <c r="B323">
        <f>발송처리!M323</f>
        <v>0</v>
      </c>
      <c r="E323" t="e">
        <f>VLOOKUP(발송처리!V323,'상품DB(수정x)'!B:E,2,0)</f>
        <v>#N/A</v>
      </c>
      <c r="F323" s="13" t="e">
        <f>VLOOKUP(발송처리!V323,'상품DB(수정x)'!B:E,4,0)</f>
        <v>#N/A</v>
      </c>
      <c r="G323" s="8">
        <f>발송처리!X323</f>
        <v>0</v>
      </c>
      <c r="I323">
        <f>발송처리!AW323</f>
        <v>0</v>
      </c>
      <c r="K323" t="e">
        <f t="shared" ref="K323:K386" si="7">IF(LEFT(E323,1)="2","",IF(LEFT(E323,1)="4","",IF(Q323&gt;=500000,"★증정★테이프20mx2",IF(Q323&gt;=95000,"★증정★테이프20mx1",""))))</f>
        <v>#N/A</v>
      </c>
      <c r="L323">
        <f>발송처리!AU323</f>
        <v>0</v>
      </c>
      <c r="M323">
        <f>발송처리!AP323</f>
        <v>0</v>
      </c>
      <c r="N323">
        <f>발송처리!AV323</f>
        <v>0</v>
      </c>
      <c r="O323">
        <f>발송처리!AR323</f>
        <v>0</v>
      </c>
      <c r="P323">
        <f>발송처리!K323</f>
        <v>0</v>
      </c>
      <c r="Q323" s="2">
        <f>발송처리!AC323</f>
        <v>0</v>
      </c>
    </row>
    <row r="324" spans="1:17">
      <c r="A324">
        <f>발송처리!A324</f>
        <v>0</v>
      </c>
      <c r="B324">
        <f>발송처리!M324</f>
        <v>0</v>
      </c>
      <c r="E324" t="e">
        <f>VLOOKUP(발송처리!V324,'상품DB(수정x)'!B:E,2,0)</f>
        <v>#N/A</v>
      </c>
      <c r="F324" s="13" t="e">
        <f>VLOOKUP(발송처리!V324,'상품DB(수정x)'!B:E,4,0)</f>
        <v>#N/A</v>
      </c>
      <c r="G324" s="8">
        <f>발송처리!X324</f>
        <v>0</v>
      </c>
      <c r="I324">
        <f>발송처리!AW324</f>
        <v>0</v>
      </c>
      <c r="K324" t="e">
        <f t="shared" si="7"/>
        <v>#N/A</v>
      </c>
      <c r="L324">
        <f>발송처리!AU324</f>
        <v>0</v>
      </c>
      <c r="M324">
        <f>발송처리!AP324</f>
        <v>0</v>
      </c>
      <c r="N324">
        <f>발송처리!AV324</f>
        <v>0</v>
      </c>
      <c r="O324">
        <f>발송처리!AR324</f>
        <v>0</v>
      </c>
      <c r="P324">
        <f>발송처리!K324</f>
        <v>0</v>
      </c>
      <c r="Q324" s="2">
        <f>발송처리!AC324</f>
        <v>0</v>
      </c>
    </row>
    <row r="325" spans="1:17">
      <c r="A325">
        <f>발송처리!A325</f>
        <v>0</v>
      </c>
      <c r="B325">
        <f>발송처리!M325</f>
        <v>0</v>
      </c>
      <c r="E325" t="e">
        <f>VLOOKUP(발송처리!V325,'상품DB(수정x)'!B:E,2,0)</f>
        <v>#N/A</v>
      </c>
      <c r="F325" s="13" t="e">
        <f>VLOOKUP(발송처리!V325,'상품DB(수정x)'!B:E,4,0)</f>
        <v>#N/A</v>
      </c>
      <c r="G325" s="8">
        <f>발송처리!X325</f>
        <v>0</v>
      </c>
      <c r="I325">
        <f>발송처리!AW325</f>
        <v>0</v>
      </c>
      <c r="K325" t="e">
        <f t="shared" si="7"/>
        <v>#N/A</v>
      </c>
      <c r="L325">
        <f>발송처리!AU325</f>
        <v>0</v>
      </c>
      <c r="M325">
        <f>발송처리!AP325</f>
        <v>0</v>
      </c>
      <c r="N325">
        <f>발송처리!AV325</f>
        <v>0</v>
      </c>
      <c r="O325">
        <f>발송처리!AR325</f>
        <v>0</v>
      </c>
      <c r="P325">
        <f>발송처리!K325</f>
        <v>0</v>
      </c>
      <c r="Q325" s="2">
        <f>발송처리!AC325</f>
        <v>0</v>
      </c>
    </row>
    <row r="326" spans="1:17">
      <c r="A326">
        <f>발송처리!A326</f>
        <v>0</v>
      </c>
      <c r="B326">
        <f>발송처리!M326</f>
        <v>0</v>
      </c>
      <c r="E326" t="e">
        <f>VLOOKUP(발송처리!V326,'상품DB(수정x)'!B:E,2,0)</f>
        <v>#N/A</v>
      </c>
      <c r="F326" s="13" t="e">
        <f>VLOOKUP(발송처리!V326,'상품DB(수정x)'!B:E,4,0)</f>
        <v>#N/A</v>
      </c>
      <c r="G326" s="8">
        <f>발송처리!X326</f>
        <v>0</v>
      </c>
      <c r="I326">
        <f>발송처리!AW326</f>
        <v>0</v>
      </c>
      <c r="K326" t="e">
        <f t="shared" si="7"/>
        <v>#N/A</v>
      </c>
      <c r="L326">
        <f>발송처리!AU326</f>
        <v>0</v>
      </c>
      <c r="M326">
        <f>발송처리!AP326</f>
        <v>0</v>
      </c>
      <c r="N326">
        <f>발송처리!AV326</f>
        <v>0</v>
      </c>
      <c r="O326">
        <f>발송처리!AR326</f>
        <v>0</v>
      </c>
      <c r="P326">
        <f>발송처리!K326</f>
        <v>0</v>
      </c>
      <c r="Q326" s="2">
        <f>발송처리!AC326</f>
        <v>0</v>
      </c>
    </row>
    <row r="327" spans="1:17">
      <c r="A327">
        <f>발송처리!A327</f>
        <v>0</v>
      </c>
      <c r="B327">
        <f>발송처리!M327</f>
        <v>0</v>
      </c>
      <c r="E327" t="e">
        <f>VLOOKUP(발송처리!V327,'상품DB(수정x)'!B:E,2,0)</f>
        <v>#N/A</v>
      </c>
      <c r="F327" s="13" t="e">
        <f>VLOOKUP(발송처리!V327,'상품DB(수정x)'!B:E,4,0)</f>
        <v>#N/A</v>
      </c>
      <c r="G327" s="8">
        <f>발송처리!X327</f>
        <v>0</v>
      </c>
      <c r="I327">
        <f>발송처리!AW327</f>
        <v>0</v>
      </c>
      <c r="K327" t="e">
        <f t="shared" si="7"/>
        <v>#N/A</v>
      </c>
      <c r="L327">
        <f>발송처리!AU327</f>
        <v>0</v>
      </c>
      <c r="M327">
        <f>발송처리!AP327</f>
        <v>0</v>
      </c>
      <c r="N327">
        <f>발송처리!AV327</f>
        <v>0</v>
      </c>
      <c r="O327">
        <f>발송처리!AR327</f>
        <v>0</v>
      </c>
      <c r="P327">
        <f>발송처리!K327</f>
        <v>0</v>
      </c>
      <c r="Q327" s="2">
        <f>발송처리!AC327</f>
        <v>0</v>
      </c>
    </row>
    <row r="328" spans="1:17">
      <c r="A328">
        <f>발송처리!A328</f>
        <v>0</v>
      </c>
      <c r="B328">
        <f>발송처리!M328</f>
        <v>0</v>
      </c>
      <c r="E328" t="e">
        <f>VLOOKUP(발송처리!V328,'상품DB(수정x)'!B:E,2,0)</f>
        <v>#N/A</v>
      </c>
      <c r="F328" s="13" t="e">
        <f>VLOOKUP(발송처리!V328,'상품DB(수정x)'!B:E,4,0)</f>
        <v>#N/A</v>
      </c>
      <c r="G328" s="8">
        <f>발송처리!X328</f>
        <v>0</v>
      </c>
      <c r="I328">
        <f>발송처리!AW328</f>
        <v>0</v>
      </c>
      <c r="K328" t="e">
        <f t="shared" si="7"/>
        <v>#N/A</v>
      </c>
      <c r="L328">
        <f>발송처리!AU328</f>
        <v>0</v>
      </c>
      <c r="M328">
        <f>발송처리!AP328</f>
        <v>0</v>
      </c>
      <c r="N328">
        <f>발송처리!AV328</f>
        <v>0</v>
      </c>
      <c r="O328">
        <f>발송처리!AR328</f>
        <v>0</v>
      </c>
      <c r="P328">
        <f>발송처리!K328</f>
        <v>0</v>
      </c>
      <c r="Q328" s="2">
        <f>발송처리!AC328</f>
        <v>0</v>
      </c>
    </row>
    <row r="329" spans="1:17">
      <c r="A329">
        <f>발송처리!A329</f>
        <v>0</v>
      </c>
      <c r="B329">
        <f>발송처리!M329</f>
        <v>0</v>
      </c>
      <c r="E329" t="e">
        <f>VLOOKUP(발송처리!V329,'상품DB(수정x)'!B:E,2,0)</f>
        <v>#N/A</v>
      </c>
      <c r="F329" s="13" t="e">
        <f>VLOOKUP(발송처리!V329,'상품DB(수정x)'!B:E,4,0)</f>
        <v>#N/A</v>
      </c>
      <c r="G329" s="8">
        <f>발송처리!X329</f>
        <v>0</v>
      </c>
      <c r="I329">
        <f>발송처리!AW329</f>
        <v>0</v>
      </c>
      <c r="K329" t="e">
        <f t="shared" si="7"/>
        <v>#N/A</v>
      </c>
      <c r="L329">
        <f>발송처리!AU329</f>
        <v>0</v>
      </c>
      <c r="M329">
        <f>발송처리!AP329</f>
        <v>0</v>
      </c>
      <c r="N329">
        <f>발송처리!AV329</f>
        <v>0</v>
      </c>
      <c r="O329">
        <f>발송처리!AR329</f>
        <v>0</v>
      </c>
      <c r="P329">
        <f>발송처리!K329</f>
        <v>0</v>
      </c>
      <c r="Q329" s="2">
        <f>발송처리!AC329</f>
        <v>0</v>
      </c>
    </row>
    <row r="330" spans="1:17">
      <c r="A330">
        <f>발송처리!A330</f>
        <v>0</v>
      </c>
      <c r="B330">
        <f>발송처리!M330</f>
        <v>0</v>
      </c>
      <c r="E330" t="e">
        <f>VLOOKUP(발송처리!V330,'상품DB(수정x)'!B:E,2,0)</f>
        <v>#N/A</v>
      </c>
      <c r="F330" s="13" t="e">
        <f>VLOOKUP(발송처리!V330,'상품DB(수정x)'!B:E,4,0)</f>
        <v>#N/A</v>
      </c>
      <c r="G330" s="8">
        <f>발송처리!X330</f>
        <v>0</v>
      </c>
      <c r="I330">
        <f>발송처리!AW330</f>
        <v>0</v>
      </c>
      <c r="K330" t="e">
        <f t="shared" si="7"/>
        <v>#N/A</v>
      </c>
      <c r="L330">
        <f>발송처리!AU330</f>
        <v>0</v>
      </c>
      <c r="M330">
        <f>발송처리!AP330</f>
        <v>0</v>
      </c>
      <c r="N330">
        <f>발송처리!AV330</f>
        <v>0</v>
      </c>
      <c r="O330">
        <f>발송처리!AR330</f>
        <v>0</v>
      </c>
      <c r="P330">
        <f>발송처리!K330</f>
        <v>0</v>
      </c>
      <c r="Q330" s="2">
        <f>발송처리!AC330</f>
        <v>0</v>
      </c>
    </row>
    <row r="331" spans="1:17">
      <c r="A331">
        <f>발송처리!A331</f>
        <v>0</v>
      </c>
      <c r="B331">
        <f>발송처리!M331</f>
        <v>0</v>
      </c>
      <c r="E331" t="e">
        <f>VLOOKUP(발송처리!V331,'상품DB(수정x)'!B:E,2,0)</f>
        <v>#N/A</v>
      </c>
      <c r="F331" s="13" t="e">
        <f>VLOOKUP(발송처리!V331,'상품DB(수정x)'!B:E,4,0)</f>
        <v>#N/A</v>
      </c>
      <c r="G331" s="8">
        <f>발송처리!X331</f>
        <v>0</v>
      </c>
      <c r="I331">
        <f>발송처리!AW331</f>
        <v>0</v>
      </c>
      <c r="K331" t="e">
        <f t="shared" si="7"/>
        <v>#N/A</v>
      </c>
      <c r="L331">
        <f>발송처리!AU331</f>
        <v>0</v>
      </c>
      <c r="M331">
        <f>발송처리!AP331</f>
        <v>0</v>
      </c>
      <c r="N331">
        <f>발송처리!AV331</f>
        <v>0</v>
      </c>
      <c r="O331">
        <f>발송처리!AR331</f>
        <v>0</v>
      </c>
      <c r="P331">
        <f>발송처리!K331</f>
        <v>0</v>
      </c>
      <c r="Q331" s="2">
        <f>발송처리!AC331</f>
        <v>0</v>
      </c>
    </row>
    <row r="332" spans="1:17">
      <c r="A332">
        <f>발송처리!A332</f>
        <v>0</v>
      </c>
      <c r="B332">
        <f>발송처리!M332</f>
        <v>0</v>
      </c>
      <c r="E332" t="e">
        <f>VLOOKUP(발송처리!V332,'상품DB(수정x)'!B:E,2,0)</f>
        <v>#N/A</v>
      </c>
      <c r="F332" s="13" t="e">
        <f>VLOOKUP(발송처리!V332,'상품DB(수정x)'!B:E,4,0)</f>
        <v>#N/A</v>
      </c>
      <c r="G332" s="8">
        <f>발송처리!X332</f>
        <v>0</v>
      </c>
      <c r="I332">
        <f>발송처리!AW332</f>
        <v>0</v>
      </c>
      <c r="K332" t="e">
        <f t="shared" si="7"/>
        <v>#N/A</v>
      </c>
      <c r="L332">
        <f>발송처리!AU332</f>
        <v>0</v>
      </c>
      <c r="M332">
        <f>발송처리!AP332</f>
        <v>0</v>
      </c>
      <c r="N332">
        <f>발송처리!AV332</f>
        <v>0</v>
      </c>
      <c r="O332">
        <f>발송처리!AR332</f>
        <v>0</v>
      </c>
      <c r="P332">
        <f>발송처리!K332</f>
        <v>0</v>
      </c>
      <c r="Q332" s="2">
        <f>발송처리!AC332</f>
        <v>0</v>
      </c>
    </row>
    <row r="333" spans="1:17">
      <c r="A333">
        <f>발송처리!A333</f>
        <v>0</v>
      </c>
      <c r="B333">
        <f>발송처리!M333</f>
        <v>0</v>
      </c>
      <c r="E333" t="e">
        <f>VLOOKUP(발송처리!V333,'상품DB(수정x)'!B:E,2,0)</f>
        <v>#N/A</v>
      </c>
      <c r="F333" s="13" t="e">
        <f>VLOOKUP(발송처리!V333,'상품DB(수정x)'!B:E,4,0)</f>
        <v>#N/A</v>
      </c>
      <c r="G333" s="8">
        <f>발송처리!X333</f>
        <v>0</v>
      </c>
      <c r="I333">
        <f>발송처리!AW333</f>
        <v>0</v>
      </c>
      <c r="K333" t="e">
        <f t="shared" si="7"/>
        <v>#N/A</v>
      </c>
      <c r="L333">
        <f>발송처리!AU333</f>
        <v>0</v>
      </c>
      <c r="M333">
        <f>발송처리!AP333</f>
        <v>0</v>
      </c>
      <c r="N333">
        <f>발송처리!AV333</f>
        <v>0</v>
      </c>
      <c r="O333">
        <f>발송처리!AR333</f>
        <v>0</v>
      </c>
      <c r="P333">
        <f>발송처리!K333</f>
        <v>0</v>
      </c>
      <c r="Q333" s="2">
        <f>발송처리!AC333</f>
        <v>0</v>
      </c>
    </row>
    <row r="334" spans="1:17">
      <c r="A334">
        <f>발송처리!A334</f>
        <v>0</v>
      </c>
      <c r="B334">
        <f>발송처리!M334</f>
        <v>0</v>
      </c>
      <c r="E334" t="e">
        <f>VLOOKUP(발송처리!V334,'상품DB(수정x)'!B:E,2,0)</f>
        <v>#N/A</v>
      </c>
      <c r="F334" s="13" t="e">
        <f>VLOOKUP(발송처리!V334,'상품DB(수정x)'!B:E,4,0)</f>
        <v>#N/A</v>
      </c>
      <c r="G334" s="8">
        <f>발송처리!X334</f>
        <v>0</v>
      </c>
      <c r="I334">
        <f>발송처리!AW334</f>
        <v>0</v>
      </c>
      <c r="K334" t="e">
        <f t="shared" si="7"/>
        <v>#N/A</v>
      </c>
      <c r="L334">
        <f>발송처리!AU334</f>
        <v>0</v>
      </c>
      <c r="M334">
        <f>발송처리!AP334</f>
        <v>0</v>
      </c>
      <c r="N334">
        <f>발송처리!AV334</f>
        <v>0</v>
      </c>
      <c r="O334">
        <f>발송처리!AR334</f>
        <v>0</v>
      </c>
      <c r="P334">
        <f>발송처리!K334</f>
        <v>0</v>
      </c>
      <c r="Q334" s="2">
        <f>발송처리!AC334</f>
        <v>0</v>
      </c>
    </row>
    <row r="335" spans="1:17">
      <c r="A335">
        <f>발송처리!A335</f>
        <v>0</v>
      </c>
      <c r="B335">
        <f>발송처리!M335</f>
        <v>0</v>
      </c>
      <c r="E335" t="e">
        <f>VLOOKUP(발송처리!V335,'상품DB(수정x)'!B:E,2,0)</f>
        <v>#N/A</v>
      </c>
      <c r="F335" s="13" t="e">
        <f>VLOOKUP(발송처리!V335,'상품DB(수정x)'!B:E,4,0)</f>
        <v>#N/A</v>
      </c>
      <c r="G335" s="8">
        <f>발송처리!X335</f>
        <v>0</v>
      </c>
      <c r="I335">
        <f>발송처리!AW335</f>
        <v>0</v>
      </c>
      <c r="K335" t="e">
        <f t="shared" si="7"/>
        <v>#N/A</v>
      </c>
      <c r="L335">
        <f>발송처리!AU335</f>
        <v>0</v>
      </c>
      <c r="M335">
        <f>발송처리!AP335</f>
        <v>0</v>
      </c>
      <c r="N335">
        <f>발송처리!AV335</f>
        <v>0</v>
      </c>
      <c r="O335">
        <f>발송처리!AR335</f>
        <v>0</v>
      </c>
      <c r="P335">
        <f>발송처리!K335</f>
        <v>0</v>
      </c>
      <c r="Q335" s="2">
        <f>발송처리!AC335</f>
        <v>0</v>
      </c>
    </row>
    <row r="336" spans="1:17">
      <c r="A336">
        <f>발송처리!A336</f>
        <v>0</v>
      </c>
      <c r="B336">
        <f>발송처리!M336</f>
        <v>0</v>
      </c>
      <c r="E336" t="e">
        <f>VLOOKUP(발송처리!V336,'상품DB(수정x)'!B:E,2,0)</f>
        <v>#N/A</v>
      </c>
      <c r="F336" s="13" t="e">
        <f>VLOOKUP(발송처리!V336,'상품DB(수정x)'!B:E,4,0)</f>
        <v>#N/A</v>
      </c>
      <c r="G336" s="8">
        <f>발송처리!X336</f>
        <v>0</v>
      </c>
      <c r="I336">
        <f>발송처리!AW336</f>
        <v>0</v>
      </c>
      <c r="K336" t="e">
        <f t="shared" si="7"/>
        <v>#N/A</v>
      </c>
      <c r="L336">
        <f>발송처리!AU336</f>
        <v>0</v>
      </c>
      <c r="M336">
        <f>발송처리!AP336</f>
        <v>0</v>
      </c>
      <c r="N336">
        <f>발송처리!AV336</f>
        <v>0</v>
      </c>
      <c r="O336">
        <f>발송처리!AR336</f>
        <v>0</v>
      </c>
      <c r="P336">
        <f>발송처리!K336</f>
        <v>0</v>
      </c>
      <c r="Q336" s="2">
        <f>발송처리!AC336</f>
        <v>0</v>
      </c>
    </row>
    <row r="337" spans="1:17">
      <c r="A337">
        <f>발송처리!A337</f>
        <v>0</v>
      </c>
      <c r="B337">
        <f>발송처리!M337</f>
        <v>0</v>
      </c>
      <c r="E337" t="e">
        <f>VLOOKUP(발송처리!V337,'상품DB(수정x)'!B:E,2,0)</f>
        <v>#N/A</v>
      </c>
      <c r="F337" s="13" t="e">
        <f>VLOOKUP(발송처리!V337,'상품DB(수정x)'!B:E,4,0)</f>
        <v>#N/A</v>
      </c>
      <c r="G337" s="8">
        <f>발송처리!X337</f>
        <v>0</v>
      </c>
      <c r="I337">
        <f>발송처리!AW337</f>
        <v>0</v>
      </c>
      <c r="K337" t="e">
        <f t="shared" si="7"/>
        <v>#N/A</v>
      </c>
      <c r="L337">
        <f>발송처리!AU337</f>
        <v>0</v>
      </c>
      <c r="M337">
        <f>발송처리!AP337</f>
        <v>0</v>
      </c>
      <c r="N337">
        <f>발송처리!AV337</f>
        <v>0</v>
      </c>
      <c r="O337">
        <f>발송처리!AR337</f>
        <v>0</v>
      </c>
      <c r="P337">
        <f>발송처리!K337</f>
        <v>0</v>
      </c>
      <c r="Q337" s="2">
        <f>발송처리!AC337</f>
        <v>0</v>
      </c>
    </row>
    <row r="338" spans="1:17">
      <c r="A338">
        <f>발송처리!A338</f>
        <v>0</v>
      </c>
      <c r="B338">
        <f>발송처리!M338</f>
        <v>0</v>
      </c>
      <c r="E338" t="e">
        <f>VLOOKUP(발송처리!V338,'상품DB(수정x)'!B:E,2,0)</f>
        <v>#N/A</v>
      </c>
      <c r="F338" s="13" t="e">
        <f>VLOOKUP(발송처리!V338,'상품DB(수정x)'!B:E,4,0)</f>
        <v>#N/A</v>
      </c>
      <c r="G338" s="8">
        <f>발송처리!X338</f>
        <v>0</v>
      </c>
      <c r="I338">
        <f>발송처리!AW338</f>
        <v>0</v>
      </c>
      <c r="K338" t="e">
        <f t="shared" si="7"/>
        <v>#N/A</v>
      </c>
      <c r="L338">
        <f>발송처리!AU338</f>
        <v>0</v>
      </c>
      <c r="M338">
        <f>발송처리!AP338</f>
        <v>0</v>
      </c>
      <c r="N338">
        <f>발송처리!AV338</f>
        <v>0</v>
      </c>
      <c r="O338">
        <f>발송처리!AR338</f>
        <v>0</v>
      </c>
      <c r="P338">
        <f>발송처리!K338</f>
        <v>0</v>
      </c>
      <c r="Q338" s="2">
        <f>발송처리!AC338</f>
        <v>0</v>
      </c>
    </row>
    <row r="339" spans="1:17">
      <c r="A339">
        <f>발송처리!A339</f>
        <v>0</v>
      </c>
      <c r="B339">
        <f>발송처리!M339</f>
        <v>0</v>
      </c>
      <c r="E339" t="e">
        <f>VLOOKUP(발송처리!V339,'상품DB(수정x)'!B:E,2,0)</f>
        <v>#N/A</v>
      </c>
      <c r="F339" s="13" t="e">
        <f>VLOOKUP(발송처리!V339,'상품DB(수정x)'!B:E,4,0)</f>
        <v>#N/A</v>
      </c>
      <c r="G339" s="8">
        <f>발송처리!X339</f>
        <v>0</v>
      </c>
      <c r="I339">
        <f>발송처리!AW339</f>
        <v>0</v>
      </c>
      <c r="K339" t="e">
        <f t="shared" si="7"/>
        <v>#N/A</v>
      </c>
      <c r="L339">
        <f>발송처리!AU339</f>
        <v>0</v>
      </c>
      <c r="M339">
        <f>발송처리!AP339</f>
        <v>0</v>
      </c>
      <c r="N339">
        <f>발송처리!AV339</f>
        <v>0</v>
      </c>
      <c r="O339">
        <f>발송처리!AR339</f>
        <v>0</v>
      </c>
      <c r="P339">
        <f>발송처리!K339</f>
        <v>0</v>
      </c>
      <c r="Q339" s="2">
        <f>발송처리!AC339</f>
        <v>0</v>
      </c>
    </row>
    <row r="340" spans="1:17">
      <c r="A340">
        <f>발송처리!A340</f>
        <v>0</v>
      </c>
      <c r="B340">
        <f>발송처리!M340</f>
        <v>0</v>
      </c>
      <c r="E340" t="e">
        <f>VLOOKUP(발송처리!V340,'상품DB(수정x)'!B:E,2,0)</f>
        <v>#N/A</v>
      </c>
      <c r="F340" s="13" t="e">
        <f>VLOOKUP(발송처리!V340,'상품DB(수정x)'!B:E,4,0)</f>
        <v>#N/A</v>
      </c>
      <c r="G340" s="8">
        <f>발송처리!X340</f>
        <v>0</v>
      </c>
      <c r="I340">
        <f>발송처리!AW340</f>
        <v>0</v>
      </c>
      <c r="K340" t="e">
        <f t="shared" si="7"/>
        <v>#N/A</v>
      </c>
      <c r="L340">
        <f>발송처리!AU340</f>
        <v>0</v>
      </c>
      <c r="M340">
        <f>발송처리!AP340</f>
        <v>0</v>
      </c>
      <c r="N340">
        <f>발송처리!AV340</f>
        <v>0</v>
      </c>
      <c r="O340">
        <f>발송처리!AR340</f>
        <v>0</v>
      </c>
      <c r="P340">
        <f>발송처리!K340</f>
        <v>0</v>
      </c>
      <c r="Q340" s="2">
        <f>발송처리!AC340</f>
        <v>0</v>
      </c>
    </row>
    <row r="341" spans="1:17">
      <c r="A341">
        <f>발송처리!A341</f>
        <v>0</v>
      </c>
      <c r="B341">
        <f>발송처리!M341</f>
        <v>0</v>
      </c>
      <c r="E341" t="e">
        <f>VLOOKUP(발송처리!V341,'상품DB(수정x)'!B:E,2,0)</f>
        <v>#N/A</v>
      </c>
      <c r="F341" s="13" t="e">
        <f>VLOOKUP(발송처리!V341,'상품DB(수정x)'!B:E,4,0)</f>
        <v>#N/A</v>
      </c>
      <c r="G341" s="8">
        <f>발송처리!X341</f>
        <v>0</v>
      </c>
      <c r="I341">
        <f>발송처리!AW341</f>
        <v>0</v>
      </c>
      <c r="K341" t="e">
        <f t="shared" si="7"/>
        <v>#N/A</v>
      </c>
      <c r="L341">
        <f>발송처리!AU341</f>
        <v>0</v>
      </c>
      <c r="M341">
        <f>발송처리!AP341</f>
        <v>0</v>
      </c>
      <c r="N341">
        <f>발송처리!AV341</f>
        <v>0</v>
      </c>
      <c r="O341">
        <f>발송처리!AR341</f>
        <v>0</v>
      </c>
      <c r="P341">
        <f>발송처리!K341</f>
        <v>0</v>
      </c>
      <c r="Q341" s="2">
        <f>발송처리!AC341</f>
        <v>0</v>
      </c>
    </row>
    <row r="342" spans="1:17">
      <c r="A342">
        <f>발송처리!A342</f>
        <v>0</v>
      </c>
      <c r="B342">
        <f>발송처리!M342</f>
        <v>0</v>
      </c>
      <c r="E342" t="e">
        <f>VLOOKUP(발송처리!V342,'상품DB(수정x)'!B:E,2,0)</f>
        <v>#N/A</v>
      </c>
      <c r="F342" s="13" t="e">
        <f>VLOOKUP(발송처리!V342,'상품DB(수정x)'!B:E,4,0)</f>
        <v>#N/A</v>
      </c>
      <c r="G342" s="8">
        <f>발송처리!X342</f>
        <v>0</v>
      </c>
      <c r="I342">
        <f>발송처리!AW342</f>
        <v>0</v>
      </c>
      <c r="K342" t="e">
        <f t="shared" si="7"/>
        <v>#N/A</v>
      </c>
      <c r="L342">
        <f>발송처리!AU342</f>
        <v>0</v>
      </c>
      <c r="M342">
        <f>발송처리!AP342</f>
        <v>0</v>
      </c>
      <c r="N342">
        <f>발송처리!AV342</f>
        <v>0</v>
      </c>
      <c r="O342">
        <f>발송처리!AR342</f>
        <v>0</v>
      </c>
      <c r="P342">
        <f>발송처리!K342</f>
        <v>0</v>
      </c>
      <c r="Q342" s="2">
        <f>발송처리!AC342</f>
        <v>0</v>
      </c>
    </row>
    <row r="343" spans="1:17">
      <c r="A343">
        <f>발송처리!A343</f>
        <v>0</v>
      </c>
      <c r="B343">
        <f>발송처리!M343</f>
        <v>0</v>
      </c>
      <c r="E343" t="e">
        <f>VLOOKUP(발송처리!V343,'상품DB(수정x)'!B:E,2,0)</f>
        <v>#N/A</v>
      </c>
      <c r="F343" s="13" t="e">
        <f>VLOOKUP(발송처리!V343,'상품DB(수정x)'!B:E,4,0)</f>
        <v>#N/A</v>
      </c>
      <c r="G343" s="8">
        <f>발송처리!X343</f>
        <v>0</v>
      </c>
      <c r="I343">
        <f>발송처리!AW343</f>
        <v>0</v>
      </c>
      <c r="K343" t="e">
        <f t="shared" si="7"/>
        <v>#N/A</v>
      </c>
      <c r="L343">
        <f>발송처리!AU343</f>
        <v>0</v>
      </c>
      <c r="M343">
        <f>발송처리!AP343</f>
        <v>0</v>
      </c>
      <c r="N343">
        <f>발송처리!AV343</f>
        <v>0</v>
      </c>
      <c r="O343">
        <f>발송처리!AR343</f>
        <v>0</v>
      </c>
      <c r="P343">
        <f>발송처리!K343</f>
        <v>0</v>
      </c>
      <c r="Q343" s="2">
        <f>발송처리!AC343</f>
        <v>0</v>
      </c>
    </row>
    <row r="344" spans="1:17">
      <c r="A344">
        <f>발송처리!A344</f>
        <v>0</v>
      </c>
      <c r="B344">
        <f>발송처리!M344</f>
        <v>0</v>
      </c>
      <c r="E344" t="e">
        <f>VLOOKUP(발송처리!V344,'상품DB(수정x)'!B:E,2,0)</f>
        <v>#N/A</v>
      </c>
      <c r="F344" s="13" t="e">
        <f>VLOOKUP(발송처리!V344,'상품DB(수정x)'!B:E,4,0)</f>
        <v>#N/A</v>
      </c>
      <c r="G344" s="8">
        <f>발송처리!X344</f>
        <v>0</v>
      </c>
      <c r="I344">
        <f>발송처리!AW344</f>
        <v>0</v>
      </c>
      <c r="K344" t="e">
        <f t="shared" si="7"/>
        <v>#N/A</v>
      </c>
      <c r="L344">
        <f>발송처리!AU344</f>
        <v>0</v>
      </c>
      <c r="M344">
        <f>발송처리!AP344</f>
        <v>0</v>
      </c>
      <c r="N344">
        <f>발송처리!AV344</f>
        <v>0</v>
      </c>
      <c r="O344">
        <f>발송처리!AR344</f>
        <v>0</v>
      </c>
      <c r="P344">
        <f>발송처리!K344</f>
        <v>0</v>
      </c>
      <c r="Q344" s="2">
        <f>발송처리!AC344</f>
        <v>0</v>
      </c>
    </row>
    <row r="345" spans="1:17">
      <c r="A345">
        <f>발송처리!A345</f>
        <v>0</v>
      </c>
      <c r="B345">
        <f>발송처리!M345</f>
        <v>0</v>
      </c>
      <c r="E345" t="e">
        <f>VLOOKUP(발송처리!V345,'상품DB(수정x)'!B:E,2,0)</f>
        <v>#N/A</v>
      </c>
      <c r="F345" s="13" t="e">
        <f>VLOOKUP(발송처리!V345,'상품DB(수정x)'!B:E,4,0)</f>
        <v>#N/A</v>
      </c>
      <c r="G345" s="8">
        <f>발송처리!X345</f>
        <v>0</v>
      </c>
      <c r="I345">
        <f>발송처리!AW345</f>
        <v>0</v>
      </c>
      <c r="K345" t="e">
        <f t="shared" si="7"/>
        <v>#N/A</v>
      </c>
      <c r="L345">
        <f>발송처리!AU345</f>
        <v>0</v>
      </c>
      <c r="M345">
        <f>발송처리!AP345</f>
        <v>0</v>
      </c>
      <c r="N345">
        <f>발송처리!AV345</f>
        <v>0</v>
      </c>
      <c r="O345">
        <f>발송처리!AR345</f>
        <v>0</v>
      </c>
      <c r="P345">
        <f>발송처리!K345</f>
        <v>0</v>
      </c>
      <c r="Q345" s="2">
        <f>발송처리!AC345</f>
        <v>0</v>
      </c>
    </row>
    <row r="346" spans="1:17">
      <c r="A346">
        <f>발송처리!A346</f>
        <v>0</v>
      </c>
      <c r="B346">
        <f>발송처리!M346</f>
        <v>0</v>
      </c>
      <c r="E346" t="e">
        <f>VLOOKUP(발송처리!V346,'상품DB(수정x)'!B:E,2,0)</f>
        <v>#N/A</v>
      </c>
      <c r="F346" s="13" t="e">
        <f>VLOOKUP(발송처리!V346,'상품DB(수정x)'!B:E,4,0)</f>
        <v>#N/A</v>
      </c>
      <c r="G346" s="8">
        <f>발송처리!X346</f>
        <v>0</v>
      </c>
      <c r="I346">
        <f>발송처리!AW346</f>
        <v>0</v>
      </c>
      <c r="K346" t="e">
        <f t="shared" si="7"/>
        <v>#N/A</v>
      </c>
      <c r="L346">
        <f>발송처리!AU346</f>
        <v>0</v>
      </c>
      <c r="M346">
        <f>발송처리!AP346</f>
        <v>0</v>
      </c>
      <c r="N346">
        <f>발송처리!AV346</f>
        <v>0</v>
      </c>
      <c r="O346">
        <f>발송처리!AR346</f>
        <v>0</v>
      </c>
      <c r="P346">
        <f>발송처리!K346</f>
        <v>0</v>
      </c>
      <c r="Q346" s="2">
        <f>발송처리!AC346</f>
        <v>0</v>
      </c>
    </row>
    <row r="347" spans="1:17">
      <c r="A347">
        <f>발송처리!A347</f>
        <v>0</v>
      </c>
      <c r="B347">
        <f>발송처리!M347</f>
        <v>0</v>
      </c>
      <c r="E347" t="e">
        <f>VLOOKUP(발송처리!V347,'상품DB(수정x)'!B:E,2,0)</f>
        <v>#N/A</v>
      </c>
      <c r="F347" s="13" t="e">
        <f>VLOOKUP(발송처리!V347,'상품DB(수정x)'!B:E,4,0)</f>
        <v>#N/A</v>
      </c>
      <c r="G347" s="8">
        <f>발송처리!X347</f>
        <v>0</v>
      </c>
      <c r="I347">
        <f>발송처리!AW347</f>
        <v>0</v>
      </c>
      <c r="K347" t="e">
        <f t="shared" si="7"/>
        <v>#N/A</v>
      </c>
      <c r="L347">
        <f>발송처리!AU347</f>
        <v>0</v>
      </c>
      <c r="M347">
        <f>발송처리!AP347</f>
        <v>0</v>
      </c>
      <c r="N347">
        <f>발송처리!AV347</f>
        <v>0</v>
      </c>
      <c r="O347">
        <f>발송처리!AR347</f>
        <v>0</v>
      </c>
      <c r="P347">
        <f>발송처리!K347</f>
        <v>0</v>
      </c>
      <c r="Q347" s="2">
        <f>발송처리!AC347</f>
        <v>0</v>
      </c>
    </row>
    <row r="348" spans="1:17">
      <c r="A348">
        <f>발송처리!A348</f>
        <v>0</v>
      </c>
      <c r="B348">
        <f>발송처리!M348</f>
        <v>0</v>
      </c>
      <c r="E348" t="e">
        <f>VLOOKUP(발송처리!V348,'상품DB(수정x)'!B:E,2,0)</f>
        <v>#N/A</v>
      </c>
      <c r="F348" s="13" t="e">
        <f>VLOOKUP(발송처리!V348,'상품DB(수정x)'!B:E,4,0)</f>
        <v>#N/A</v>
      </c>
      <c r="G348" s="8">
        <f>발송처리!X348</f>
        <v>0</v>
      </c>
      <c r="I348">
        <f>발송처리!AW348</f>
        <v>0</v>
      </c>
      <c r="K348" t="e">
        <f t="shared" si="7"/>
        <v>#N/A</v>
      </c>
      <c r="L348">
        <f>발송처리!AU348</f>
        <v>0</v>
      </c>
      <c r="M348">
        <f>발송처리!AP348</f>
        <v>0</v>
      </c>
      <c r="N348">
        <f>발송처리!AV348</f>
        <v>0</v>
      </c>
      <c r="O348">
        <f>발송처리!AR348</f>
        <v>0</v>
      </c>
      <c r="P348">
        <f>발송처리!K348</f>
        <v>0</v>
      </c>
      <c r="Q348" s="2">
        <f>발송처리!AC348</f>
        <v>0</v>
      </c>
    </row>
    <row r="349" spans="1:17">
      <c r="A349">
        <f>발송처리!A349</f>
        <v>0</v>
      </c>
      <c r="B349">
        <f>발송처리!M349</f>
        <v>0</v>
      </c>
      <c r="E349" t="e">
        <f>VLOOKUP(발송처리!V349,'상품DB(수정x)'!B:E,2,0)</f>
        <v>#N/A</v>
      </c>
      <c r="F349" s="13" t="e">
        <f>VLOOKUP(발송처리!V349,'상품DB(수정x)'!B:E,4,0)</f>
        <v>#N/A</v>
      </c>
      <c r="G349" s="8">
        <f>발송처리!X349</f>
        <v>0</v>
      </c>
      <c r="I349">
        <f>발송처리!AW349</f>
        <v>0</v>
      </c>
      <c r="K349" t="e">
        <f t="shared" si="7"/>
        <v>#N/A</v>
      </c>
      <c r="L349">
        <f>발송처리!AU349</f>
        <v>0</v>
      </c>
      <c r="M349">
        <f>발송처리!AP349</f>
        <v>0</v>
      </c>
      <c r="N349">
        <f>발송처리!AV349</f>
        <v>0</v>
      </c>
      <c r="O349">
        <f>발송처리!AR349</f>
        <v>0</v>
      </c>
      <c r="P349">
        <f>발송처리!K349</f>
        <v>0</v>
      </c>
      <c r="Q349" s="2">
        <f>발송처리!AC349</f>
        <v>0</v>
      </c>
    </row>
    <row r="350" spans="1:17">
      <c r="A350">
        <f>발송처리!A350</f>
        <v>0</v>
      </c>
      <c r="B350">
        <f>발송처리!M350</f>
        <v>0</v>
      </c>
      <c r="E350" t="e">
        <f>VLOOKUP(발송처리!V350,'상품DB(수정x)'!B:E,2,0)</f>
        <v>#N/A</v>
      </c>
      <c r="F350" s="13" t="e">
        <f>VLOOKUP(발송처리!V350,'상품DB(수정x)'!B:E,4,0)</f>
        <v>#N/A</v>
      </c>
      <c r="G350" s="8">
        <f>발송처리!X350</f>
        <v>0</v>
      </c>
      <c r="I350">
        <f>발송처리!AW350</f>
        <v>0</v>
      </c>
      <c r="K350" t="e">
        <f t="shared" si="7"/>
        <v>#N/A</v>
      </c>
      <c r="L350">
        <f>발송처리!AU350</f>
        <v>0</v>
      </c>
      <c r="M350">
        <f>발송처리!AP350</f>
        <v>0</v>
      </c>
      <c r="N350">
        <f>발송처리!AV350</f>
        <v>0</v>
      </c>
      <c r="O350">
        <f>발송처리!AR350</f>
        <v>0</v>
      </c>
      <c r="P350">
        <f>발송처리!K350</f>
        <v>0</v>
      </c>
      <c r="Q350" s="2">
        <f>발송처리!AC350</f>
        <v>0</v>
      </c>
    </row>
    <row r="351" spans="1:17">
      <c r="A351">
        <f>발송처리!A351</f>
        <v>0</v>
      </c>
      <c r="B351">
        <f>발송처리!M351</f>
        <v>0</v>
      </c>
      <c r="E351" t="e">
        <f>VLOOKUP(발송처리!V351,'상품DB(수정x)'!B:E,2,0)</f>
        <v>#N/A</v>
      </c>
      <c r="F351" s="13" t="e">
        <f>VLOOKUP(발송처리!V351,'상품DB(수정x)'!B:E,4,0)</f>
        <v>#N/A</v>
      </c>
      <c r="G351" s="8">
        <f>발송처리!X351</f>
        <v>0</v>
      </c>
      <c r="I351">
        <f>발송처리!AW351</f>
        <v>0</v>
      </c>
      <c r="K351" t="e">
        <f t="shared" si="7"/>
        <v>#N/A</v>
      </c>
      <c r="L351">
        <f>발송처리!AU351</f>
        <v>0</v>
      </c>
      <c r="M351">
        <f>발송처리!AP351</f>
        <v>0</v>
      </c>
      <c r="N351">
        <f>발송처리!AV351</f>
        <v>0</v>
      </c>
      <c r="O351">
        <f>발송처리!AR351</f>
        <v>0</v>
      </c>
      <c r="P351">
        <f>발송처리!K351</f>
        <v>0</v>
      </c>
      <c r="Q351" s="2">
        <f>발송처리!AC351</f>
        <v>0</v>
      </c>
    </row>
    <row r="352" spans="1:17">
      <c r="A352">
        <f>발송처리!A352</f>
        <v>0</v>
      </c>
      <c r="B352">
        <f>발송처리!M352</f>
        <v>0</v>
      </c>
      <c r="E352" t="e">
        <f>VLOOKUP(발송처리!V352,'상품DB(수정x)'!B:E,2,0)</f>
        <v>#N/A</v>
      </c>
      <c r="F352" s="13" t="e">
        <f>VLOOKUP(발송처리!V352,'상품DB(수정x)'!B:E,4,0)</f>
        <v>#N/A</v>
      </c>
      <c r="G352" s="8">
        <f>발송처리!X352</f>
        <v>0</v>
      </c>
      <c r="I352">
        <f>발송처리!AW352</f>
        <v>0</v>
      </c>
      <c r="K352" t="e">
        <f t="shared" si="7"/>
        <v>#N/A</v>
      </c>
      <c r="L352">
        <f>발송처리!AU352</f>
        <v>0</v>
      </c>
      <c r="M352">
        <f>발송처리!AP352</f>
        <v>0</v>
      </c>
      <c r="N352">
        <f>발송처리!AV352</f>
        <v>0</v>
      </c>
      <c r="O352">
        <f>발송처리!AR352</f>
        <v>0</v>
      </c>
      <c r="P352">
        <f>발송처리!K352</f>
        <v>0</v>
      </c>
      <c r="Q352" s="2">
        <f>발송처리!AC352</f>
        <v>0</v>
      </c>
    </row>
    <row r="353" spans="1:17">
      <c r="A353">
        <f>발송처리!A353</f>
        <v>0</v>
      </c>
      <c r="B353">
        <f>발송처리!M353</f>
        <v>0</v>
      </c>
      <c r="E353" t="e">
        <f>VLOOKUP(발송처리!V353,'상품DB(수정x)'!B:E,2,0)</f>
        <v>#N/A</v>
      </c>
      <c r="F353" s="13" t="e">
        <f>VLOOKUP(발송처리!V353,'상품DB(수정x)'!B:E,4,0)</f>
        <v>#N/A</v>
      </c>
      <c r="G353" s="8">
        <f>발송처리!X353</f>
        <v>0</v>
      </c>
      <c r="I353">
        <f>발송처리!AW353</f>
        <v>0</v>
      </c>
      <c r="K353" t="e">
        <f t="shared" si="7"/>
        <v>#N/A</v>
      </c>
      <c r="L353">
        <f>발송처리!AU353</f>
        <v>0</v>
      </c>
      <c r="M353">
        <f>발송처리!AP353</f>
        <v>0</v>
      </c>
      <c r="N353">
        <f>발송처리!AV353</f>
        <v>0</v>
      </c>
      <c r="O353">
        <f>발송처리!AR353</f>
        <v>0</v>
      </c>
      <c r="P353">
        <f>발송처리!K353</f>
        <v>0</v>
      </c>
      <c r="Q353" s="2">
        <f>발송처리!AC353</f>
        <v>0</v>
      </c>
    </row>
    <row r="354" spans="1:17">
      <c r="A354">
        <f>발송처리!A354</f>
        <v>0</v>
      </c>
      <c r="B354">
        <f>발송처리!M354</f>
        <v>0</v>
      </c>
      <c r="E354" t="e">
        <f>VLOOKUP(발송처리!V354,'상품DB(수정x)'!B:E,2,0)</f>
        <v>#N/A</v>
      </c>
      <c r="F354" s="13" t="e">
        <f>VLOOKUP(발송처리!V354,'상품DB(수정x)'!B:E,4,0)</f>
        <v>#N/A</v>
      </c>
      <c r="G354" s="8">
        <f>발송처리!X354</f>
        <v>0</v>
      </c>
      <c r="I354">
        <f>발송처리!AW354</f>
        <v>0</v>
      </c>
      <c r="K354" t="e">
        <f t="shared" si="7"/>
        <v>#N/A</v>
      </c>
      <c r="L354">
        <f>발송처리!AU354</f>
        <v>0</v>
      </c>
      <c r="M354">
        <f>발송처리!AP354</f>
        <v>0</v>
      </c>
      <c r="N354">
        <f>발송처리!AV354</f>
        <v>0</v>
      </c>
      <c r="O354">
        <f>발송처리!AR354</f>
        <v>0</v>
      </c>
      <c r="P354">
        <f>발송처리!K354</f>
        <v>0</v>
      </c>
      <c r="Q354" s="2">
        <f>발송처리!AC354</f>
        <v>0</v>
      </c>
    </row>
    <row r="355" spans="1:17">
      <c r="A355">
        <f>발송처리!A355</f>
        <v>0</v>
      </c>
      <c r="B355">
        <f>발송처리!M355</f>
        <v>0</v>
      </c>
      <c r="E355" t="e">
        <f>VLOOKUP(발송처리!V355,'상품DB(수정x)'!B:E,2,0)</f>
        <v>#N/A</v>
      </c>
      <c r="F355" s="13" t="e">
        <f>VLOOKUP(발송처리!V355,'상품DB(수정x)'!B:E,4,0)</f>
        <v>#N/A</v>
      </c>
      <c r="G355" s="8">
        <f>발송처리!X355</f>
        <v>0</v>
      </c>
      <c r="I355">
        <f>발송처리!AW355</f>
        <v>0</v>
      </c>
      <c r="K355" t="e">
        <f t="shared" si="7"/>
        <v>#N/A</v>
      </c>
      <c r="L355">
        <f>발송처리!AU355</f>
        <v>0</v>
      </c>
      <c r="M355">
        <f>발송처리!AP355</f>
        <v>0</v>
      </c>
      <c r="N355">
        <f>발송처리!AV355</f>
        <v>0</v>
      </c>
      <c r="O355">
        <f>발송처리!AR355</f>
        <v>0</v>
      </c>
      <c r="P355">
        <f>발송처리!K355</f>
        <v>0</v>
      </c>
      <c r="Q355" s="2">
        <f>발송처리!AC355</f>
        <v>0</v>
      </c>
    </row>
    <row r="356" spans="1:17">
      <c r="A356">
        <f>발송처리!A356</f>
        <v>0</v>
      </c>
      <c r="B356">
        <f>발송처리!M356</f>
        <v>0</v>
      </c>
      <c r="E356" t="e">
        <f>VLOOKUP(발송처리!V356,'상품DB(수정x)'!B:E,2,0)</f>
        <v>#N/A</v>
      </c>
      <c r="F356" s="13" t="e">
        <f>VLOOKUP(발송처리!V356,'상품DB(수정x)'!B:E,4,0)</f>
        <v>#N/A</v>
      </c>
      <c r="G356" s="8">
        <f>발송처리!X356</f>
        <v>0</v>
      </c>
      <c r="I356">
        <f>발송처리!AW356</f>
        <v>0</v>
      </c>
      <c r="K356" t="e">
        <f t="shared" si="7"/>
        <v>#N/A</v>
      </c>
      <c r="L356">
        <f>발송처리!AU356</f>
        <v>0</v>
      </c>
      <c r="M356">
        <f>발송처리!AP356</f>
        <v>0</v>
      </c>
      <c r="N356">
        <f>발송처리!AV356</f>
        <v>0</v>
      </c>
      <c r="O356">
        <f>발송처리!AR356</f>
        <v>0</v>
      </c>
      <c r="P356">
        <f>발송처리!K356</f>
        <v>0</v>
      </c>
      <c r="Q356" s="2">
        <f>발송처리!AC356</f>
        <v>0</v>
      </c>
    </row>
    <row r="357" spans="1:17">
      <c r="A357">
        <f>발송처리!A357</f>
        <v>0</v>
      </c>
      <c r="B357">
        <f>발송처리!M357</f>
        <v>0</v>
      </c>
      <c r="E357" t="e">
        <f>VLOOKUP(발송처리!V357,'상품DB(수정x)'!B:E,2,0)</f>
        <v>#N/A</v>
      </c>
      <c r="F357" s="13" t="e">
        <f>VLOOKUP(발송처리!V357,'상품DB(수정x)'!B:E,4,0)</f>
        <v>#N/A</v>
      </c>
      <c r="G357" s="8">
        <f>발송처리!X357</f>
        <v>0</v>
      </c>
      <c r="I357">
        <f>발송처리!AW357</f>
        <v>0</v>
      </c>
      <c r="K357" t="e">
        <f t="shared" si="7"/>
        <v>#N/A</v>
      </c>
      <c r="L357">
        <f>발송처리!AU357</f>
        <v>0</v>
      </c>
      <c r="M357">
        <f>발송처리!AP357</f>
        <v>0</v>
      </c>
      <c r="N357">
        <f>발송처리!AV357</f>
        <v>0</v>
      </c>
      <c r="O357">
        <f>발송처리!AR357</f>
        <v>0</v>
      </c>
      <c r="P357">
        <f>발송처리!K357</f>
        <v>0</v>
      </c>
      <c r="Q357" s="2">
        <f>발송처리!AC357</f>
        <v>0</v>
      </c>
    </row>
    <row r="358" spans="1:17">
      <c r="A358">
        <f>발송처리!A358</f>
        <v>0</v>
      </c>
      <c r="B358">
        <f>발송처리!M358</f>
        <v>0</v>
      </c>
      <c r="E358" t="e">
        <f>VLOOKUP(발송처리!V358,'상품DB(수정x)'!B:E,2,0)</f>
        <v>#N/A</v>
      </c>
      <c r="F358" s="13" t="e">
        <f>VLOOKUP(발송처리!V358,'상품DB(수정x)'!B:E,4,0)</f>
        <v>#N/A</v>
      </c>
      <c r="G358" s="8">
        <f>발송처리!X358</f>
        <v>0</v>
      </c>
      <c r="I358">
        <f>발송처리!AW358</f>
        <v>0</v>
      </c>
      <c r="K358" t="e">
        <f t="shared" si="7"/>
        <v>#N/A</v>
      </c>
      <c r="L358">
        <f>발송처리!AU358</f>
        <v>0</v>
      </c>
      <c r="M358">
        <f>발송처리!AP358</f>
        <v>0</v>
      </c>
      <c r="N358">
        <f>발송처리!AV358</f>
        <v>0</v>
      </c>
      <c r="O358">
        <f>발송처리!AR358</f>
        <v>0</v>
      </c>
      <c r="P358">
        <f>발송처리!K358</f>
        <v>0</v>
      </c>
      <c r="Q358" s="2">
        <f>발송처리!AC358</f>
        <v>0</v>
      </c>
    </row>
    <row r="359" spans="1:17">
      <c r="A359">
        <f>발송처리!A359</f>
        <v>0</v>
      </c>
      <c r="B359">
        <f>발송처리!M359</f>
        <v>0</v>
      </c>
      <c r="E359" t="e">
        <f>VLOOKUP(발송처리!V359,'상품DB(수정x)'!B:E,2,0)</f>
        <v>#N/A</v>
      </c>
      <c r="F359" s="13" t="e">
        <f>VLOOKUP(발송처리!V359,'상품DB(수정x)'!B:E,4,0)</f>
        <v>#N/A</v>
      </c>
      <c r="G359" s="8">
        <f>발송처리!X359</f>
        <v>0</v>
      </c>
      <c r="I359">
        <f>발송처리!AW359</f>
        <v>0</v>
      </c>
      <c r="K359" t="e">
        <f t="shared" si="7"/>
        <v>#N/A</v>
      </c>
      <c r="L359">
        <f>발송처리!AU359</f>
        <v>0</v>
      </c>
      <c r="M359">
        <f>발송처리!AP359</f>
        <v>0</v>
      </c>
      <c r="N359">
        <f>발송처리!AV359</f>
        <v>0</v>
      </c>
      <c r="O359">
        <f>발송처리!AR359</f>
        <v>0</v>
      </c>
      <c r="P359">
        <f>발송처리!K359</f>
        <v>0</v>
      </c>
      <c r="Q359" s="2">
        <f>발송처리!AC359</f>
        <v>0</v>
      </c>
    </row>
    <row r="360" spans="1:17">
      <c r="A360">
        <f>발송처리!A360</f>
        <v>0</v>
      </c>
      <c r="B360">
        <f>발송처리!M360</f>
        <v>0</v>
      </c>
      <c r="E360" t="e">
        <f>VLOOKUP(발송처리!V360,'상품DB(수정x)'!B:E,2,0)</f>
        <v>#N/A</v>
      </c>
      <c r="F360" s="13" t="e">
        <f>VLOOKUP(발송처리!V360,'상품DB(수정x)'!B:E,4,0)</f>
        <v>#N/A</v>
      </c>
      <c r="G360" s="8">
        <f>발송처리!X360</f>
        <v>0</v>
      </c>
      <c r="I360">
        <f>발송처리!AW360</f>
        <v>0</v>
      </c>
      <c r="K360" t="e">
        <f t="shared" si="7"/>
        <v>#N/A</v>
      </c>
      <c r="L360">
        <f>발송처리!AU360</f>
        <v>0</v>
      </c>
      <c r="M360">
        <f>발송처리!AP360</f>
        <v>0</v>
      </c>
      <c r="N360">
        <f>발송처리!AV360</f>
        <v>0</v>
      </c>
      <c r="O360">
        <f>발송처리!AR360</f>
        <v>0</v>
      </c>
      <c r="P360">
        <f>발송처리!K360</f>
        <v>0</v>
      </c>
      <c r="Q360" s="2">
        <f>발송처리!AC360</f>
        <v>0</v>
      </c>
    </row>
    <row r="361" spans="1:17">
      <c r="A361">
        <f>발송처리!A361</f>
        <v>0</v>
      </c>
      <c r="B361">
        <f>발송처리!M361</f>
        <v>0</v>
      </c>
      <c r="E361" t="e">
        <f>VLOOKUP(발송처리!V361,'상품DB(수정x)'!B:E,2,0)</f>
        <v>#N/A</v>
      </c>
      <c r="F361" s="13" t="e">
        <f>VLOOKUP(발송처리!V361,'상품DB(수정x)'!B:E,4,0)</f>
        <v>#N/A</v>
      </c>
      <c r="G361" s="8">
        <f>발송처리!X361</f>
        <v>0</v>
      </c>
      <c r="I361">
        <f>발송처리!AW361</f>
        <v>0</v>
      </c>
      <c r="K361" t="e">
        <f t="shared" si="7"/>
        <v>#N/A</v>
      </c>
      <c r="L361">
        <f>발송처리!AU361</f>
        <v>0</v>
      </c>
      <c r="M361">
        <f>발송처리!AP361</f>
        <v>0</v>
      </c>
      <c r="N361">
        <f>발송처리!AV361</f>
        <v>0</v>
      </c>
      <c r="O361">
        <f>발송처리!AR361</f>
        <v>0</v>
      </c>
      <c r="P361">
        <f>발송처리!K361</f>
        <v>0</v>
      </c>
      <c r="Q361" s="2">
        <f>발송처리!AC361</f>
        <v>0</v>
      </c>
    </row>
    <row r="362" spans="1:17">
      <c r="A362">
        <f>발송처리!A362</f>
        <v>0</v>
      </c>
      <c r="B362">
        <f>발송처리!M362</f>
        <v>0</v>
      </c>
      <c r="E362" t="e">
        <f>VLOOKUP(발송처리!V362,'상품DB(수정x)'!B:E,2,0)</f>
        <v>#N/A</v>
      </c>
      <c r="F362" s="13" t="e">
        <f>VLOOKUP(발송처리!V362,'상품DB(수정x)'!B:E,4,0)</f>
        <v>#N/A</v>
      </c>
      <c r="G362" s="8">
        <f>발송처리!X362</f>
        <v>0</v>
      </c>
      <c r="I362">
        <f>발송처리!AW362</f>
        <v>0</v>
      </c>
      <c r="K362" t="e">
        <f t="shared" si="7"/>
        <v>#N/A</v>
      </c>
      <c r="L362">
        <f>발송처리!AU362</f>
        <v>0</v>
      </c>
      <c r="M362">
        <f>발송처리!AP362</f>
        <v>0</v>
      </c>
      <c r="N362">
        <f>발송처리!AV362</f>
        <v>0</v>
      </c>
      <c r="O362">
        <f>발송처리!AR362</f>
        <v>0</v>
      </c>
      <c r="P362">
        <f>발송처리!K362</f>
        <v>0</v>
      </c>
      <c r="Q362" s="2">
        <f>발송처리!AC362</f>
        <v>0</v>
      </c>
    </row>
    <row r="363" spans="1:17">
      <c r="A363">
        <f>발송처리!A363</f>
        <v>0</v>
      </c>
      <c r="B363">
        <f>발송처리!M363</f>
        <v>0</v>
      </c>
      <c r="E363" t="e">
        <f>VLOOKUP(발송처리!V363,'상품DB(수정x)'!B:E,2,0)</f>
        <v>#N/A</v>
      </c>
      <c r="F363" s="13" t="e">
        <f>VLOOKUP(발송처리!V363,'상품DB(수정x)'!B:E,4,0)</f>
        <v>#N/A</v>
      </c>
      <c r="G363" s="8">
        <f>발송처리!X363</f>
        <v>0</v>
      </c>
      <c r="I363">
        <f>발송처리!AW363</f>
        <v>0</v>
      </c>
      <c r="K363" t="e">
        <f t="shared" si="7"/>
        <v>#N/A</v>
      </c>
      <c r="L363">
        <f>발송처리!AU363</f>
        <v>0</v>
      </c>
      <c r="M363">
        <f>발송처리!AP363</f>
        <v>0</v>
      </c>
      <c r="N363">
        <f>발송처리!AV363</f>
        <v>0</v>
      </c>
      <c r="O363">
        <f>발송처리!AR363</f>
        <v>0</v>
      </c>
      <c r="P363">
        <f>발송처리!K363</f>
        <v>0</v>
      </c>
      <c r="Q363" s="2">
        <f>발송처리!AC363</f>
        <v>0</v>
      </c>
    </row>
    <row r="364" spans="1:17">
      <c r="A364">
        <f>발송처리!A364</f>
        <v>0</v>
      </c>
      <c r="B364">
        <f>발송처리!M364</f>
        <v>0</v>
      </c>
      <c r="E364" t="e">
        <f>VLOOKUP(발송처리!V364,'상품DB(수정x)'!B:E,2,0)</f>
        <v>#N/A</v>
      </c>
      <c r="F364" s="13" t="e">
        <f>VLOOKUP(발송처리!V364,'상품DB(수정x)'!B:E,4,0)</f>
        <v>#N/A</v>
      </c>
      <c r="G364" s="8">
        <f>발송처리!X364</f>
        <v>0</v>
      </c>
      <c r="I364">
        <f>발송처리!AW364</f>
        <v>0</v>
      </c>
      <c r="K364" t="e">
        <f t="shared" si="7"/>
        <v>#N/A</v>
      </c>
      <c r="L364">
        <f>발송처리!AU364</f>
        <v>0</v>
      </c>
      <c r="M364">
        <f>발송처리!AP364</f>
        <v>0</v>
      </c>
      <c r="N364">
        <f>발송처리!AV364</f>
        <v>0</v>
      </c>
      <c r="O364">
        <f>발송처리!AR364</f>
        <v>0</v>
      </c>
      <c r="P364">
        <f>발송처리!K364</f>
        <v>0</v>
      </c>
      <c r="Q364" s="2">
        <f>발송처리!AC364</f>
        <v>0</v>
      </c>
    </row>
    <row r="365" spans="1:17">
      <c r="A365">
        <f>발송처리!A365</f>
        <v>0</v>
      </c>
      <c r="B365">
        <f>발송처리!M365</f>
        <v>0</v>
      </c>
      <c r="E365" t="e">
        <f>VLOOKUP(발송처리!V365,'상품DB(수정x)'!B:E,2,0)</f>
        <v>#N/A</v>
      </c>
      <c r="F365" s="13" t="e">
        <f>VLOOKUP(발송처리!V365,'상품DB(수정x)'!B:E,4,0)</f>
        <v>#N/A</v>
      </c>
      <c r="G365" s="8">
        <f>발송처리!X365</f>
        <v>0</v>
      </c>
      <c r="I365">
        <f>발송처리!AW365</f>
        <v>0</v>
      </c>
      <c r="K365" t="e">
        <f t="shared" si="7"/>
        <v>#N/A</v>
      </c>
      <c r="L365">
        <f>발송처리!AU365</f>
        <v>0</v>
      </c>
      <c r="M365">
        <f>발송처리!AP365</f>
        <v>0</v>
      </c>
      <c r="N365">
        <f>발송처리!AV365</f>
        <v>0</v>
      </c>
      <c r="O365">
        <f>발송처리!AR365</f>
        <v>0</v>
      </c>
      <c r="P365">
        <f>발송처리!K365</f>
        <v>0</v>
      </c>
      <c r="Q365" s="2">
        <f>발송처리!AC365</f>
        <v>0</v>
      </c>
    </row>
    <row r="366" spans="1:17">
      <c r="A366">
        <f>발송처리!A366</f>
        <v>0</v>
      </c>
      <c r="B366">
        <f>발송처리!M366</f>
        <v>0</v>
      </c>
      <c r="E366" t="e">
        <f>VLOOKUP(발송처리!V366,'상품DB(수정x)'!B:E,2,0)</f>
        <v>#N/A</v>
      </c>
      <c r="F366" s="13" t="e">
        <f>VLOOKUP(발송처리!V366,'상품DB(수정x)'!B:E,4,0)</f>
        <v>#N/A</v>
      </c>
      <c r="G366" s="8">
        <f>발송처리!X366</f>
        <v>0</v>
      </c>
      <c r="I366">
        <f>발송처리!AW366</f>
        <v>0</v>
      </c>
      <c r="K366" t="e">
        <f t="shared" si="7"/>
        <v>#N/A</v>
      </c>
      <c r="L366">
        <f>발송처리!AU366</f>
        <v>0</v>
      </c>
      <c r="M366">
        <f>발송처리!AP366</f>
        <v>0</v>
      </c>
      <c r="N366">
        <f>발송처리!AV366</f>
        <v>0</v>
      </c>
      <c r="O366">
        <f>발송처리!AR366</f>
        <v>0</v>
      </c>
      <c r="P366">
        <f>발송처리!K366</f>
        <v>0</v>
      </c>
      <c r="Q366" s="2">
        <f>발송처리!AC366</f>
        <v>0</v>
      </c>
    </row>
    <row r="367" spans="1:17">
      <c r="A367">
        <f>발송처리!A367</f>
        <v>0</v>
      </c>
      <c r="B367">
        <f>발송처리!M367</f>
        <v>0</v>
      </c>
      <c r="E367" t="e">
        <f>VLOOKUP(발송처리!V367,'상품DB(수정x)'!B:E,2,0)</f>
        <v>#N/A</v>
      </c>
      <c r="F367" s="13" t="e">
        <f>VLOOKUP(발송처리!V367,'상품DB(수정x)'!B:E,4,0)</f>
        <v>#N/A</v>
      </c>
      <c r="G367" s="8">
        <f>발송처리!X367</f>
        <v>0</v>
      </c>
      <c r="I367">
        <f>발송처리!AW367</f>
        <v>0</v>
      </c>
      <c r="K367" t="e">
        <f t="shared" si="7"/>
        <v>#N/A</v>
      </c>
      <c r="L367">
        <f>발송처리!AU367</f>
        <v>0</v>
      </c>
      <c r="M367">
        <f>발송처리!AP367</f>
        <v>0</v>
      </c>
      <c r="N367">
        <f>발송처리!AV367</f>
        <v>0</v>
      </c>
      <c r="O367">
        <f>발송처리!AR367</f>
        <v>0</v>
      </c>
      <c r="P367">
        <f>발송처리!K367</f>
        <v>0</v>
      </c>
      <c r="Q367" s="2">
        <f>발송처리!AC367</f>
        <v>0</v>
      </c>
    </row>
    <row r="368" spans="1:17">
      <c r="A368">
        <f>발송처리!A368</f>
        <v>0</v>
      </c>
      <c r="B368">
        <f>발송처리!M368</f>
        <v>0</v>
      </c>
      <c r="E368" t="e">
        <f>VLOOKUP(발송처리!V368,'상품DB(수정x)'!B:E,2,0)</f>
        <v>#N/A</v>
      </c>
      <c r="F368" s="13" t="e">
        <f>VLOOKUP(발송처리!V368,'상품DB(수정x)'!B:E,4,0)</f>
        <v>#N/A</v>
      </c>
      <c r="G368" s="8">
        <f>발송처리!X368</f>
        <v>0</v>
      </c>
      <c r="I368">
        <f>발송처리!AW368</f>
        <v>0</v>
      </c>
      <c r="K368" t="e">
        <f t="shared" si="7"/>
        <v>#N/A</v>
      </c>
      <c r="L368">
        <f>발송처리!AU368</f>
        <v>0</v>
      </c>
      <c r="M368">
        <f>발송처리!AP368</f>
        <v>0</v>
      </c>
      <c r="N368">
        <f>발송처리!AV368</f>
        <v>0</v>
      </c>
      <c r="O368">
        <f>발송처리!AR368</f>
        <v>0</v>
      </c>
      <c r="P368">
        <f>발송처리!K368</f>
        <v>0</v>
      </c>
      <c r="Q368" s="2">
        <f>발송처리!AC368</f>
        <v>0</v>
      </c>
    </row>
    <row r="369" spans="1:17">
      <c r="A369">
        <f>발송처리!A369</f>
        <v>0</v>
      </c>
      <c r="B369">
        <f>발송처리!M369</f>
        <v>0</v>
      </c>
      <c r="E369" t="e">
        <f>VLOOKUP(발송처리!V369,'상품DB(수정x)'!B:E,2,0)</f>
        <v>#N/A</v>
      </c>
      <c r="F369" s="13" t="e">
        <f>VLOOKUP(발송처리!V369,'상품DB(수정x)'!B:E,4,0)</f>
        <v>#N/A</v>
      </c>
      <c r="G369" s="8">
        <f>발송처리!X369</f>
        <v>0</v>
      </c>
      <c r="I369">
        <f>발송처리!AW369</f>
        <v>0</v>
      </c>
      <c r="K369" t="e">
        <f t="shared" si="7"/>
        <v>#N/A</v>
      </c>
      <c r="L369">
        <f>발송처리!AU369</f>
        <v>0</v>
      </c>
      <c r="M369">
        <f>발송처리!AP369</f>
        <v>0</v>
      </c>
      <c r="N369">
        <f>발송처리!AV369</f>
        <v>0</v>
      </c>
      <c r="O369">
        <f>발송처리!AR369</f>
        <v>0</v>
      </c>
      <c r="P369">
        <f>발송처리!K369</f>
        <v>0</v>
      </c>
      <c r="Q369" s="2">
        <f>발송처리!AC369</f>
        <v>0</v>
      </c>
    </row>
    <row r="370" spans="1:17">
      <c r="A370">
        <f>발송처리!A370</f>
        <v>0</v>
      </c>
      <c r="B370">
        <f>발송처리!M370</f>
        <v>0</v>
      </c>
      <c r="E370" t="e">
        <f>VLOOKUP(발송처리!V370,'상품DB(수정x)'!B:E,2,0)</f>
        <v>#N/A</v>
      </c>
      <c r="F370" s="13" t="e">
        <f>VLOOKUP(발송처리!V370,'상품DB(수정x)'!B:E,4,0)</f>
        <v>#N/A</v>
      </c>
      <c r="G370" s="8">
        <f>발송처리!X370</f>
        <v>0</v>
      </c>
      <c r="I370">
        <f>발송처리!AW370</f>
        <v>0</v>
      </c>
      <c r="K370" t="e">
        <f t="shared" si="7"/>
        <v>#N/A</v>
      </c>
      <c r="L370">
        <f>발송처리!AU370</f>
        <v>0</v>
      </c>
      <c r="M370">
        <f>발송처리!AP370</f>
        <v>0</v>
      </c>
      <c r="N370">
        <f>발송처리!AV370</f>
        <v>0</v>
      </c>
      <c r="O370">
        <f>발송처리!AR370</f>
        <v>0</v>
      </c>
      <c r="P370">
        <f>발송처리!K370</f>
        <v>0</v>
      </c>
      <c r="Q370" s="2">
        <f>발송처리!AC370</f>
        <v>0</v>
      </c>
    </row>
    <row r="371" spans="1:17">
      <c r="A371">
        <f>발송처리!A371</f>
        <v>0</v>
      </c>
      <c r="B371">
        <f>발송처리!M371</f>
        <v>0</v>
      </c>
      <c r="E371" t="e">
        <f>VLOOKUP(발송처리!V371,'상품DB(수정x)'!B:E,2,0)</f>
        <v>#N/A</v>
      </c>
      <c r="F371" s="13" t="e">
        <f>VLOOKUP(발송처리!V371,'상품DB(수정x)'!B:E,4,0)</f>
        <v>#N/A</v>
      </c>
      <c r="G371" s="8">
        <f>발송처리!X371</f>
        <v>0</v>
      </c>
      <c r="I371">
        <f>발송처리!AW371</f>
        <v>0</v>
      </c>
      <c r="K371" t="e">
        <f t="shared" si="7"/>
        <v>#N/A</v>
      </c>
      <c r="L371">
        <f>발송처리!AU371</f>
        <v>0</v>
      </c>
      <c r="M371">
        <f>발송처리!AP371</f>
        <v>0</v>
      </c>
      <c r="N371">
        <f>발송처리!AV371</f>
        <v>0</v>
      </c>
      <c r="O371">
        <f>발송처리!AR371</f>
        <v>0</v>
      </c>
      <c r="P371">
        <f>발송처리!K371</f>
        <v>0</v>
      </c>
      <c r="Q371" s="2">
        <f>발송처리!AC371</f>
        <v>0</v>
      </c>
    </row>
    <row r="372" spans="1:17">
      <c r="A372">
        <f>발송처리!A372</f>
        <v>0</v>
      </c>
      <c r="B372">
        <f>발송처리!M372</f>
        <v>0</v>
      </c>
      <c r="E372" t="e">
        <f>VLOOKUP(발송처리!V372,'상품DB(수정x)'!B:E,2,0)</f>
        <v>#N/A</v>
      </c>
      <c r="F372" s="13" t="e">
        <f>VLOOKUP(발송처리!V372,'상품DB(수정x)'!B:E,4,0)</f>
        <v>#N/A</v>
      </c>
      <c r="G372" s="8">
        <f>발송처리!X372</f>
        <v>0</v>
      </c>
      <c r="I372">
        <f>발송처리!AW372</f>
        <v>0</v>
      </c>
      <c r="K372" t="e">
        <f t="shared" si="7"/>
        <v>#N/A</v>
      </c>
      <c r="L372">
        <f>발송처리!AU372</f>
        <v>0</v>
      </c>
      <c r="M372">
        <f>발송처리!AP372</f>
        <v>0</v>
      </c>
      <c r="N372">
        <f>발송처리!AV372</f>
        <v>0</v>
      </c>
      <c r="O372">
        <f>발송처리!AR372</f>
        <v>0</v>
      </c>
      <c r="P372">
        <f>발송처리!K372</f>
        <v>0</v>
      </c>
      <c r="Q372" s="2">
        <f>발송처리!AC372</f>
        <v>0</v>
      </c>
    </row>
    <row r="373" spans="1:17">
      <c r="A373">
        <f>발송처리!A373</f>
        <v>0</v>
      </c>
      <c r="B373">
        <f>발송처리!M373</f>
        <v>0</v>
      </c>
      <c r="E373" t="e">
        <f>VLOOKUP(발송처리!V373,'상품DB(수정x)'!B:E,2,0)</f>
        <v>#N/A</v>
      </c>
      <c r="F373" s="13" t="e">
        <f>VLOOKUP(발송처리!V373,'상품DB(수정x)'!B:E,4,0)</f>
        <v>#N/A</v>
      </c>
      <c r="G373" s="8">
        <f>발송처리!X373</f>
        <v>0</v>
      </c>
      <c r="I373">
        <f>발송처리!AW373</f>
        <v>0</v>
      </c>
      <c r="K373" t="e">
        <f t="shared" si="7"/>
        <v>#N/A</v>
      </c>
      <c r="L373">
        <f>발송처리!AU373</f>
        <v>0</v>
      </c>
      <c r="M373">
        <f>발송처리!AP373</f>
        <v>0</v>
      </c>
      <c r="N373">
        <f>발송처리!AV373</f>
        <v>0</v>
      </c>
      <c r="O373">
        <f>발송처리!AR373</f>
        <v>0</v>
      </c>
      <c r="P373">
        <f>발송처리!K373</f>
        <v>0</v>
      </c>
      <c r="Q373" s="2">
        <f>발송처리!AC373</f>
        <v>0</v>
      </c>
    </row>
    <row r="374" spans="1:17">
      <c r="A374">
        <f>발송처리!A374</f>
        <v>0</v>
      </c>
      <c r="B374">
        <f>발송처리!M374</f>
        <v>0</v>
      </c>
      <c r="E374" t="e">
        <f>VLOOKUP(발송처리!V374,'상품DB(수정x)'!B:E,2,0)</f>
        <v>#N/A</v>
      </c>
      <c r="F374" s="13" t="e">
        <f>VLOOKUP(발송처리!V374,'상품DB(수정x)'!B:E,4,0)</f>
        <v>#N/A</v>
      </c>
      <c r="G374" s="8">
        <f>발송처리!X374</f>
        <v>0</v>
      </c>
      <c r="I374">
        <f>발송처리!AW374</f>
        <v>0</v>
      </c>
      <c r="K374" t="e">
        <f t="shared" si="7"/>
        <v>#N/A</v>
      </c>
      <c r="L374">
        <f>발송처리!AU374</f>
        <v>0</v>
      </c>
      <c r="M374">
        <f>발송처리!AP374</f>
        <v>0</v>
      </c>
      <c r="N374">
        <f>발송처리!AV374</f>
        <v>0</v>
      </c>
      <c r="O374">
        <f>발송처리!AR374</f>
        <v>0</v>
      </c>
      <c r="P374">
        <f>발송처리!K374</f>
        <v>0</v>
      </c>
      <c r="Q374" s="2">
        <f>발송처리!AC374</f>
        <v>0</v>
      </c>
    </row>
    <row r="375" spans="1:17">
      <c r="A375">
        <f>발송처리!A375</f>
        <v>0</v>
      </c>
      <c r="B375">
        <f>발송처리!M375</f>
        <v>0</v>
      </c>
      <c r="E375" t="e">
        <f>VLOOKUP(발송처리!V375,'상품DB(수정x)'!B:E,2,0)</f>
        <v>#N/A</v>
      </c>
      <c r="F375" s="13" t="e">
        <f>VLOOKUP(발송처리!V375,'상품DB(수정x)'!B:E,4,0)</f>
        <v>#N/A</v>
      </c>
      <c r="G375" s="8">
        <f>발송처리!X375</f>
        <v>0</v>
      </c>
      <c r="I375">
        <f>발송처리!AW375</f>
        <v>0</v>
      </c>
      <c r="K375" t="e">
        <f t="shared" si="7"/>
        <v>#N/A</v>
      </c>
      <c r="L375">
        <f>발송처리!AU375</f>
        <v>0</v>
      </c>
      <c r="M375">
        <f>발송처리!AP375</f>
        <v>0</v>
      </c>
      <c r="N375">
        <f>발송처리!AV375</f>
        <v>0</v>
      </c>
      <c r="O375">
        <f>발송처리!AR375</f>
        <v>0</v>
      </c>
      <c r="P375">
        <f>발송처리!K375</f>
        <v>0</v>
      </c>
      <c r="Q375" s="2">
        <f>발송처리!AC375</f>
        <v>0</v>
      </c>
    </row>
    <row r="376" spans="1:17">
      <c r="A376">
        <f>발송처리!A376</f>
        <v>0</v>
      </c>
      <c r="B376">
        <f>발송처리!M376</f>
        <v>0</v>
      </c>
      <c r="E376" t="e">
        <f>VLOOKUP(발송처리!V376,'상품DB(수정x)'!B:E,2,0)</f>
        <v>#N/A</v>
      </c>
      <c r="F376" s="13" t="e">
        <f>VLOOKUP(발송처리!V376,'상품DB(수정x)'!B:E,4,0)</f>
        <v>#N/A</v>
      </c>
      <c r="G376" s="8">
        <f>발송처리!X376</f>
        <v>0</v>
      </c>
      <c r="I376">
        <f>발송처리!AW376</f>
        <v>0</v>
      </c>
      <c r="K376" t="e">
        <f t="shared" si="7"/>
        <v>#N/A</v>
      </c>
      <c r="L376">
        <f>발송처리!AU376</f>
        <v>0</v>
      </c>
      <c r="M376">
        <f>발송처리!AP376</f>
        <v>0</v>
      </c>
      <c r="N376">
        <f>발송처리!AV376</f>
        <v>0</v>
      </c>
      <c r="O376">
        <f>발송처리!AR376</f>
        <v>0</v>
      </c>
      <c r="P376">
        <f>발송처리!K376</f>
        <v>0</v>
      </c>
      <c r="Q376" s="2">
        <f>발송처리!AC376</f>
        <v>0</v>
      </c>
    </row>
    <row r="377" spans="1:17">
      <c r="A377">
        <f>발송처리!A377</f>
        <v>0</v>
      </c>
      <c r="B377">
        <f>발송처리!M377</f>
        <v>0</v>
      </c>
      <c r="E377" t="e">
        <f>VLOOKUP(발송처리!V377,'상품DB(수정x)'!B:E,2,0)</f>
        <v>#N/A</v>
      </c>
      <c r="F377" s="13" t="e">
        <f>VLOOKUP(발송처리!V377,'상품DB(수정x)'!B:E,4,0)</f>
        <v>#N/A</v>
      </c>
      <c r="G377" s="8">
        <f>발송처리!X377</f>
        <v>0</v>
      </c>
      <c r="I377">
        <f>발송처리!AW377</f>
        <v>0</v>
      </c>
      <c r="K377" t="e">
        <f t="shared" si="7"/>
        <v>#N/A</v>
      </c>
      <c r="L377">
        <f>발송처리!AU377</f>
        <v>0</v>
      </c>
      <c r="M377">
        <f>발송처리!AP377</f>
        <v>0</v>
      </c>
      <c r="N377">
        <f>발송처리!AV377</f>
        <v>0</v>
      </c>
      <c r="O377">
        <f>발송처리!AR377</f>
        <v>0</v>
      </c>
      <c r="P377">
        <f>발송처리!K377</f>
        <v>0</v>
      </c>
      <c r="Q377" s="2">
        <f>발송처리!AC377</f>
        <v>0</v>
      </c>
    </row>
    <row r="378" spans="1:17">
      <c r="A378">
        <f>발송처리!A378</f>
        <v>0</v>
      </c>
      <c r="B378">
        <f>발송처리!M378</f>
        <v>0</v>
      </c>
      <c r="E378" t="e">
        <f>VLOOKUP(발송처리!V378,'상품DB(수정x)'!B:E,2,0)</f>
        <v>#N/A</v>
      </c>
      <c r="F378" s="13" t="e">
        <f>VLOOKUP(발송처리!V378,'상품DB(수정x)'!B:E,4,0)</f>
        <v>#N/A</v>
      </c>
      <c r="G378" s="8">
        <f>발송처리!X378</f>
        <v>0</v>
      </c>
      <c r="I378">
        <f>발송처리!AW378</f>
        <v>0</v>
      </c>
      <c r="K378" t="e">
        <f t="shared" si="7"/>
        <v>#N/A</v>
      </c>
      <c r="L378">
        <f>발송처리!AU378</f>
        <v>0</v>
      </c>
      <c r="M378">
        <f>발송처리!AP378</f>
        <v>0</v>
      </c>
      <c r="N378">
        <f>발송처리!AV378</f>
        <v>0</v>
      </c>
      <c r="O378">
        <f>발송처리!AR378</f>
        <v>0</v>
      </c>
      <c r="P378">
        <f>발송처리!K378</f>
        <v>0</v>
      </c>
      <c r="Q378" s="2">
        <f>발송처리!AC378</f>
        <v>0</v>
      </c>
    </row>
    <row r="379" spans="1:17">
      <c r="A379">
        <f>발송처리!A379</f>
        <v>0</v>
      </c>
      <c r="B379">
        <f>발송처리!M379</f>
        <v>0</v>
      </c>
      <c r="E379" t="e">
        <f>VLOOKUP(발송처리!V379,'상품DB(수정x)'!B:E,2,0)</f>
        <v>#N/A</v>
      </c>
      <c r="F379" s="13" t="e">
        <f>VLOOKUP(발송처리!V379,'상품DB(수정x)'!B:E,4,0)</f>
        <v>#N/A</v>
      </c>
      <c r="G379" s="8">
        <f>발송처리!X379</f>
        <v>0</v>
      </c>
      <c r="I379">
        <f>발송처리!AW379</f>
        <v>0</v>
      </c>
      <c r="K379" t="e">
        <f t="shared" si="7"/>
        <v>#N/A</v>
      </c>
      <c r="L379">
        <f>발송처리!AU379</f>
        <v>0</v>
      </c>
      <c r="M379">
        <f>발송처리!AP379</f>
        <v>0</v>
      </c>
      <c r="N379">
        <f>발송처리!AV379</f>
        <v>0</v>
      </c>
      <c r="O379">
        <f>발송처리!AR379</f>
        <v>0</v>
      </c>
      <c r="P379">
        <f>발송처리!K379</f>
        <v>0</v>
      </c>
      <c r="Q379" s="2">
        <f>발송처리!AC379</f>
        <v>0</v>
      </c>
    </row>
    <row r="380" spans="1:17">
      <c r="A380">
        <f>발송처리!A380</f>
        <v>0</v>
      </c>
      <c r="B380">
        <f>발송처리!M380</f>
        <v>0</v>
      </c>
      <c r="E380" t="e">
        <f>VLOOKUP(발송처리!V380,'상품DB(수정x)'!B:E,2,0)</f>
        <v>#N/A</v>
      </c>
      <c r="F380" s="13" t="e">
        <f>VLOOKUP(발송처리!V380,'상품DB(수정x)'!B:E,4,0)</f>
        <v>#N/A</v>
      </c>
      <c r="G380" s="8">
        <f>발송처리!X380</f>
        <v>0</v>
      </c>
      <c r="I380">
        <f>발송처리!AW380</f>
        <v>0</v>
      </c>
      <c r="K380" t="e">
        <f t="shared" si="7"/>
        <v>#N/A</v>
      </c>
      <c r="L380">
        <f>발송처리!AU380</f>
        <v>0</v>
      </c>
      <c r="M380">
        <f>발송처리!AP380</f>
        <v>0</v>
      </c>
      <c r="N380">
        <f>발송처리!AV380</f>
        <v>0</v>
      </c>
      <c r="O380">
        <f>발송처리!AR380</f>
        <v>0</v>
      </c>
      <c r="P380">
        <f>발송처리!K380</f>
        <v>0</v>
      </c>
      <c r="Q380" s="2">
        <f>발송처리!AC380</f>
        <v>0</v>
      </c>
    </row>
    <row r="381" spans="1:17">
      <c r="A381">
        <f>발송처리!A381</f>
        <v>0</v>
      </c>
      <c r="B381">
        <f>발송처리!M381</f>
        <v>0</v>
      </c>
      <c r="E381" t="e">
        <f>VLOOKUP(발송처리!V381,'상품DB(수정x)'!B:E,2,0)</f>
        <v>#N/A</v>
      </c>
      <c r="F381" s="13" t="e">
        <f>VLOOKUP(발송처리!V381,'상품DB(수정x)'!B:E,4,0)</f>
        <v>#N/A</v>
      </c>
      <c r="G381" s="8">
        <f>발송처리!X381</f>
        <v>0</v>
      </c>
      <c r="I381">
        <f>발송처리!AW381</f>
        <v>0</v>
      </c>
      <c r="K381" t="e">
        <f t="shared" si="7"/>
        <v>#N/A</v>
      </c>
      <c r="L381">
        <f>발송처리!AU381</f>
        <v>0</v>
      </c>
      <c r="M381">
        <f>발송처리!AP381</f>
        <v>0</v>
      </c>
      <c r="N381">
        <f>발송처리!AV381</f>
        <v>0</v>
      </c>
      <c r="O381">
        <f>발송처리!AR381</f>
        <v>0</v>
      </c>
      <c r="P381">
        <f>발송처리!K381</f>
        <v>0</v>
      </c>
      <c r="Q381" s="2">
        <f>발송처리!AC381</f>
        <v>0</v>
      </c>
    </row>
    <row r="382" spans="1:17">
      <c r="A382">
        <f>발송처리!A382</f>
        <v>0</v>
      </c>
      <c r="B382">
        <f>발송처리!M382</f>
        <v>0</v>
      </c>
      <c r="E382" t="e">
        <f>VLOOKUP(발송처리!V382,'상품DB(수정x)'!B:E,2,0)</f>
        <v>#N/A</v>
      </c>
      <c r="F382" s="13" t="e">
        <f>VLOOKUP(발송처리!V382,'상품DB(수정x)'!B:E,4,0)</f>
        <v>#N/A</v>
      </c>
      <c r="G382" s="8">
        <f>발송처리!X382</f>
        <v>0</v>
      </c>
      <c r="I382">
        <f>발송처리!AW382</f>
        <v>0</v>
      </c>
      <c r="K382" t="e">
        <f t="shared" si="7"/>
        <v>#N/A</v>
      </c>
      <c r="L382">
        <f>발송처리!AU382</f>
        <v>0</v>
      </c>
      <c r="M382">
        <f>발송처리!AP382</f>
        <v>0</v>
      </c>
      <c r="N382">
        <f>발송처리!AV382</f>
        <v>0</v>
      </c>
      <c r="O382">
        <f>발송처리!AR382</f>
        <v>0</v>
      </c>
      <c r="P382">
        <f>발송처리!K382</f>
        <v>0</v>
      </c>
      <c r="Q382" s="2">
        <f>발송처리!AC382</f>
        <v>0</v>
      </c>
    </row>
    <row r="383" spans="1:17">
      <c r="A383">
        <f>발송처리!A383</f>
        <v>0</v>
      </c>
      <c r="B383">
        <f>발송처리!M383</f>
        <v>0</v>
      </c>
      <c r="E383" t="e">
        <f>VLOOKUP(발송처리!V383,'상품DB(수정x)'!B:E,2,0)</f>
        <v>#N/A</v>
      </c>
      <c r="F383" s="13" t="e">
        <f>VLOOKUP(발송처리!V383,'상품DB(수정x)'!B:E,4,0)</f>
        <v>#N/A</v>
      </c>
      <c r="G383" s="8">
        <f>발송처리!X383</f>
        <v>0</v>
      </c>
      <c r="I383">
        <f>발송처리!AW383</f>
        <v>0</v>
      </c>
      <c r="K383" t="e">
        <f t="shared" si="7"/>
        <v>#N/A</v>
      </c>
      <c r="L383">
        <f>발송처리!AU383</f>
        <v>0</v>
      </c>
      <c r="M383">
        <f>발송처리!AP383</f>
        <v>0</v>
      </c>
      <c r="N383">
        <f>발송처리!AV383</f>
        <v>0</v>
      </c>
      <c r="O383">
        <f>발송처리!AR383</f>
        <v>0</v>
      </c>
      <c r="P383">
        <f>발송처리!K383</f>
        <v>0</v>
      </c>
      <c r="Q383" s="2">
        <f>발송처리!AC383</f>
        <v>0</v>
      </c>
    </row>
    <row r="384" spans="1:17">
      <c r="A384">
        <f>발송처리!A384</f>
        <v>0</v>
      </c>
      <c r="B384">
        <f>발송처리!M384</f>
        <v>0</v>
      </c>
      <c r="E384" t="e">
        <f>VLOOKUP(발송처리!V384,'상품DB(수정x)'!B:E,2,0)</f>
        <v>#N/A</v>
      </c>
      <c r="F384" s="13" t="e">
        <f>VLOOKUP(발송처리!V384,'상품DB(수정x)'!B:E,4,0)</f>
        <v>#N/A</v>
      </c>
      <c r="G384" s="8">
        <f>발송처리!X384</f>
        <v>0</v>
      </c>
      <c r="I384">
        <f>발송처리!AW384</f>
        <v>0</v>
      </c>
      <c r="K384" t="e">
        <f t="shared" si="7"/>
        <v>#N/A</v>
      </c>
      <c r="L384">
        <f>발송처리!AU384</f>
        <v>0</v>
      </c>
      <c r="M384">
        <f>발송처리!AP384</f>
        <v>0</v>
      </c>
      <c r="N384">
        <f>발송처리!AV384</f>
        <v>0</v>
      </c>
      <c r="O384">
        <f>발송처리!AR384</f>
        <v>0</v>
      </c>
      <c r="P384">
        <f>발송처리!K384</f>
        <v>0</v>
      </c>
      <c r="Q384" s="2">
        <f>발송처리!AC384</f>
        <v>0</v>
      </c>
    </row>
    <row r="385" spans="1:17">
      <c r="A385">
        <f>발송처리!A385</f>
        <v>0</v>
      </c>
      <c r="B385">
        <f>발송처리!M385</f>
        <v>0</v>
      </c>
      <c r="E385" t="e">
        <f>VLOOKUP(발송처리!V385,'상품DB(수정x)'!B:E,2,0)</f>
        <v>#N/A</v>
      </c>
      <c r="F385" s="13" t="e">
        <f>VLOOKUP(발송처리!V385,'상품DB(수정x)'!B:E,4,0)</f>
        <v>#N/A</v>
      </c>
      <c r="G385" s="8">
        <f>발송처리!X385</f>
        <v>0</v>
      </c>
      <c r="I385">
        <f>발송처리!AW385</f>
        <v>0</v>
      </c>
      <c r="K385" t="e">
        <f t="shared" si="7"/>
        <v>#N/A</v>
      </c>
      <c r="L385">
        <f>발송처리!AU385</f>
        <v>0</v>
      </c>
      <c r="M385">
        <f>발송처리!AP385</f>
        <v>0</v>
      </c>
      <c r="N385">
        <f>발송처리!AV385</f>
        <v>0</v>
      </c>
      <c r="O385">
        <f>발송처리!AR385</f>
        <v>0</v>
      </c>
      <c r="P385">
        <f>발송처리!K385</f>
        <v>0</v>
      </c>
      <c r="Q385" s="2">
        <f>발송처리!AC385</f>
        <v>0</v>
      </c>
    </row>
    <row r="386" spans="1:17">
      <c r="A386">
        <f>발송처리!A386</f>
        <v>0</v>
      </c>
      <c r="B386">
        <f>발송처리!M386</f>
        <v>0</v>
      </c>
      <c r="E386" t="e">
        <f>VLOOKUP(발송처리!V386,'상품DB(수정x)'!B:E,2,0)</f>
        <v>#N/A</v>
      </c>
      <c r="F386" s="13" t="e">
        <f>VLOOKUP(발송처리!V386,'상품DB(수정x)'!B:E,4,0)</f>
        <v>#N/A</v>
      </c>
      <c r="G386" s="8">
        <f>발송처리!X386</f>
        <v>0</v>
      </c>
      <c r="I386">
        <f>발송처리!AW386</f>
        <v>0</v>
      </c>
      <c r="K386" t="e">
        <f t="shared" si="7"/>
        <v>#N/A</v>
      </c>
      <c r="L386">
        <f>발송처리!AU386</f>
        <v>0</v>
      </c>
      <c r="M386">
        <f>발송처리!AP386</f>
        <v>0</v>
      </c>
      <c r="N386">
        <f>발송처리!AV386</f>
        <v>0</v>
      </c>
      <c r="O386">
        <f>발송처리!AR386</f>
        <v>0</v>
      </c>
      <c r="P386">
        <f>발송처리!K386</f>
        <v>0</v>
      </c>
      <c r="Q386" s="2">
        <f>발송처리!AC386</f>
        <v>0</v>
      </c>
    </row>
    <row r="387" spans="1:17">
      <c r="A387">
        <f>발송처리!A387</f>
        <v>0</v>
      </c>
      <c r="B387">
        <f>발송처리!M387</f>
        <v>0</v>
      </c>
      <c r="E387" t="e">
        <f>VLOOKUP(발송처리!V387,'상품DB(수정x)'!B:E,2,0)</f>
        <v>#N/A</v>
      </c>
      <c r="F387" s="13" t="e">
        <f>VLOOKUP(발송처리!V387,'상품DB(수정x)'!B:E,4,0)</f>
        <v>#N/A</v>
      </c>
      <c r="G387" s="8">
        <f>발송처리!X387</f>
        <v>0</v>
      </c>
      <c r="I387">
        <f>발송처리!AW387</f>
        <v>0</v>
      </c>
      <c r="K387" t="e">
        <f t="shared" ref="K387:K450" si="8">IF(LEFT(E387,1)="2","",IF(LEFT(E387,1)="4","",IF(Q387&gt;=500000,"★증정★테이프20mx2",IF(Q387&gt;=95000,"★증정★테이프20mx1",""))))</f>
        <v>#N/A</v>
      </c>
      <c r="L387">
        <f>발송처리!AU387</f>
        <v>0</v>
      </c>
      <c r="M387">
        <f>발송처리!AP387</f>
        <v>0</v>
      </c>
      <c r="N387">
        <f>발송처리!AV387</f>
        <v>0</v>
      </c>
      <c r="O387">
        <f>발송처리!AR387</f>
        <v>0</v>
      </c>
      <c r="P387">
        <f>발송처리!K387</f>
        <v>0</v>
      </c>
      <c r="Q387" s="2">
        <f>발송처리!AC387</f>
        <v>0</v>
      </c>
    </row>
    <row r="388" spans="1:17">
      <c r="A388">
        <f>발송처리!A388</f>
        <v>0</v>
      </c>
      <c r="B388">
        <f>발송처리!M388</f>
        <v>0</v>
      </c>
      <c r="E388" t="e">
        <f>VLOOKUP(발송처리!V388,'상품DB(수정x)'!B:E,2,0)</f>
        <v>#N/A</v>
      </c>
      <c r="F388" s="13" t="e">
        <f>VLOOKUP(발송처리!V388,'상품DB(수정x)'!B:E,4,0)</f>
        <v>#N/A</v>
      </c>
      <c r="G388" s="8">
        <f>발송처리!X388</f>
        <v>0</v>
      </c>
      <c r="I388">
        <f>발송처리!AW388</f>
        <v>0</v>
      </c>
      <c r="K388" t="e">
        <f t="shared" si="8"/>
        <v>#N/A</v>
      </c>
      <c r="L388">
        <f>발송처리!AU388</f>
        <v>0</v>
      </c>
      <c r="M388">
        <f>발송처리!AP388</f>
        <v>0</v>
      </c>
      <c r="N388">
        <f>발송처리!AV388</f>
        <v>0</v>
      </c>
      <c r="O388">
        <f>발송처리!AR388</f>
        <v>0</v>
      </c>
      <c r="P388">
        <f>발송처리!K388</f>
        <v>0</v>
      </c>
      <c r="Q388" s="2">
        <f>발송처리!AC388</f>
        <v>0</v>
      </c>
    </row>
    <row r="389" spans="1:17">
      <c r="A389">
        <f>발송처리!A389</f>
        <v>0</v>
      </c>
      <c r="B389">
        <f>발송처리!M389</f>
        <v>0</v>
      </c>
      <c r="E389" t="e">
        <f>VLOOKUP(발송처리!V389,'상품DB(수정x)'!B:E,2,0)</f>
        <v>#N/A</v>
      </c>
      <c r="F389" s="13" t="e">
        <f>VLOOKUP(발송처리!V389,'상품DB(수정x)'!B:E,4,0)</f>
        <v>#N/A</v>
      </c>
      <c r="G389" s="8">
        <f>발송처리!X389</f>
        <v>0</v>
      </c>
      <c r="I389">
        <f>발송처리!AW389</f>
        <v>0</v>
      </c>
      <c r="K389" t="e">
        <f t="shared" si="8"/>
        <v>#N/A</v>
      </c>
      <c r="L389">
        <f>발송처리!AU389</f>
        <v>0</v>
      </c>
      <c r="M389">
        <f>발송처리!AP389</f>
        <v>0</v>
      </c>
      <c r="N389">
        <f>발송처리!AV389</f>
        <v>0</v>
      </c>
      <c r="O389">
        <f>발송처리!AR389</f>
        <v>0</v>
      </c>
      <c r="P389">
        <f>발송처리!K389</f>
        <v>0</v>
      </c>
      <c r="Q389" s="2">
        <f>발송처리!AC389</f>
        <v>0</v>
      </c>
    </row>
    <row r="390" spans="1:17">
      <c r="A390">
        <f>발송처리!A390</f>
        <v>0</v>
      </c>
      <c r="B390">
        <f>발송처리!M390</f>
        <v>0</v>
      </c>
      <c r="E390" t="e">
        <f>VLOOKUP(발송처리!V390,'상품DB(수정x)'!B:E,2,0)</f>
        <v>#N/A</v>
      </c>
      <c r="F390" s="13" t="e">
        <f>VLOOKUP(발송처리!V390,'상품DB(수정x)'!B:E,4,0)</f>
        <v>#N/A</v>
      </c>
      <c r="G390" s="8">
        <f>발송처리!X390</f>
        <v>0</v>
      </c>
      <c r="I390">
        <f>발송처리!AW390</f>
        <v>0</v>
      </c>
      <c r="K390" t="e">
        <f t="shared" si="8"/>
        <v>#N/A</v>
      </c>
      <c r="L390">
        <f>발송처리!AU390</f>
        <v>0</v>
      </c>
      <c r="M390">
        <f>발송처리!AP390</f>
        <v>0</v>
      </c>
      <c r="N390">
        <f>발송처리!AV390</f>
        <v>0</v>
      </c>
      <c r="O390">
        <f>발송처리!AR390</f>
        <v>0</v>
      </c>
      <c r="P390">
        <f>발송처리!K390</f>
        <v>0</v>
      </c>
      <c r="Q390" s="2">
        <f>발송처리!AC390</f>
        <v>0</v>
      </c>
    </row>
    <row r="391" spans="1:17">
      <c r="A391">
        <f>발송처리!A391</f>
        <v>0</v>
      </c>
      <c r="B391">
        <f>발송처리!M391</f>
        <v>0</v>
      </c>
      <c r="E391" t="e">
        <f>VLOOKUP(발송처리!V391,'상품DB(수정x)'!B:E,2,0)</f>
        <v>#N/A</v>
      </c>
      <c r="F391" s="13" t="e">
        <f>VLOOKUP(발송처리!V391,'상품DB(수정x)'!B:E,4,0)</f>
        <v>#N/A</v>
      </c>
      <c r="G391" s="8">
        <f>발송처리!X391</f>
        <v>0</v>
      </c>
      <c r="I391">
        <f>발송처리!AW391</f>
        <v>0</v>
      </c>
      <c r="K391" t="e">
        <f t="shared" si="8"/>
        <v>#N/A</v>
      </c>
      <c r="L391">
        <f>발송처리!AU391</f>
        <v>0</v>
      </c>
      <c r="M391">
        <f>발송처리!AP391</f>
        <v>0</v>
      </c>
      <c r="N391">
        <f>발송처리!AV391</f>
        <v>0</v>
      </c>
      <c r="O391">
        <f>발송처리!AR391</f>
        <v>0</v>
      </c>
      <c r="P391">
        <f>발송처리!K391</f>
        <v>0</v>
      </c>
      <c r="Q391" s="2">
        <f>발송처리!AC391</f>
        <v>0</v>
      </c>
    </row>
    <row r="392" spans="1:17">
      <c r="A392">
        <f>발송처리!A392</f>
        <v>0</v>
      </c>
      <c r="B392">
        <f>발송처리!M392</f>
        <v>0</v>
      </c>
      <c r="E392" t="e">
        <f>VLOOKUP(발송처리!V392,'상품DB(수정x)'!B:E,2,0)</f>
        <v>#N/A</v>
      </c>
      <c r="F392" s="13" t="e">
        <f>VLOOKUP(발송처리!V392,'상품DB(수정x)'!B:E,4,0)</f>
        <v>#N/A</v>
      </c>
      <c r="G392" s="8">
        <f>발송처리!X392</f>
        <v>0</v>
      </c>
      <c r="I392">
        <f>발송처리!AW392</f>
        <v>0</v>
      </c>
      <c r="K392" t="e">
        <f t="shared" si="8"/>
        <v>#N/A</v>
      </c>
      <c r="L392">
        <f>발송처리!AU392</f>
        <v>0</v>
      </c>
      <c r="M392">
        <f>발송처리!AP392</f>
        <v>0</v>
      </c>
      <c r="N392">
        <f>발송처리!AV392</f>
        <v>0</v>
      </c>
      <c r="O392">
        <f>발송처리!AR392</f>
        <v>0</v>
      </c>
      <c r="P392">
        <f>발송처리!K392</f>
        <v>0</v>
      </c>
      <c r="Q392" s="2">
        <f>발송처리!AC392</f>
        <v>0</v>
      </c>
    </row>
    <row r="393" spans="1:17">
      <c r="A393">
        <f>발송처리!A393</f>
        <v>0</v>
      </c>
      <c r="B393">
        <f>발송처리!M393</f>
        <v>0</v>
      </c>
      <c r="E393" t="e">
        <f>VLOOKUP(발송처리!V393,'상품DB(수정x)'!B:E,2,0)</f>
        <v>#N/A</v>
      </c>
      <c r="F393" s="13" t="e">
        <f>VLOOKUP(발송처리!V393,'상품DB(수정x)'!B:E,4,0)</f>
        <v>#N/A</v>
      </c>
      <c r="G393" s="8">
        <f>발송처리!X393</f>
        <v>0</v>
      </c>
      <c r="I393">
        <f>발송처리!AW393</f>
        <v>0</v>
      </c>
      <c r="K393" t="e">
        <f t="shared" si="8"/>
        <v>#N/A</v>
      </c>
      <c r="L393">
        <f>발송처리!AU393</f>
        <v>0</v>
      </c>
      <c r="M393">
        <f>발송처리!AP393</f>
        <v>0</v>
      </c>
      <c r="N393">
        <f>발송처리!AV393</f>
        <v>0</v>
      </c>
      <c r="O393">
        <f>발송처리!AR393</f>
        <v>0</v>
      </c>
      <c r="P393">
        <f>발송처리!K393</f>
        <v>0</v>
      </c>
      <c r="Q393" s="2">
        <f>발송처리!AC393</f>
        <v>0</v>
      </c>
    </row>
    <row r="394" spans="1:17">
      <c r="A394">
        <f>발송처리!A394</f>
        <v>0</v>
      </c>
      <c r="B394">
        <f>발송처리!M394</f>
        <v>0</v>
      </c>
      <c r="E394" t="e">
        <f>VLOOKUP(발송처리!V394,'상품DB(수정x)'!B:E,2,0)</f>
        <v>#N/A</v>
      </c>
      <c r="F394" s="13" t="e">
        <f>VLOOKUP(발송처리!V394,'상품DB(수정x)'!B:E,4,0)</f>
        <v>#N/A</v>
      </c>
      <c r="G394" s="8">
        <f>발송처리!X394</f>
        <v>0</v>
      </c>
      <c r="I394">
        <f>발송처리!AW394</f>
        <v>0</v>
      </c>
      <c r="K394" t="e">
        <f t="shared" si="8"/>
        <v>#N/A</v>
      </c>
      <c r="L394">
        <f>발송처리!AU394</f>
        <v>0</v>
      </c>
      <c r="M394">
        <f>발송처리!AP394</f>
        <v>0</v>
      </c>
      <c r="N394">
        <f>발송처리!AV394</f>
        <v>0</v>
      </c>
      <c r="O394">
        <f>발송처리!AR394</f>
        <v>0</v>
      </c>
      <c r="P394">
        <f>발송처리!K394</f>
        <v>0</v>
      </c>
      <c r="Q394" s="2">
        <f>발송처리!AC394</f>
        <v>0</v>
      </c>
    </row>
    <row r="395" spans="1:17">
      <c r="A395">
        <f>발송처리!A395</f>
        <v>0</v>
      </c>
      <c r="B395">
        <f>발송처리!M395</f>
        <v>0</v>
      </c>
      <c r="E395" t="e">
        <f>VLOOKUP(발송처리!V395,'상품DB(수정x)'!B:E,2,0)</f>
        <v>#N/A</v>
      </c>
      <c r="F395" s="13" t="e">
        <f>VLOOKUP(발송처리!V395,'상품DB(수정x)'!B:E,4,0)</f>
        <v>#N/A</v>
      </c>
      <c r="G395" s="8">
        <f>발송처리!X395</f>
        <v>0</v>
      </c>
      <c r="I395">
        <f>발송처리!AW395</f>
        <v>0</v>
      </c>
      <c r="K395" t="e">
        <f t="shared" si="8"/>
        <v>#N/A</v>
      </c>
      <c r="L395">
        <f>발송처리!AU395</f>
        <v>0</v>
      </c>
      <c r="M395">
        <f>발송처리!AP395</f>
        <v>0</v>
      </c>
      <c r="N395">
        <f>발송처리!AV395</f>
        <v>0</v>
      </c>
      <c r="O395">
        <f>발송처리!AR395</f>
        <v>0</v>
      </c>
      <c r="P395">
        <f>발송처리!K395</f>
        <v>0</v>
      </c>
      <c r="Q395" s="2">
        <f>발송처리!AC395</f>
        <v>0</v>
      </c>
    </row>
    <row r="396" spans="1:17">
      <c r="A396">
        <f>발송처리!A396</f>
        <v>0</v>
      </c>
      <c r="B396">
        <f>발송처리!M396</f>
        <v>0</v>
      </c>
      <c r="E396" t="e">
        <f>VLOOKUP(발송처리!V396,'상품DB(수정x)'!B:E,2,0)</f>
        <v>#N/A</v>
      </c>
      <c r="F396" s="13" t="e">
        <f>VLOOKUP(발송처리!V396,'상품DB(수정x)'!B:E,4,0)</f>
        <v>#N/A</v>
      </c>
      <c r="G396" s="8">
        <f>발송처리!X396</f>
        <v>0</v>
      </c>
      <c r="I396">
        <f>발송처리!AW396</f>
        <v>0</v>
      </c>
      <c r="K396" t="e">
        <f t="shared" si="8"/>
        <v>#N/A</v>
      </c>
      <c r="L396">
        <f>발송처리!AU396</f>
        <v>0</v>
      </c>
      <c r="M396">
        <f>발송처리!AP396</f>
        <v>0</v>
      </c>
      <c r="N396">
        <f>발송처리!AV396</f>
        <v>0</v>
      </c>
      <c r="O396">
        <f>발송처리!AR396</f>
        <v>0</v>
      </c>
      <c r="P396">
        <f>발송처리!K396</f>
        <v>0</v>
      </c>
      <c r="Q396" s="2">
        <f>발송처리!AC396</f>
        <v>0</v>
      </c>
    </row>
    <row r="397" spans="1:17">
      <c r="A397">
        <f>발송처리!A397</f>
        <v>0</v>
      </c>
      <c r="B397">
        <f>발송처리!M397</f>
        <v>0</v>
      </c>
      <c r="E397" t="e">
        <f>VLOOKUP(발송처리!V397,'상품DB(수정x)'!B:E,2,0)</f>
        <v>#N/A</v>
      </c>
      <c r="F397" s="13" t="e">
        <f>VLOOKUP(발송처리!V397,'상품DB(수정x)'!B:E,4,0)</f>
        <v>#N/A</v>
      </c>
      <c r="G397" s="8">
        <f>발송처리!X397</f>
        <v>0</v>
      </c>
      <c r="I397">
        <f>발송처리!AW397</f>
        <v>0</v>
      </c>
      <c r="K397" t="e">
        <f t="shared" si="8"/>
        <v>#N/A</v>
      </c>
      <c r="L397">
        <f>발송처리!AU397</f>
        <v>0</v>
      </c>
      <c r="M397">
        <f>발송처리!AP397</f>
        <v>0</v>
      </c>
      <c r="N397">
        <f>발송처리!AV397</f>
        <v>0</v>
      </c>
      <c r="O397">
        <f>발송처리!AR397</f>
        <v>0</v>
      </c>
      <c r="P397">
        <f>발송처리!K397</f>
        <v>0</v>
      </c>
      <c r="Q397" s="2">
        <f>발송처리!AC397</f>
        <v>0</v>
      </c>
    </row>
    <row r="398" spans="1:17">
      <c r="A398">
        <f>발송처리!A398</f>
        <v>0</v>
      </c>
      <c r="B398">
        <f>발송처리!M398</f>
        <v>0</v>
      </c>
      <c r="E398" t="e">
        <f>VLOOKUP(발송처리!V398,'상품DB(수정x)'!B:E,2,0)</f>
        <v>#N/A</v>
      </c>
      <c r="F398" s="13" t="e">
        <f>VLOOKUP(발송처리!V398,'상품DB(수정x)'!B:E,4,0)</f>
        <v>#N/A</v>
      </c>
      <c r="G398" s="8">
        <f>발송처리!X398</f>
        <v>0</v>
      </c>
      <c r="I398">
        <f>발송처리!AW398</f>
        <v>0</v>
      </c>
      <c r="K398" t="e">
        <f t="shared" si="8"/>
        <v>#N/A</v>
      </c>
      <c r="L398">
        <f>발송처리!AU398</f>
        <v>0</v>
      </c>
      <c r="M398">
        <f>발송처리!AP398</f>
        <v>0</v>
      </c>
      <c r="N398">
        <f>발송처리!AV398</f>
        <v>0</v>
      </c>
      <c r="O398">
        <f>발송처리!AR398</f>
        <v>0</v>
      </c>
      <c r="P398">
        <f>발송처리!K398</f>
        <v>0</v>
      </c>
      <c r="Q398" s="2">
        <f>발송처리!AC398</f>
        <v>0</v>
      </c>
    </row>
    <row r="399" spans="1:17">
      <c r="A399">
        <f>발송처리!A399</f>
        <v>0</v>
      </c>
      <c r="B399">
        <f>발송처리!M399</f>
        <v>0</v>
      </c>
      <c r="E399" t="e">
        <f>VLOOKUP(발송처리!V399,'상품DB(수정x)'!B:E,2,0)</f>
        <v>#N/A</v>
      </c>
      <c r="F399" s="13" t="e">
        <f>VLOOKUP(발송처리!V399,'상품DB(수정x)'!B:E,4,0)</f>
        <v>#N/A</v>
      </c>
      <c r="G399" s="8">
        <f>발송처리!X399</f>
        <v>0</v>
      </c>
      <c r="I399">
        <f>발송처리!AW399</f>
        <v>0</v>
      </c>
      <c r="K399" t="e">
        <f t="shared" si="8"/>
        <v>#N/A</v>
      </c>
      <c r="L399">
        <f>발송처리!AU399</f>
        <v>0</v>
      </c>
      <c r="M399">
        <f>발송처리!AP399</f>
        <v>0</v>
      </c>
      <c r="N399">
        <f>발송처리!AV399</f>
        <v>0</v>
      </c>
      <c r="O399">
        <f>발송처리!AR399</f>
        <v>0</v>
      </c>
      <c r="P399">
        <f>발송처리!K399</f>
        <v>0</v>
      </c>
      <c r="Q399" s="2">
        <f>발송처리!AC399</f>
        <v>0</v>
      </c>
    </row>
    <row r="400" spans="1:17">
      <c r="A400">
        <f>발송처리!A400</f>
        <v>0</v>
      </c>
      <c r="B400">
        <f>발송처리!M400</f>
        <v>0</v>
      </c>
      <c r="E400" t="e">
        <f>VLOOKUP(발송처리!V400,'상품DB(수정x)'!B:E,2,0)</f>
        <v>#N/A</v>
      </c>
      <c r="F400" s="13" t="e">
        <f>VLOOKUP(발송처리!V400,'상품DB(수정x)'!B:E,4,0)</f>
        <v>#N/A</v>
      </c>
      <c r="G400" s="8">
        <f>발송처리!X400</f>
        <v>0</v>
      </c>
      <c r="I400">
        <f>발송처리!AW400</f>
        <v>0</v>
      </c>
      <c r="K400" t="e">
        <f t="shared" si="8"/>
        <v>#N/A</v>
      </c>
      <c r="L400">
        <f>발송처리!AU400</f>
        <v>0</v>
      </c>
      <c r="M400">
        <f>발송처리!AP400</f>
        <v>0</v>
      </c>
      <c r="N400">
        <f>발송처리!AV400</f>
        <v>0</v>
      </c>
      <c r="O400">
        <f>발송처리!AR400</f>
        <v>0</v>
      </c>
      <c r="P400">
        <f>발송처리!K400</f>
        <v>0</v>
      </c>
      <c r="Q400" s="2">
        <f>발송처리!AC400</f>
        <v>0</v>
      </c>
    </row>
    <row r="401" spans="1:17">
      <c r="A401">
        <f>발송처리!A401</f>
        <v>0</v>
      </c>
      <c r="B401">
        <f>발송처리!M401</f>
        <v>0</v>
      </c>
      <c r="E401" t="e">
        <f>VLOOKUP(발송처리!V401,'상품DB(수정x)'!B:E,2,0)</f>
        <v>#N/A</v>
      </c>
      <c r="F401" s="13" t="e">
        <f>VLOOKUP(발송처리!V401,'상품DB(수정x)'!B:E,4,0)</f>
        <v>#N/A</v>
      </c>
      <c r="G401" s="8">
        <f>발송처리!X401</f>
        <v>0</v>
      </c>
      <c r="I401">
        <f>발송처리!AW401</f>
        <v>0</v>
      </c>
      <c r="K401" t="e">
        <f t="shared" si="8"/>
        <v>#N/A</v>
      </c>
      <c r="L401">
        <f>발송처리!AU401</f>
        <v>0</v>
      </c>
      <c r="M401">
        <f>발송처리!AP401</f>
        <v>0</v>
      </c>
      <c r="N401">
        <f>발송처리!AV401</f>
        <v>0</v>
      </c>
      <c r="O401">
        <f>발송처리!AR401</f>
        <v>0</v>
      </c>
      <c r="P401">
        <f>발송처리!K401</f>
        <v>0</v>
      </c>
      <c r="Q401" s="2">
        <f>발송처리!AC401</f>
        <v>0</v>
      </c>
    </row>
    <row r="402" spans="1:17">
      <c r="A402">
        <f>발송처리!A402</f>
        <v>0</v>
      </c>
      <c r="B402">
        <f>발송처리!M402</f>
        <v>0</v>
      </c>
      <c r="E402" t="e">
        <f>VLOOKUP(발송처리!V402,'상품DB(수정x)'!B:E,2,0)</f>
        <v>#N/A</v>
      </c>
      <c r="F402" s="13" t="e">
        <f>VLOOKUP(발송처리!V402,'상품DB(수정x)'!B:E,4,0)</f>
        <v>#N/A</v>
      </c>
      <c r="G402" s="8">
        <f>발송처리!X402</f>
        <v>0</v>
      </c>
      <c r="I402">
        <f>발송처리!AW402</f>
        <v>0</v>
      </c>
      <c r="K402" t="e">
        <f t="shared" si="8"/>
        <v>#N/A</v>
      </c>
      <c r="L402">
        <f>발송처리!AU402</f>
        <v>0</v>
      </c>
      <c r="M402">
        <f>발송처리!AP402</f>
        <v>0</v>
      </c>
      <c r="N402">
        <f>발송처리!AV402</f>
        <v>0</v>
      </c>
      <c r="O402">
        <f>발송처리!AR402</f>
        <v>0</v>
      </c>
      <c r="P402">
        <f>발송처리!K402</f>
        <v>0</v>
      </c>
      <c r="Q402" s="2">
        <f>발송처리!AC402</f>
        <v>0</v>
      </c>
    </row>
    <row r="403" spans="1:17">
      <c r="A403">
        <f>발송처리!A403</f>
        <v>0</v>
      </c>
      <c r="B403">
        <f>발송처리!M403</f>
        <v>0</v>
      </c>
      <c r="E403" t="e">
        <f>VLOOKUP(발송처리!V403,'상품DB(수정x)'!B:E,2,0)</f>
        <v>#N/A</v>
      </c>
      <c r="F403" s="13" t="e">
        <f>VLOOKUP(발송처리!V403,'상품DB(수정x)'!B:E,4,0)</f>
        <v>#N/A</v>
      </c>
      <c r="G403" s="8">
        <f>발송처리!X403</f>
        <v>0</v>
      </c>
      <c r="I403">
        <f>발송처리!AW403</f>
        <v>0</v>
      </c>
      <c r="K403" t="e">
        <f t="shared" si="8"/>
        <v>#N/A</v>
      </c>
      <c r="L403">
        <f>발송처리!AU403</f>
        <v>0</v>
      </c>
      <c r="M403">
        <f>발송처리!AP403</f>
        <v>0</v>
      </c>
      <c r="N403">
        <f>발송처리!AV403</f>
        <v>0</v>
      </c>
      <c r="O403">
        <f>발송처리!AR403</f>
        <v>0</v>
      </c>
      <c r="P403">
        <f>발송처리!K403</f>
        <v>0</v>
      </c>
      <c r="Q403" s="2">
        <f>발송처리!AC403</f>
        <v>0</v>
      </c>
    </row>
    <row r="404" spans="1:17">
      <c r="A404">
        <f>발송처리!A404</f>
        <v>0</v>
      </c>
      <c r="B404">
        <f>발송처리!M404</f>
        <v>0</v>
      </c>
      <c r="E404" t="e">
        <f>VLOOKUP(발송처리!V404,'상품DB(수정x)'!B:E,2,0)</f>
        <v>#N/A</v>
      </c>
      <c r="F404" s="13" t="e">
        <f>VLOOKUP(발송처리!V404,'상품DB(수정x)'!B:E,4,0)</f>
        <v>#N/A</v>
      </c>
      <c r="G404" s="8">
        <f>발송처리!X404</f>
        <v>0</v>
      </c>
      <c r="I404">
        <f>발송처리!AW404</f>
        <v>0</v>
      </c>
      <c r="K404" t="e">
        <f t="shared" si="8"/>
        <v>#N/A</v>
      </c>
      <c r="L404">
        <f>발송처리!AU404</f>
        <v>0</v>
      </c>
      <c r="M404">
        <f>발송처리!AP404</f>
        <v>0</v>
      </c>
      <c r="N404">
        <f>발송처리!AV404</f>
        <v>0</v>
      </c>
      <c r="O404">
        <f>발송처리!AR404</f>
        <v>0</v>
      </c>
      <c r="P404">
        <f>발송처리!K404</f>
        <v>0</v>
      </c>
      <c r="Q404" s="2">
        <f>발송처리!AC404</f>
        <v>0</v>
      </c>
    </row>
    <row r="405" spans="1:17">
      <c r="A405">
        <f>발송처리!A405</f>
        <v>0</v>
      </c>
      <c r="B405">
        <f>발송처리!M405</f>
        <v>0</v>
      </c>
      <c r="E405" t="e">
        <f>VLOOKUP(발송처리!V405,'상품DB(수정x)'!B:E,2,0)</f>
        <v>#N/A</v>
      </c>
      <c r="F405" s="13" t="e">
        <f>VLOOKUP(발송처리!V405,'상품DB(수정x)'!B:E,4,0)</f>
        <v>#N/A</v>
      </c>
      <c r="G405" s="8">
        <f>발송처리!X405</f>
        <v>0</v>
      </c>
      <c r="I405">
        <f>발송처리!AW405</f>
        <v>0</v>
      </c>
      <c r="K405" t="e">
        <f t="shared" si="8"/>
        <v>#N/A</v>
      </c>
      <c r="L405">
        <f>발송처리!AU405</f>
        <v>0</v>
      </c>
      <c r="M405">
        <f>발송처리!AP405</f>
        <v>0</v>
      </c>
      <c r="N405">
        <f>발송처리!AV405</f>
        <v>0</v>
      </c>
      <c r="O405">
        <f>발송처리!AR405</f>
        <v>0</v>
      </c>
      <c r="P405">
        <f>발송처리!K405</f>
        <v>0</v>
      </c>
      <c r="Q405" s="2">
        <f>발송처리!AC405</f>
        <v>0</v>
      </c>
    </row>
    <row r="406" spans="1:17">
      <c r="A406">
        <f>발송처리!A406</f>
        <v>0</v>
      </c>
      <c r="B406">
        <f>발송처리!M406</f>
        <v>0</v>
      </c>
      <c r="E406" t="e">
        <f>VLOOKUP(발송처리!V406,'상품DB(수정x)'!B:E,2,0)</f>
        <v>#N/A</v>
      </c>
      <c r="F406" s="13" t="e">
        <f>VLOOKUP(발송처리!V406,'상품DB(수정x)'!B:E,4,0)</f>
        <v>#N/A</v>
      </c>
      <c r="G406" s="8">
        <f>발송처리!X406</f>
        <v>0</v>
      </c>
      <c r="I406">
        <f>발송처리!AW406</f>
        <v>0</v>
      </c>
      <c r="K406" t="e">
        <f t="shared" si="8"/>
        <v>#N/A</v>
      </c>
      <c r="L406">
        <f>발송처리!AU406</f>
        <v>0</v>
      </c>
      <c r="M406">
        <f>발송처리!AP406</f>
        <v>0</v>
      </c>
      <c r="N406">
        <f>발송처리!AV406</f>
        <v>0</v>
      </c>
      <c r="O406">
        <f>발송처리!AR406</f>
        <v>0</v>
      </c>
      <c r="P406">
        <f>발송처리!K406</f>
        <v>0</v>
      </c>
      <c r="Q406" s="2">
        <f>발송처리!AC406</f>
        <v>0</v>
      </c>
    </row>
    <row r="407" spans="1:17">
      <c r="A407">
        <f>발송처리!A407</f>
        <v>0</v>
      </c>
      <c r="B407">
        <f>발송처리!M407</f>
        <v>0</v>
      </c>
      <c r="E407" t="e">
        <f>VLOOKUP(발송처리!V407,'상품DB(수정x)'!B:E,2,0)</f>
        <v>#N/A</v>
      </c>
      <c r="F407" s="13" t="e">
        <f>VLOOKUP(발송처리!V407,'상품DB(수정x)'!B:E,4,0)</f>
        <v>#N/A</v>
      </c>
      <c r="G407" s="8">
        <f>발송처리!X407</f>
        <v>0</v>
      </c>
      <c r="I407">
        <f>발송처리!AW407</f>
        <v>0</v>
      </c>
      <c r="K407" t="e">
        <f t="shared" si="8"/>
        <v>#N/A</v>
      </c>
      <c r="L407">
        <f>발송처리!AU407</f>
        <v>0</v>
      </c>
      <c r="M407">
        <f>발송처리!AP407</f>
        <v>0</v>
      </c>
      <c r="N407">
        <f>발송처리!AV407</f>
        <v>0</v>
      </c>
      <c r="O407">
        <f>발송처리!AR407</f>
        <v>0</v>
      </c>
      <c r="P407">
        <f>발송처리!K407</f>
        <v>0</v>
      </c>
      <c r="Q407" s="2">
        <f>발송처리!AC407</f>
        <v>0</v>
      </c>
    </row>
    <row r="408" spans="1:17">
      <c r="A408">
        <f>발송처리!A408</f>
        <v>0</v>
      </c>
      <c r="B408">
        <f>발송처리!M408</f>
        <v>0</v>
      </c>
      <c r="E408" t="e">
        <f>VLOOKUP(발송처리!V408,'상품DB(수정x)'!B:E,2,0)</f>
        <v>#N/A</v>
      </c>
      <c r="F408" s="13" t="e">
        <f>VLOOKUP(발송처리!V408,'상품DB(수정x)'!B:E,4,0)</f>
        <v>#N/A</v>
      </c>
      <c r="G408" s="8">
        <f>발송처리!X408</f>
        <v>0</v>
      </c>
      <c r="I408">
        <f>발송처리!AW408</f>
        <v>0</v>
      </c>
      <c r="K408" t="e">
        <f t="shared" si="8"/>
        <v>#N/A</v>
      </c>
      <c r="L408">
        <f>발송처리!AU408</f>
        <v>0</v>
      </c>
      <c r="M408">
        <f>발송처리!AP408</f>
        <v>0</v>
      </c>
      <c r="N408">
        <f>발송처리!AV408</f>
        <v>0</v>
      </c>
      <c r="O408">
        <f>발송처리!AR408</f>
        <v>0</v>
      </c>
      <c r="P408">
        <f>발송처리!K408</f>
        <v>0</v>
      </c>
      <c r="Q408" s="2">
        <f>발송처리!AC408</f>
        <v>0</v>
      </c>
    </row>
    <row r="409" spans="1:17">
      <c r="A409">
        <f>발송처리!A409</f>
        <v>0</v>
      </c>
      <c r="B409">
        <f>발송처리!M409</f>
        <v>0</v>
      </c>
      <c r="E409" t="e">
        <f>VLOOKUP(발송처리!V409,'상품DB(수정x)'!B:E,2,0)</f>
        <v>#N/A</v>
      </c>
      <c r="F409" s="13" t="e">
        <f>VLOOKUP(발송처리!V409,'상품DB(수정x)'!B:E,4,0)</f>
        <v>#N/A</v>
      </c>
      <c r="G409" s="8">
        <f>발송처리!X409</f>
        <v>0</v>
      </c>
      <c r="I409">
        <f>발송처리!AW409</f>
        <v>0</v>
      </c>
      <c r="K409" t="e">
        <f t="shared" si="8"/>
        <v>#N/A</v>
      </c>
      <c r="L409">
        <f>발송처리!AU409</f>
        <v>0</v>
      </c>
      <c r="M409">
        <f>발송처리!AP409</f>
        <v>0</v>
      </c>
      <c r="N409">
        <f>발송처리!AV409</f>
        <v>0</v>
      </c>
      <c r="O409">
        <f>발송처리!AR409</f>
        <v>0</v>
      </c>
      <c r="P409">
        <f>발송처리!K409</f>
        <v>0</v>
      </c>
      <c r="Q409" s="2">
        <f>발송처리!AC409</f>
        <v>0</v>
      </c>
    </row>
    <row r="410" spans="1:17">
      <c r="A410">
        <f>발송처리!A410</f>
        <v>0</v>
      </c>
      <c r="B410">
        <f>발송처리!M410</f>
        <v>0</v>
      </c>
      <c r="E410" t="e">
        <f>VLOOKUP(발송처리!V410,'상품DB(수정x)'!B:E,2,0)</f>
        <v>#N/A</v>
      </c>
      <c r="F410" s="13" t="e">
        <f>VLOOKUP(발송처리!V410,'상품DB(수정x)'!B:E,4,0)</f>
        <v>#N/A</v>
      </c>
      <c r="G410" s="8">
        <f>발송처리!X410</f>
        <v>0</v>
      </c>
      <c r="I410">
        <f>발송처리!AW410</f>
        <v>0</v>
      </c>
      <c r="K410" t="e">
        <f t="shared" si="8"/>
        <v>#N/A</v>
      </c>
      <c r="L410">
        <f>발송처리!AU410</f>
        <v>0</v>
      </c>
      <c r="M410">
        <f>발송처리!AP410</f>
        <v>0</v>
      </c>
      <c r="N410">
        <f>발송처리!AV410</f>
        <v>0</v>
      </c>
      <c r="O410">
        <f>발송처리!AR410</f>
        <v>0</v>
      </c>
      <c r="P410">
        <f>발송처리!K410</f>
        <v>0</v>
      </c>
      <c r="Q410" s="2">
        <f>발송처리!AC410</f>
        <v>0</v>
      </c>
    </row>
    <row r="411" spans="1:17">
      <c r="A411">
        <f>발송처리!A411</f>
        <v>0</v>
      </c>
      <c r="B411">
        <f>발송처리!M411</f>
        <v>0</v>
      </c>
      <c r="E411" t="e">
        <f>VLOOKUP(발송처리!V411,'상품DB(수정x)'!B:E,2,0)</f>
        <v>#N/A</v>
      </c>
      <c r="F411" s="13" t="e">
        <f>VLOOKUP(발송처리!V411,'상품DB(수정x)'!B:E,4,0)</f>
        <v>#N/A</v>
      </c>
      <c r="G411" s="8">
        <f>발송처리!X411</f>
        <v>0</v>
      </c>
      <c r="I411">
        <f>발송처리!AW411</f>
        <v>0</v>
      </c>
      <c r="K411" t="e">
        <f t="shared" si="8"/>
        <v>#N/A</v>
      </c>
      <c r="L411">
        <f>발송처리!AU411</f>
        <v>0</v>
      </c>
      <c r="M411">
        <f>발송처리!AP411</f>
        <v>0</v>
      </c>
      <c r="N411">
        <f>발송처리!AV411</f>
        <v>0</v>
      </c>
      <c r="O411">
        <f>발송처리!AR411</f>
        <v>0</v>
      </c>
      <c r="P411">
        <f>발송처리!K411</f>
        <v>0</v>
      </c>
      <c r="Q411" s="2">
        <f>발송처리!AC411</f>
        <v>0</v>
      </c>
    </row>
    <row r="412" spans="1:17">
      <c r="A412">
        <f>발송처리!A412</f>
        <v>0</v>
      </c>
      <c r="B412">
        <f>발송처리!M412</f>
        <v>0</v>
      </c>
      <c r="E412" t="e">
        <f>VLOOKUP(발송처리!V412,'상품DB(수정x)'!B:E,2,0)</f>
        <v>#N/A</v>
      </c>
      <c r="F412" s="13" t="e">
        <f>VLOOKUP(발송처리!V412,'상품DB(수정x)'!B:E,4,0)</f>
        <v>#N/A</v>
      </c>
      <c r="G412" s="8">
        <f>발송처리!X412</f>
        <v>0</v>
      </c>
      <c r="I412">
        <f>발송처리!AW412</f>
        <v>0</v>
      </c>
      <c r="K412" t="e">
        <f t="shared" si="8"/>
        <v>#N/A</v>
      </c>
      <c r="L412">
        <f>발송처리!AU412</f>
        <v>0</v>
      </c>
      <c r="M412">
        <f>발송처리!AP412</f>
        <v>0</v>
      </c>
      <c r="N412">
        <f>발송처리!AV412</f>
        <v>0</v>
      </c>
      <c r="O412">
        <f>발송처리!AR412</f>
        <v>0</v>
      </c>
      <c r="P412">
        <f>발송처리!K412</f>
        <v>0</v>
      </c>
      <c r="Q412" s="2">
        <f>발송처리!AC412</f>
        <v>0</v>
      </c>
    </row>
    <row r="413" spans="1:17">
      <c r="A413">
        <f>발송처리!A413</f>
        <v>0</v>
      </c>
      <c r="B413">
        <f>발송처리!M413</f>
        <v>0</v>
      </c>
      <c r="E413" t="e">
        <f>VLOOKUP(발송처리!V413,'상품DB(수정x)'!B:E,2,0)</f>
        <v>#N/A</v>
      </c>
      <c r="F413" s="13" t="e">
        <f>VLOOKUP(발송처리!V413,'상품DB(수정x)'!B:E,4,0)</f>
        <v>#N/A</v>
      </c>
      <c r="G413" s="8">
        <f>발송처리!X413</f>
        <v>0</v>
      </c>
      <c r="I413">
        <f>발송처리!AW413</f>
        <v>0</v>
      </c>
      <c r="K413" t="e">
        <f t="shared" si="8"/>
        <v>#N/A</v>
      </c>
      <c r="L413">
        <f>발송처리!AU413</f>
        <v>0</v>
      </c>
      <c r="M413">
        <f>발송처리!AP413</f>
        <v>0</v>
      </c>
      <c r="N413">
        <f>발송처리!AV413</f>
        <v>0</v>
      </c>
      <c r="O413">
        <f>발송처리!AR413</f>
        <v>0</v>
      </c>
      <c r="P413">
        <f>발송처리!K413</f>
        <v>0</v>
      </c>
      <c r="Q413" s="2">
        <f>발송처리!AC413</f>
        <v>0</v>
      </c>
    </row>
    <row r="414" spans="1:17">
      <c r="A414">
        <f>발송처리!A414</f>
        <v>0</v>
      </c>
      <c r="B414">
        <f>발송처리!M414</f>
        <v>0</v>
      </c>
      <c r="E414" t="e">
        <f>VLOOKUP(발송처리!V414,'상품DB(수정x)'!B:E,2,0)</f>
        <v>#N/A</v>
      </c>
      <c r="F414" s="13" t="e">
        <f>VLOOKUP(발송처리!V414,'상품DB(수정x)'!B:E,4,0)</f>
        <v>#N/A</v>
      </c>
      <c r="G414" s="8">
        <f>발송처리!X414</f>
        <v>0</v>
      </c>
      <c r="I414">
        <f>발송처리!AW414</f>
        <v>0</v>
      </c>
      <c r="K414" t="e">
        <f t="shared" si="8"/>
        <v>#N/A</v>
      </c>
      <c r="L414">
        <f>발송처리!AU414</f>
        <v>0</v>
      </c>
      <c r="M414">
        <f>발송처리!AP414</f>
        <v>0</v>
      </c>
      <c r="N414">
        <f>발송처리!AV414</f>
        <v>0</v>
      </c>
      <c r="O414">
        <f>발송처리!AR414</f>
        <v>0</v>
      </c>
      <c r="P414">
        <f>발송처리!K414</f>
        <v>0</v>
      </c>
      <c r="Q414" s="2">
        <f>발송처리!AC414</f>
        <v>0</v>
      </c>
    </row>
    <row r="415" spans="1:17">
      <c r="A415">
        <f>발송처리!A415</f>
        <v>0</v>
      </c>
      <c r="B415">
        <f>발송처리!M415</f>
        <v>0</v>
      </c>
      <c r="E415" t="e">
        <f>VLOOKUP(발송처리!V415,'상품DB(수정x)'!B:E,2,0)</f>
        <v>#N/A</v>
      </c>
      <c r="F415" s="13" t="e">
        <f>VLOOKUP(발송처리!V415,'상품DB(수정x)'!B:E,4,0)</f>
        <v>#N/A</v>
      </c>
      <c r="G415" s="8">
        <f>발송처리!X415</f>
        <v>0</v>
      </c>
      <c r="I415">
        <f>발송처리!AW415</f>
        <v>0</v>
      </c>
      <c r="K415" t="e">
        <f t="shared" si="8"/>
        <v>#N/A</v>
      </c>
      <c r="L415">
        <f>발송처리!AU415</f>
        <v>0</v>
      </c>
      <c r="M415">
        <f>발송처리!AP415</f>
        <v>0</v>
      </c>
      <c r="N415">
        <f>발송처리!AV415</f>
        <v>0</v>
      </c>
      <c r="O415">
        <f>발송처리!AR415</f>
        <v>0</v>
      </c>
      <c r="P415">
        <f>발송처리!K415</f>
        <v>0</v>
      </c>
      <c r="Q415" s="2">
        <f>발송처리!AC415</f>
        <v>0</v>
      </c>
    </row>
    <row r="416" spans="1:17">
      <c r="A416">
        <f>발송처리!A416</f>
        <v>0</v>
      </c>
      <c r="B416">
        <f>발송처리!M416</f>
        <v>0</v>
      </c>
      <c r="E416" t="e">
        <f>VLOOKUP(발송처리!V416,'상품DB(수정x)'!B:E,2,0)</f>
        <v>#N/A</v>
      </c>
      <c r="F416" s="13" t="e">
        <f>VLOOKUP(발송처리!V416,'상품DB(수정x)'!B:E,4,0)</f>
        <v>#N/A</v>
      </c>
      <c r="G416" s="8">
        <f>발송처리!X416</f>
        <v>0</v>
      </c>
      <c r="I416">
        <f>발송처리!AW416</f>
        <v>0</v>
      </c>
      <c r="K416" t="e">
        <f t="shared" si="8"/>
        <v>#N/A</v>
      </c>
      <c r="L416">
        <f>발송처리!AU416</f>
        <v>0</v>
      </c>
      <c r="M416">
        <f>발송처리!AP416</f>
        <v>0</v>
      </c>
      <c r="N416">
        <f>발송처리!AV416</f>
        <v>0</v>
      </c>
      <c r="O416">
        <f>발송처리!AR416</f>
        <v>0</v>
      </c>
      <c r="P416">
        <f>발송처리!K416</f>
        <v>0</v>
      </c>
      <c r="Q416" s="2">
        <f>발송처리!AC416</f>
        <v>0</v>
      </c>
    </row>
    <row r="417" spans="1:17">
      <c r="A417">
        <f>발송처리!A417</f>
        <v>0</v>
      </c>
      <c r="B417">
        <f>발송처리!M417</f>
        <v>0</v>
      </c>
      <c r="E417" t="e">
        <f>VLOOKUP(발송처리!V417,'상품DB(수정x)'!B:E,2,0)</f>
        <v>#N/A</v>
      </c>
      <c r="F417" s="13" t="e">
        <f>VLOOKUP(발송처리!V417,'상품DB(수정x)'!B:E,4,0)</f>
        <v>#N/A</v>
      </c>
      <c r="G417" s="8">
        <f>발송처리!X417</f>
        <v>0</v>
      </c>
      <c r="I417">
        <f>발송처리!AW417</f>
        <v>0</v>
      </c>
      <c r="K417" t="e">
        <f t="shared" si="8"/>
        <v>#N/A</v>
      </c>
      <c r="L417">
        <f>발송처리!AU417</f>
        <v>0</v>
      </c>
      <c r="M417">
        <f>발송처리!AP417</f>
        <v>0</v>
      </c>
      <c r="N417">
        <f>발송처리!AV417</f>
        <v>0</v>
      </c>
      <c r="O417">
        <f>발송처리!AR417</f>
        <v>0</v>
      </c>
      <c r="P417">
        <f>발송처리!K417</f>
        <v>0</v>
      </c>
      <c r="Q417" s="2">
        <f>발송처리!AC417</f>
        <v>0</v>
      </c>
    </row>
    <row r="418" spans="1:17">
      <c r="A418">
        <f>발송처리!A418</f>
        <v>0</v>
      </c>
      <c r="B418">
        <f>발송처리!M418</f>
        <v>0</v>
      </c>
      <c r="E418" t="e">
        <f>VLOOKUP(발송처리!V418,'상품DB(수정x)'!B:E,2,0)</f>
        <v>#N/A</v>
      </c>
      <c r="F418" s="13" t="e">
        <f>VLOOKUP(발송처리!V418,'상품DB(수정x)'!B:E,4,0)</f>
        <v>#N/A</v>
      </c>
      <c r="G418" s="8">
        <f>발송처리!X418</f>
        <v>0</v>
      </c>
      <c r="I418">
        <f>발송처리!AW418</f>
        <v>0</v>
      </c>
      <c r="K418" t="e">
        <f t="shared" si="8"/>
        <v>#N/A</v>
      </c>
      <c r="L418">
        <f>발송처리!AU418</f>
        <v>0</v>
      </c>
      <c r="M418">
        <f>발송처리!AP418</f>
        <v>0</v>
      </c>
      <c r="N418">
        <f>발송처리!AV418</f>
        <v>0</v>
      </c>
      <c r="O418">
        <f>발송처리!AR418</f>
        <v>0</v>
      </c>
      <c r="P418">
        <f>발송처리!K418</f>
        <v>0</v>
      </c>
      <c r="Q418" s="2">
        <f>발송처리!AC418</f>
        <v>0</v>
      </c>
    </row>
    <row r="419" spans="1:17">
      <c r="A419">
        <f>발송처리!A419</f>
        <v>0</v>
      </c>
      <c r="B419">
        <f>발송처리!M419</f>
        <v>0</v>
      </c>
      <c r="E419" t="e">
        <f>VLOOKUP(발송처리!V419,'상품DB(수정x)'!B:E,2,0)</f>
        <v>#N/A</v>
      </c>
      <c r="F419" s="13" t="e">
        <f>VLOOKUP(발송처리!V419,'상품DB(수정x)'!B:E,4,0)</f>
        <v>#N/A</v>
      </c>
      <c r="G419" s="8">
        <f>발송처리!X419</f>
        <v>0</v>
      </c>
      <c r="I419">
        <f>발송처리!AW419</f>
        <v>0</v>
      </c>
      <c r="K419" t="e">
        <f t="shared" si="8"/>
        <v>#N/A</v>
      </c>
      <c r="L419">
        <f>발송처리!AU419</f>
        <v>0</v>
      </c>
      <c r="M419">
        <f>발송처리!AP419</f>
        <v>0</v>
      </c>
      <c r="N419">
        <f>발송처리!AV419</f>
        <v>0</v>
      </c>
      <c r="O419">
        <f>발송처리!AR419</f>
        <v>0</v>
      </c>
      <c r="P419">
        <f>발송처리!K419</f>
        <v>0</v>
      </c>
      <c r="Q419" s="2">
        <f>발송처리!AC419</f>
        <v>0</v>
      </c>
    </row>
    <row r="420" spans="1:17">
      <c r="A420">
        <f>발송처리!A420</f>
        <v>0</v>
      </c>
      <c r="B420">
        <f>발송처리!M420</f>
        <v>0</v>
      </c>
      <c r="E420" t="e">
        <f>VLOOKUP(발송처리!V420,'상품DB(수정x)'!B:E,2,0)</f>
        <v>#N/A</v>
      </c>
      <c r="F420" s="13" t="e">
        <f>VLOOKUP(발송처리!V420,'상품DB(수정x)'!B:E,4,0)</f>
        <v>#N/A</v>
      </c>
      <c r="G420" s="8">
        <f>발송처리!X420</f>
        <v>0</v>
      </c>
      <c r="I420">
        <f>발송처리!AW420</f>
        <v>0</v>
      </c>
      <c r="K420" t="e">
        <f t="shared" si="8"/>
        <v>#N/A</v>
      </c>
      <c r="L420">
        <f>발송처리!AU420</f>
        <v>0</v>
      </c>
      <c r="M420">
        <f>발송처리!AP420</f>
        <v>0</v>
      </c>
      <c r="N420">
        <f>발송처리!AV420</f>
        <v>0</v>
      </c>
      <c r="O420">
        <f>발송처리!AR420</f>
        <v>0</v>
      </c>
      <c r="P420">
        <f>발송처리!K420</f>
        <v>0</v>
      </c>
      <c r="Q420" s="2">
        <f>발송처리!AC420</f>
        <v>0</v>
      </c>
    </row>
    <row r="421" spans="1:17">
      <c r="A421">
        <f>발송처리!A421</f>
        <v>0</v>
      </c>
      <c r="B421">
        <f>발송처리!M421</f>
        <v>0</v>
      </c>
      <c r="E421" t="e">
        <f>VLOOKUP(발송처리!V421,'상품DB(수정x)'!B:E,2,0)</f>
        <v>#N/A</v>
      </c>
      <c r="F421" s="13" t="e">
        <f>VLOOKUP(발송처리!V421,'상품DB(수정x)'!B:E,4,0)</f>
        <v>#N/A</v>
      </c>
      <c r="G421" s="8">
        <f>발송처리!X421</f>
        <v>0</v>
      </c>
      <c r="I421">
        <f>발송처리!AW421</f>
        <v>0</v>
      </c>
      <c r="K421" t="e">
        <f t="shared" si="8"/>
        <v>#N/A</v>
      </c>
      <c r="L421">
        <f>발송처리!AU421</f>
        <v>0</v>
      </c>
      <c r="M421">
        <f>발송처리!AP421</f>
        <v>0</v>
      </c>
      <c r="N421">
        <f>발송처리!AV421</f>
        <v>0</v>
      </c>
      <c r="O421">
        <f>발송처리!AR421</f>
        <v>0</v>
      </c>
      <c r="P421">
        <f>발송처리!K421</f>
        <v>0</v>
      </c>
      <c r="Q421" s="2">
        <f>발송처리!AC421</f>
        <v>0</v>
      </c>
    </row>
    <row r="422" spans="1:17">
      <c r="A422">
        <f>발송처리!A422</f>
        <v>0</v>
      </c>
      <c r="B422">
        <f>발송처리!M422</f>
        <v>0</v>
      </c>
      <c r="E422" t="e">
        <f>VLOOKUP(발송처리!V422,'상품DB(수정x)'!B:E,2,0)</f>
        <v>#N/A</v>
      </c>
      <c r="F422" s="13" t="e">
        <f>VLOOKUP(발송처리!V422,'상품DB(수정x)'!B:E,4,0)</f>
        <v>#N/A</v>
      </c>
      <c r="G422" s="8">
        <f>발송처리!X422</f>
        <v>0</v>
      </c>
      <c r="I422">
        <f>발송처리!AW422</f>
        <v>0</v>
      </c>
      <c r="K422" t="e">
        <f t="shared" si="8"/>
        <v>#N/A</v>
      </c>
      <c r="L422">
        <f>발송처리!AU422</f>
        <v>0</v>
      </c>
      <c r="M422">
        <f>발송처리!AP422</f>
        <v>0</v>
      </c>
      <c r="N422">
        <f>발송처리!AV422</f>
        <v>0</v>
      </c>
      <c r="O422">
        <f>발송처리!AR422</f>
        <v>0</v>
      </c>
      <c r="P422">
        <f>발송처리!K422</f>
        <v>0</v>
      </c>
      <c r="Q422" s="2">
        <f>발송처리!AC422</f>
        <v>0</v>
      </c>
    </row>
    <row r="423" spans="1:17">
      <c r="A423">
        <f>발송처리!A423</f>
        <v>0</v>
      </c>
      <c r="B423">
        <f>발송처리!M423</f>
        <v>0</v>
      </c>
      <c r="E423" t="e">
        <f>VLOOKUP(발송처리!V423,'상품DB(수정x)'!B:E,2,0)</f>
        <v>#N/A</v>
      </c>
      <c r="F423" s="13" t="e">
        <f>VLOOKUP(발송처리!V423,'상품DB(수정x)'!B:E,4,0)</f>
        <v>#N/A</v>
      </c>
      <c r="G423" s="8">
        <f>발송처리!X423</f>
        <v>0</v>
      </c>
      <c r="I423">
        <f>발송처리!AW423</f>
        <v>0</v>
      </c>
      <c r="K423" t="e">
        <f t="shared" si="8"/>
        <v>#N/A</v>
      </c>
      <c r="L423">
        <f>발송처리!AU423</f>
        <v>0</v>
      </c>
      <c r="M423">
        <f>발송처리!AP423</f>
        <v>0</v>
      </c>
      <c r="N423">
        <f>발송처리!AV423</f>
        <v>0</v>
      </c>
      <c r="O423">
        <f>발송처리!AR423</f>
        <v>0</v>
      </c>
      <c r="P423">
        <f>발송처리!K423</f>
        <v>0</v>
      </c>
      <c r="Q423" s="2">
        <f>발송처리!AC423</f>
        <v>0</v>
      </c>
    </row>
    <row r="424" spans="1:17">
      <c r="A424">
        <f>발송처리!A424</f>
        <v>0</v>
      </c>
      <c r="B424">
        <f>발송처리!M424</f>
        <v>0</v>
      </c>
      <c r="E424" t="e">
        <f>VLOOKUP(발송처리!V424,'상품DB(수정x)'!B:E,2,0)</f>
        <v>#N/A</v>
      </c>
      <c r="F424" s="13" t="e">
        <f>VLOOKUP(발송처리!V424,'상품DB(수정x)'!B:E,4,0)</f>
        <v>#N/A</v>
      </c>
      <c r="G424" s="8">
        <f>발송처리!X424</f>
        <v>0</v>
      </c>
      <c r="I424">
        <f>발송처리!AW424</f>
        <v>0</v>
      </c>
      <c r="K424" t="e">
        <f t="shared" si="8"/>
        <v>#N/A</v>
      </c>
      <c r="L424">
        <f>발송처리!AU424</f>
        <v>0</v>
      </c>
      <c r="M424">
        <f>발송처리!AP424</f>
        <v>0</v>
      </c>
      <c r="N424">
        <f>발송처리!AV424</f>
        <v>0</v>
      </c>
      <c r="O424">
        <f>발송처리!AR424</f>
        <v>0</v>
      </c>
      <c r="P424">
        <f>발송처리!K424</f>
        <v>0</v>
      </c>
      <c r="Q424" s="2">
        <f>발송처리!AC424</f>
        <v>0</v>
      </c>
    </row>
    <row r="425" spans="1:17">
      <c r="A425">
        <f>발송처리!A425</f>
        <v>0</v>
      </c>
      <c r="B425">
        <f>발송처리!M425</f>
        <v>0</v>
      </c>
      <c r="E425" t="e">
        <f>VLOOKUP(발송처리!V425,'상품DB(수정x)'!B:E,2,0)</f>
        <v>#N/A</v>
      </c>
      <c r="F425" s="13" t="e">
        <f>VLOOKUP(발송처리!V425,'상품DB(수정x)'!B:E,4,0)</f>
        <v>#N/A</v>
      </c>
      <c r="G425" s="8">
        <f>발송처리!X425</f>
        <v>0</v>
      </c>
      <c r="I425">
        <f>발송처리!AW425</f>
        <v>0</v>
      </c>
      <c r="K425" t="e">
        <f t="shared" si="8"/>
        <v>#N/A</v>
      </c>
      <c r="L425">
        <f>발송처리!AU425</f>
        <v>0</v>
      </c>
      <c r="M425">
        <f>발송처리!AP425</f>
        <v>0</v>
      </c>
      <c r="N425">
        <f>발송처리!AV425</f>
        <v>0</v>
      </c>
      <c r="O425">
        <f>발송처리!AR425</f>
        <v>0</v>
      </c>
      <c r="P425">
        <f>발송처리!K425</f>
        <v>0</v>
      </c>
      <c r="Q425" s="2">
        <f>발송처리!AC425</f>
        <v>0</v>
      </c>
    </row>
    <row r="426" spans="1:17">
      <c r="A426">
        <f>발송처리!A426</f>
        <v>0</v>
      </c>
      <c r="B426">
        <f>발송처리!M426</f>
        <v>0</v>
      </c>
      <c r="E426" t="e">
        <f>VLOOKUP(발송처리!V426,'상품DB(수정x)'!B:E,2,0)</f>
        <v>#N/A</v>
      </c>
      <c r="F426" s="13" t="e">
        <f>VLOOKUP(발송처리!V426,'상품DB(수정x)'!B:E,4,0)</f>
        <v>#N/A</v>
      </c>
      <c r="G426" s="8">
        <f>발송처리!X426</f>
        <v>0</v>
      </c>
      <c r="I426">
        <f>발송처리!AW426</f>
        <v>0</v>
      </c>
      <c r="K426" t="e">
        <f t="shared" si="8"/>
        <v>#N/A</v>
      </c>
      <c r="L426">
        <f>발송처리!AU426</f>
        <v>0</v>
      </c>
      <c r="M426">
        <f>발송처리!AP426</f>
        <v>0</v>
      </c>
      <c r="N426">
        <f>발송처리!AV426</f>
        <v>0</v>
      </c>
      <c r="O426">
        <f>발송처리!AR426</f>
        <v>0</v>
      </c>
      <c r="P426">
        <f>발송처리!K426</f>
        <v>0</v>
      </c>
      <c r="Q426" s="2">
        <f>발송처리!AC426</f>
        <v>0</v>
      </c>
    </row>
    <row r="427" spans="1:17">
      <c r="A427">
        <f>발송처리!A427</f>
        <v>0</v>
      </c>
      <c r="B427">
        <f>발송처리!M427</f>
        <v>0</v>
      </c>
      <c r="E427" t="e">
        <f>VLOOKUP(발송처리!V427,'상품DB(수정x)'!B:E,2,0)</f>
        <v>#N/A</v>
      </c>
      <c r="F427" s="13" t="e">
        <f>VLOOKUP(발송처리!V427,'상품DB(수정x)'!B:E,4,0)</f>
        <v>#N/A</v>
      </c>
      <c r="G427" s="8">
        <f>발송처리!X427</f>
        <v>0</v>
      </c>
      <c r="I427">
        <f>발송처리!AW427</f>
        <v>0</v>
      </c>
      <c r="K427" t="e">
        <f t="shared" si="8"/>
        <v>#N/A</v>
      </c>
      <c r="L427">
        <f>발송처리!AU427</f>
        <v>0</v>
      </c>
      <c r="M427">
        <f>발송처리!AP427</f>
        <v>0</v>
      </c>
      <c r="N427">
        <f>발송처리!AV427</f>
        <v>0</v>
      </c>
      <c r="O427">
        <f>발송처리!AR427</f>
        <v>0</v>
      </c>
      <c r="P427">
        <f>발송처리!K427</f>
        <v>0</v>
      </c>
      <c r="Q427" s="2">
        <f>발송처리!AC427</f>
        <v>0</v>
      </c>
    </row>
    <row r="428" spans="1:17">
      <c r="A428">
        <f>발송처리!A428</f>
        <v>0</v>
      </c>
      <c r="B428">
        <f>발송처리!M428</f>
        <v>0</v>
      </c>
      <c r="E428" t="e">
        <f>VLOOKUP(발송처리!V428,'상품DB(수정x)'!B:E,2,0)</f>
        <v>#N/A</v>
      </c>
      <c r="F428" s="13" t="e">
        <f>VLOOKUP(발송처리!V428,'상품DB(수정x)'!B:E,4,0)</f>
        <v>#N/A</v>
      </c>
      <c r="G428" s="8">
        <f>발송처리!X428</f>
        <v>0</v>
      </c>
      <c r="I428">
        <f>발송처리!AW428</f>
        <v>0</v>
      </c>
      <c r="K428" t="e">
        <f t="shared" si="8"/>
        <v>#N/A</v>
      </c>
      <c r="L428">
        <f>발송처리!AU428</f>
        <v>0</v>
      </c>
      <c r="M428">
        <f>발송처리!AP428</f>
        <v>0</v>
      </c>
      <c r="N428">
        <f>발송처리!AV428</f>
        <v>0</v>
      </c>
      <c r="O428">
        <f>발송처리!AR428</f>
        <v>0</v>
      </c>
      <c r="P428">
        <f>발송처리!K428</f>
        <v>0</v>
      </c>
      <c r="Q428" s="2">
        <f>발송처리!AC428</f>
        <v>0</v>
      </c>
    </row>
    <row r="429" spans="1:17">
      <c r="A429">
        <f>발송처리!A429</f>
        <v>0</v>
      </c>
      <c r="B429">
        <f>발송처리!M429</f>
        <v>0</v>
      </c>
      <c r="E429" t="e">
        <f>VLOOKUP(발송처리!V429,'상품DB(수정x)'!B:E,2,0)</f>
        <v>#N/A</v>
      </c>
      <c r="F429" s="13" t="e">
        <f>VLOOKUP(발송처리!V429,'상품DB(수정x)'!B:E,4,0)</f>
        <v>#N/A</v>
      </c>
      <c r="G429" s="8">
        <f>발송처리!X429</f>
        <v>0</v>
      </c>
      <c r="I429">
        <f>발송처리!AW429</f>
        <v>0</v>
      </c>
      <c r="K429" t="e">
        <f t="shared" si="8"/>
        <v>#N/A</v>
      </c>
      <c r="L429">
        <f>발송처리!AU429</f>
        <v>0</v>
      </c>
      <c r="M429">
        <f>발송처리!AP429</f>
        <v>0</v>
      </c>
      <c r="N429">
        <f>발송처리!AV429</f>
        <v>0</v>
      </c>
      <c r="O429">
        <f>발송처리!AR429</f>
        <v>0</v>
      </c>
      <c r="P429">
        <f>발송처리!K429</f>
        <v>0</v>
      </c>
      <c r="Q429" s="2">
        <f>발송처리!AC429</f>
        <v>0</v>
      </c>
    </row>
    <row r="430" spans="1:17">
      <c r="A430">
        <f>발송처리!A430</f>
        <v>0</v>
      </c>
      <c r="B430">
        <f>발송처리!M430</f>
        <v>0</v>
      </c>
      <c r="E430" t="e">
        <f>VLOOKUP(발송처리!V430,'상품DB(수정x)'!B:E,2,0)</f>
        <v>#N/A</v>
      </c>
      <c r="F430" s="13" t="e">
        <f>VLOOKUP(발송처리!V430,'상품DB(수정x)'!B:E,4,0)</f>
        <v>#N/A</v>
      </c>
      <c r="G430" s="8">
        <f>발송처리!X430</f>
        <v>0</v>
      </c>
      <c r="I430">
        <f>발송처리!AW430</f>
        <v>0</v>
      </c>
      <c r="K430" t="e">
        <f t="shared" si="8"/>
        <v>#N/A</v>
      </c>
      <c r="L430">
        <f>발송처리!AU430</f>
        <v>0</v>
      </c>
      <c r="M430">
        <f>발송처리!AP430</f>
        <v>0</v>
      </c>
      <c r="N430">
        <f>발송처리!AV430</f>
        <v>0</v>
      </c>
      <c r="O430">
        <f>발송처리!AR430</f>
        <v>0</v>
      </c>
      <c r="P430">
        <f>발송처리!K430</f>
        <v>0</v>
      </c>
      <c r="Q430" s="2">
        <f>발송처리!AC430</f>
        <v>0</v>
      </c>
    </row>
    <row r="431" spans="1:17">
      <c r="A431">
        <f>발송처리!A431</f>
        <v>0</v>
      </c>
      <c r="B431">
        <f>발송처리!M431</f>
        <v>0</v>
      </c>
      <c r="E431" t="e">
        <f>VLOOKUP(발송처리!V431,'상품DB(수정x)'!B:E,2,0)</f>
        <v>#N/A</v>
      </c>
      <c r="F431" s="13" t="e">
        <f>VLOOKUP(발송처리!V431,'상품DB(수정x)'!B:E,4,0)</f>
        <v>#N/A</v>
      </c>
      <c r="G431" s="8">
        <f>발송처리!X431</f>
        <v>0</v>
      </c>
      <c r="I431">
        <f>발송처리!AW431</f>
        <v>0</v>
      </c>
      <c r="K431" t="e">
        <f t="shared" si="8"/>
        <v>#N/A</v>
      </c>
      <c r="L431">
        <f>발송처리!AU431</f>
        <v>0</v>
      </c>
      <c r="M431">
        <f>발송처리!AP431</f>
        <v>0</v>
      </c>
      <c r="N431">
        <f>발송처리!AV431</f>
        <v>0</v>
      </c>
      <c r="O431">
        <f>발송처리!AR431</f>
        <v>0</v>
      </c>
      <c r="P431">
        <f>발송처리!K431</f>
        <v>0</v>
      </c>
      <c r="Q431" s="2">
        <f>발송처리!AC431</f>
        <v>0</v>
      </c>
    </row>
    <row r="432" spans="1:17">
      <c r="A432">
        <f>발송처리!A432</f>
        <v>0</v>
      </c>
      <c r="B432">
        <f>발송처리!M432</f>
        <v>0</v>
      </c>
      <c r="E432" t="e">
        <f>VLOOKUP(발송처리!V432,'상품DB(수정x)'!B:E,2,0)</f>
        <v>#N/A</v>
      </c>
      <c r="F432" s="13" t="e">
        <f>VLOOKUP(발송처리!V432,'상품DB(수정x)'!B:E,4,0)</f>
        <v>#N/A</v>
      </c>
      <c r="G432" s="8">
        <f>발송처리!X432</f>
        <v>0</v>
      </c>
      <c r="I432">
        <f>발송처리!AW432</f>
        <v>0</v>
      </c>
      <c r="K432" t="e">
        <f t="shared" si="8"/>
        <v>#N/A</v>
      </c>
      <c r="L432">
        <f>발송처리!AU432</f>
        <v>0</v>
      </c>
      <c r="M432">
        <f>발송처리!AP432</f>
        <v>0</v>
      </c>
      <c r="N432">
        <f>발송처리!AV432</f>
        <v>0</v>
      </c>
      <c r="O432">
        <f>발송처리!AR432</f>
        <v>0</v>
      </c>
      <c r="P432">
        <f>발송처리!K432</f>
        <v>0</v>
      </c>
      <c r="Q432" s="2">
        <f>발송처리!AC432</f>
        <v>0</v>
      </c>
    </row>
    <row r="433" spans="1:17">
      <c r="A433">
        <f>발송처리!A433</f>
        <v>0</v>
      </c>
      <c r="B433">
        <f>발송처리!M433</f>
        <v>0</v>
      </c>
      <c r="E433" t="e">
        <f>VLOOKUP(발송처리!V433,'상품DB(수정x)'!B:E,2,0)</f>
        <v>#N/A</v>
      </c>
      <c r="F433" s="13" t="e">
        <f>VLOOKUP(발송처리!V433,'상품DB(수정x)'!B:E,4,0)</f>
        <v>#N/A</v>
      </c>
      <c r="G433" s="8">
        <f>발송처리!X433</f>
        <v>0</v>
      </c>
      <c r="I433">
        <f>발송처리!AW433</f>
        <v>0</v>
      </c>
      <c r="K433" t="e">
        <f t="shared" si="8"/>
        <v>#N/A</v>
      </c>
      <c r="L433">
        <f>발송처리!AU433</f>
        <v>0</v>
      </c>
      <c r="M433">
        <f>발송처리!AP433</f>
        <v>0</v>
      </c>
      <c r="N433">
        <f>발송처리!AV433</f>
        <v>0</v>
      </c>
      <c r="O433">
        <f>발송처리!AR433</f>
        <v>0</v>
      </c>
      <c r="P433">
        <f>발송처리!K433</f>
        <v>0</v>
      </c>
      <c r="Q433" s="2">
        <f>발송처리!AC433</f>
        <v>0</v>
      </c>
    </row>
    <row r="434" spans="1:17">
      <c r="A434">
        <f>발송처리!A434</f>
        <v>0</v>
      </c>
      <c r="B434">
        <f>발송처리!M434</f>
        <v>0</v>
      </c>
      <c r="E434" t="e">
        <f>VLOOKUP(발송처리!V434,'상품DB(수정x)'!B:E,2,0)</f>
        <v>#N/A</v>
      </c>
      <c r="F434" s="13" t="e">
        <f>VLOOKUP(발송처리!V434,'상품DB(수정x)'!B:E,4,0)</f>
        <v>#N/A</v>
      </c>
      <c r="G434" s="8">
        <f>발송처리!X434</f>
        <v>0</v>
      </c>
      <c r="I434">
        <f>발송처리!AW434</f>
        <v>0</v>
      </c>
      <c r="K434" t="e">
        <f t="shared" si="8"/>
        <v>#N/A</v>
      </c>
      <c r="L434">
        <f>발송처리!AU434</f>
        <v>0</v>
      </c>
      <c r="M434">
        <f>발송처리!AP434</f>
        <v>0</v>
      </c>
      <c r="N434">
        <f>발송처리!AV434</f>
        <v>0</v>
      </c>
      <c r="O434">
        <f>발송처리!AR434</f>
        <v>0</v>
      </c>
      <c r="P434">
        <f>발송처리!K434</f>
        <v>0</v>
      </c>
      <c r="Q434" s="2">
        <f>발송처리!AC434</f>
        <v>0</v>
      </c>
    </row>
    <row r="435" spans="1:17">
      <c r="A435">
        <f>발송처리!A435</f>
        <v>0</v>
      </c>
      <c r="B435">
        <f>발송처리!M435</f>
        <v>0</v>
      </c>
      <c r="E435" t="e">
        <f>VLOOKUP(발송처리!V435,'상품DB(수정x)'!B:E,2,0)</f>
        <v>#N/A</v>
      </c>
      <c r="F435" s="13" t="e">
        <f>VLOOKUP(발송처리!V435,'상품DB(수정x)'!B:E,4,0)</f>
        <v>#N/A</v>
      </c>
      <c r="G435" s="8">
        <f>발송처리!X435</f>
        <v>0</v>
      </c>
      <c r="I435">
        <f>발송처리!AW435</f>
        <v>0</v>
      </c>
      <c r="K435" t="e">
        <f t="shared" si="8"/>
        <v>#N/A</v>
      </c>
      <c r="L435">
        <f>발송처리!AU435</f>
        <v>0</v>
      </c>
      <c r="M435">
        <f>발송처리!AP435</f>
        <v>0</v>
      </c>
      <c r="N435">
        <f>발송처리!AV435</f>
        <v>0</v>
      </c>
      <c r="O435">
        <f>발송처리!AR435</f>
        <v>0</v>
      </c>
      <c r="P435">
        <f>발송처리!K435</f>
        <v>0</v>
      </c>
      <c r="Q435" s="2">
        <f>발송처리!AC435</f>
        <v>0</v>
      </c>
    </row>
    <row r="436" spans="1:17">
      <c r="A436">
        <f>발송처리!A436</f>
        <v>0</v>
      </c>
      <c r="B436">
        <f>발송처리!M436</f>
        <v>0</v>
      </c>
      <c r="E436" t="e">
        <f>VLOOKUP(발송처리!V436,'상품DB(수정x)'!B:E,2,0)</f>
        <v>#N/A</v>
      </c>
      <c r="F436" s="13" t="e">
        <f>VLOOKUP(발송처리!V436,'상품DB(수정x)'!B:E,4,0)</f>
        <v>#N/A</v>
      </c>
      <c r="G436" s="8">
        <f>발송처리!X436</f>
        <v>0</v>
      </c>
      <c r="I436">
        <f>발송처리!AW436</f>
        <v>0</v>
      </c>
      <c r="K436" t="e">
        <f t="shared" si="8"/>
        <v>#N/A</v>
      </c>
      <c r="L436">
        <f>발송처리!AU436</f>
        <v>0</v>
      </c>
      <c r="M436">
        <f>발송처리!AP436</f>
        <v>0</v>
      </c>
      <c r="N436">
        <f>발송처리!AV436</f>
        <v>0</v>
      </c>
      <c r="O436">
        <f>발송처리!AR436</f>
        <v>0</v>
      </c>
      <c r="P436">
        <f>발송처리!K436</f>
        <v>0</v>
      </c>
      <c r="Q436" s="2">
        <f>발송처리!AC436</f>
        <v>0</v>
      </c>
    </row>
    <row r="437" spans="1:17">
      <c r="A437">
        <f>발송처리!A437</f>
        <v>0</v>
      </c>
      <c r="B437">
        <f>발송처리!M437</f>
        <v>0</v>
      </c>
      <c r="E437" t="e">
        <f>VLOOKUP(발송처리!V437,'상품DB(수정x)'!B:E,2,0)</f>
        <v>#N/A</v>
      </c>
      <c r="F437" s="13" t="e">
        <f>VLOOKUP(발송처리!V437,'상품DB(수정x)'!B:E,4,0)</f>
        <v>#N/A</v>
      </c>
      <c r="G437" s="8">
        <f>발송처리!X437</f>
        <v>0</v>
      </c>
      <c r="I437">
        <f>발송처리!AW437</f>
        <v>0</v>
      </c>
      <c r="K437" t="e">
        <f t="shared" si="8"/>
        <v>#N/A</v>
      </c>
      <c r="L437">
        <f>발송처리!AU437</f>
        <v>0</v>
      </c>
      <c r="M437">
        <f>발송처리!AP437</f>
        <v>0</v>
      </c>
      <c r="N437">
        <f>발송처리!AV437</f>
        <v>0</v>
      </c>
      <c r="O437">
        <f>발송처리!AR437</f>
        <v>0</v>
      </c>
      <c r="P437">
        <f>발송처리!K437</f>
        <v>0</v>
      </c>
      <c r="Q437" s="2">
        <f>발송처리!AC437</f>
        <v>0</v>
      </c>
    </row>
    <row r="438" spans="1:17">
      <c r="A438">
        <f>발송처리!A438</f>
        <v>0</v>
      </c>
      <c r="B438">
        <f>발송처리!M438</f>
        <v>0</v>
      </c>
      <c r="E438" t="e">
        <f>VLOOKUP(발송처리!V438,'상품DB(수정x)'!B:E,2,0)</f>
        <v>#N/A</v>
      </c>
      <c r="F438" s="13" t="e">
        <f>VLOOKUP(발송처리!V438,'상품DB(수정x)'!B:E,4,0)</f>
        <v>#N/A</v>
      </c>
      <c r="G438" s="8">
        <f>발송처리!X438</f>
        <v>0</v>
      </c>
      <c r="I438">
        <f>발송처리!AW438</f>
        <v>0</v>
      </c>
      <c r="K438" t="e">
        <f t="shared" si="8"/>
        <v>#N/A</v>
      </c>
      <c r="L438">
        <f>발송처리!AU438</f>
        <v>0</v>
      </c>
      <c r="M438">
        <f>발송처리!AP438</f>
        <v>0</v>
      </c>
      <c r="N438">
        <f>발송처리!AV438</f>
        <v>0</v>
      </c>
      <c r="O438">
        <f>발송처리!AR438</f>
        <v>0</v>
      </c>
      <c r="P438">
        <f>발송처리!K438</f>
        <v>0</v>
      </c>
      <c r="Q438" s="2">
        <f>발송처리!AC438</f>
        <v>0</v>
      </c>
    </row>
    <row r="439" spans="1:17">
      <c r="A439">
        <f>발송처리!A439</f>
        <v>0</v>
      </c>
      <c r="B439">
        <f>발송처리!M439</f>
        <v>0</v>
      </c>
      <c r="E439" t="e">
        <f>VLOOKUP(발송처리!V439,'상품DB(수정x)'!B:E,2,0)</f>
        <v>#N/A</v>
      </c>
      <c r="F439" s="13" t="e">
        <f>VLOOKUP(발송처리!V439,'상품DB(수정x)'!B:E,4,0)</f>
        <v>#N/A</v>
      </c>
      <c r="G439" s="8">
        <f>발송처리!X439</f>
        <v>0</v>
      </c>
      <c r="I439">
        <f>발송처리!AW439</f>
        <v>0</v>
      </c>
      <c r="K439" t="e">
        <f t="shared" si="8"/>
        <v>#N/A</v>
      </c>
      <c r="L439">
        <f>발송처리!AU439</f>
        <v>0</v>
      </c>
      <c r="M439">
        <f>발송처리!AP439</f>
        <v>0</v>
      </c>
      <c r="N439">
        <f>발송처리!AV439</f>
        <v>0</v>
      </c>
      <c r="O439">
        <f>발송처리!AR439</f>
        <v>0</v>
      </c>
      <c r="P439">
        <f>발송처리!K439</f>
        <v>0</v>
      </c>
      <c r="Q439" s="2">
        <f>발송처리!AC439</f>
        <v>0</v>
      </c>
    </row>
    <row r="440" spans="1:17">
      <c r="A440">
        <f>발송처리!A440</f>
        <v>0</v>
      </c>
      <c r="B440">
        <f>발송처리!M440</f>
        <v>0</v>
      </c>
      <c r="E440" t="e">
        <f>VLOOKUP(발송처리!V440,'상품DB(수정x)'!B:E,2,0)</f>
        <v>#N/A</v>
      </c>
      <c r="F440" s="13" t="e">
        <f>VLOOKUP(발송처리!V440,'상품DB(수정x)'!B:E,4,0)</f>
        <v>#N/A</v>
      </c>
      <c r="G440" s="8">
        <f>발송처리!X440</f>
        <v>0</v>
      </c>
      <c r="I440">
        <f>발송처리!AW440</f>
        <v>0</v>
      </c>
      <c r="K440" t="e">
        <f t="shared" si="8"/>
        <v>#N/A</v>
      </c>
      <c r="L440">
        <f>발송처리!AU440</f>
        <v>0</v>
      </c>
      <c r="M440">
        <f>발송처리!AP440</f>
        <v>0</v>
      </c>
      <c r="N440">
        <f>발송처리!AV440</f>
        <v>0</v>
      </c>
      <c r="O440">
        <f>발송처리!AR440</f>
        <v>0</v>
      </c>
      <c r="P440">
        <f>발송처리!K440</f>
        <v>0</v>
      </c>
      <c r="Q440" s="2">
        <f>발송처리!AC440</f>
        <v>0</v>
      </c>
    </row>
    <row r="441" spans="1:17">
      <c r="A441">
        <f>발송처리!A441</f>
        <v>0</v>
      </c>
      <c r="B441">
        <f>발송처리!M441</f>
        <v>0</v>
      </c>
      <c r="E441" t="e">
        <f>VLOOKUP(발송처리!V441,'상품DB(수정x)'!B:E,2,0)</f>
        <v>#N/A</v>
      </c>
      <c r="F441" s="13" t="e">
        <f>VLOOKUP(발송처리!V441,'상품DB(수정x)'!B:E,4,0)</f>
        <v>#N/A</v>
      </c>
      <c r="G441" s="8">
        <f>발송처리!X441</f>
        <v>0</v>
      </c>
      <c r="I441">
        <f>발송처리!AW441</f>
        <v>0</v>
      </c>
      <c r="K441" t="e">
        <f t="shared" si="8"/>
        <v>#N/A</v>
      </c>
      <c r="L441">
        <f>발송처리!AU441</f>
        <v>0</v>
      </c>
      <c r="M441">
        <f>발송처리!AP441</f>
        <v>0</v>
      </c>
      <c r="N441">
        <f>발송처리!AV441</f>
        <v>0</v>
      </c>
      <c r="O441">
        <f>발송처리!AR441</f>
        <v>0</v>
      </c>
      <c r="P441">
        <f>발송처리!K441</f>
        <v>0</v>
      </c>
      <c r="Q441" s="2">
        <f>발송처리!AC441</f>
        <v>0</v>
      </c>
    </row>
    <row r="442" spans="1:17">
      <c r="A442">
        <f>발송처리!A442</f>
        <v>0</v>
      </c>
      <c r="B442">
        <f>발송처리!M442</f>
        <v>0</v>
      </c>
      <c r="E442" t="e">
        <f>VLOOKUP(발송처리!V442,'상품DB(수정x)'!B:E,2,0)</f>
        <v>#N/A</v>
      </c>
      <c r="F442" s="13" t="e">
        <f>VLOOKUP(발송처리!V442,'상품DB(수정x)'!B:E,4,0)</f>
        <v>#N/A</v>
      </c>
      <c r="G442" s="8">
        <f>발송처리!X442</f>
        <v>0</v>
      </c>
      <c r="I442">
        <f>발송처리!AW442</f>
        <v>0</v>
      </c>
      <c r="K442" t="e">
        <f t="shared" si="8"/>
        <v>#N/A</v>
      </c>
      <c r="L442">
        <f>발송처리!AU442</f>
        <v>0</v>
      </c>
      <c r="M442">
        <f>발송처리!AP442</f>
        <v>0</v>
      </c>
      <c r="N442">
        <f>발송처리!AV442</f>
        <v>0</v>
      </c>
      <c r="O442">
        <f>발송처리!AR442</f>
        <v>0</v>
      </c>
      <c r="P442">
        <f>발송처리!K442</f>
        <v>0</v>
      </c>
      <c r="Q442" s="2">
        <f>발송처리!AC442</f>
        <v>0</v>
      </c>
    </row>
    <row r="443" spans="1:17">
      <c r="A443">
        <f>발송처리!A443</f>
        <v>0</v>
      </c>
      <c r="B443">
        <f>발송처리!M443</f>
        <v>0</v>
      </c>
      <c r="E443" t="e">
        <f>VLOOKUP(발송처리!V443,'상품DB(수정x)'!B:E,2,0)</f>
        <v>#N/A</v>
      </c>
      <c r="F443" s="13" t="e">
        <f>VLOOKUP(발송처리!V443,'상품DB(수정x)'!B:E,4,0)</f>
        <v>#N/A</v>
      </c>
      <c r="G443" s="8">
        <f>발송처리!X443</f>
        <v>0</v>
      </c>
      <c r="I443">
        <f>발송처리!AW443</f>
        <v>0</v>
      </c>
      <c r="K443" t="e">
        <f t="shared" si="8"/>
        <v>#N/A</v>
      </c>
      <c r="L443">
        <f>발송처리!AU443</f>
        <v>0</v>
      </c>
      <c r="M443">
        <f>발송처리!AP443</f>
        <v>0</v>
      </c>
      <c r="N443">
        <f>발송처리!AV443</f>
        <v>0</v>
      </c>
      <c r="O443">
        <f>발송처리!AR443</f>
        <v>0</v>
      </c>
      <c r="P443">
        <f>발송처리!K443</f>
        <v>0</v>
      </c>
      <c r="Q443" s="2">
        <f>발송처리!AC443</f>
        <v>0</v>
      </c>
    </row>
    <row r="444" spans="1:17">
      <c r="A444">
        <f>발송처리!A444</f>
        <v>0</v>
      </c>
      <c r="B444">
        <f>발송처리!M444</f>
        <v>0</v>
      </c>
      <c r="E444" t="e">
        <f>VLOOKUP(발송처리!V444,'상품DB(수정x)'!B:E,2,0)</f>
        <v>#N/A</v>
      </c>
      <c r="F444" s="13" t="e">
        <f>VLOOKUP(발송처리!V444,'상품DB(수정x)'!B:E,4,0)</f>
        <v>#N/A</v>
      </c>
      <c r="G444" s="8">
        <f>발송처리!X444</f>
        <v>0</v>
      </c>
      <c r="I444">
        <f>발송처리!AW444</f>
        <v>0</v>
      </c>
      <c r="K444" t="e">
        <f t="shared" si="8"/>
        <v>#N/A</v>
      </c>
      <c r="L444">
        <f>발송처리!AU444</f>
        <v>0</v>
      </c>
      <c r="M444">
        <f>발송처리!AP444</f>
        <v>0</v>
      </c>
      <c r="N444">
        <f>발송처리!AV444</f>
        <v>0</v>
      </c>
      <c r="O444">
        <f>발송처리!AR444</f>
        <v>0</v>
      </c>
      <c r="P444">
        <f>발송처리!K444</f>
        <v>0</v>
      </c>
      <c r="Q444" s="2">
        <f>발송처리!AC444</f>
        <v>0</v>
      </c>
    </row>
    <row r="445" spans="1:17">
      <c r="A445">
        <f>발송처리!A445</f>
        <v>0</v>
      </c>
      <c r="B445">
        <f>발송처리!M445</f>
        <v>0</v>
      </c>
      <c r="E445" t="e">
        <f>VLOOKUP(발송처리!V445,'상품DB(수정x)'!B:E,2,0)</f>
        <v>#N/A</v>
      </c>
      <c r="F445" s="13" t="e">
        <f>VLOOKUP(발송처리!V445,'상품DB(수정x)'!B:E,4,0)</f>
        <v>#N/A</v>
      </c>
      <c r="G445" s="8">
        <f>발송처리!X445</f>
        <v>0</v>
      </c>
      <c r="I445">
        <f>발송처리!AW445</f>
        <v>0</v>
      </c>
      <c r="K445" t="e">
        <f t="shared" si="8"/>
        <v>#N/A</v>
      </c>
      <c r="L445">
        <f>발송처리!AU445</f>
        <v>0</v>
      </c>
      <c r="M445">
        <f>발송처리!AP445</f>
        <v>0</v>
      </c>
      <c r="N445">
        <f>발송처리!AV445</f>
        <v>0</v>
      </c>
      <c r="O445">
        <f>발송처리!AR445</f>
        <v>0</v>
      </c>
      <c r="P445">
        <f>발송처리!K445</f>
        <v>0</v>
      </c>
      <c r="Q445" s="2">
        <f>발송처리!AC445</f>
        <v>0</v>
      </c>
    </row>
    <row r="446" spans="1:17">
      <c r="A446">
        <f>발송처리!A446</f>
        <v>0</v>
      </c>
      <c r="B446">
        <f>발송처리!M446</f>
        <v>0</v>
      </c>
      <c r="E446" t="e">
        <f>VLOOKUP(발송처리!V446,'상품DB(수정x)'!B:E,2,0)</f>
        <v>#N/A</v>
      </c>
      <c r="F446" s="13" t="e">
        <f>VLOOKUP(발송처리!V446,'상품DB(수정x)'!B:E,4,0)</f>
        <v>#N/A</v>
      </c>
      <c r="G446" s="8">
        <f>발송처리!X446</f>
        <v>0</v>
      </c>
      <c r="I446">
        <f>발송처리!AW446</f>
        <v>0</v>
      </c>
      <c r="K446" t="e">
        <f t="shared" si="8"/>
        <v>#N/A</v>
      </c>
      <c r="L446">
        <f>발송처리!AU446</f>
        <v>0</v>
      </c>
      <c r="M446">
        <f>발송처리!AP446</f>
        <v>0</v>
      </c>
      <c r="N446">
        <f>발송처리!AV446</f>
        <v>0</v>
      </c>
      <c r="O446">
        <f>발송처리!AR446</f>
        <v>0</v>
      </c>
      <c r="P446">
        <f>발송처리!K446</f>
        <v>0</v>
      </c>
      <c r="Q446" s="2">
        <f>발송처리!AC446</f>
        <v>0</v>
      </c>
    </row>
    <row r="447" spans="1:17">
      <c r="A447">
        <f>발송처리!A447</f>
        <v>0</v>
      </c>
      <c r="B447">
        <f>발송처리!M447</f>
        <v>0</v>
      </c>
      <c r="E447" t="e">
        <f>VLOOKUP(발송처리!V447,'상품DB(수정x)'!B:E,2,0)</f>
        <v>#N/A</v>
      </c>
      <c r="F447" s="13" t="e">
        <f>VLOOKUP(발송처리!V447,'상품DB(수정x)'!B:E,4,0)</f>
        <v>#N/A</v>
      </c>
      <c r="G447" s="8">
        <f>발송처리!X447</f>
        <v>0</v>
      </c>
      <c r="I447">
        <f>발송처리!AW447</f>
        <v>0</v>
      </c>
      <c r="K447" t="e">
        <f t="shared" si="8"/>
        <v>#N/A</v>
      </c>
      <c r="L447">
        <f>발송처리!AU447</f>
        <v>0</v>
      </c>
      <c r="M447">
        <f>발송처리!AP447</f>
        <v>0</v>
      </c>
      <c r="N447">
        <f>발송처리!AV447</f>
        <v>0</v>
      </c>
      <c r="O447">
        <f>발송처리!AR447</f>
        <v>0</v>
      </c>
      <c r="P447">
        <f>발송처리!K447</f>
        <v>0</v>
      </c>
      <c r="Q447" s="2">
        <f>발송처리!AC447</f>
        <v>0</v>
      </c>
    </row>
    <row r="448" spans="1:17">
      <c r="A448">
        <f>발송처리!A448</f>
        <v>0</v>
      </c>
      <c r="B448">
        <f>발송처리!M448</f>
        <v>0</v>
      </c>
      <c r="E448" t="e">
        <f>VLOOKUP(발송처리!V448,'상품DB(수정x)'!B:E,2,0)</f>
        <v>#N/A</v>
      </c>
      <c r="F448" s="13" t="e">
        <f>VLOOKUP(발송처리!V448,'상품DB(수정x)'!B:E,4,0)</f>
        <v>#N/A</v>
      </c>
      <c r="G448" s="8">
        <f>발송처리!X448</f>
        <v>0</v>
      </c>
      <c r="I448">
        <f>발송처리!AW448</f>
        <v>0</v>
      </c>
      <c r="K448" t="e">
        <f t="shared" si="8"/>
        <v>#N/A</v>
      </c>
      <c r="L448">
        <f>발송처리!AU448</f>
        <v>0</v>
      </c>
      <c r="M448">
        <f>발송처리!AP448</f>
        <v>0</v>
      </c>
      <c r="N448">
        <f>발송처리!AV448</f>
        <v>0</v>
      </c>
      <c r="O448">
        <f>발송처리!AR448</f>
        <v>0</v>
      </c>
      <c r="P448">
        <f>발송처리!K448</f>
        <v>0</v>
      </c>
      <c r="Q448" s="2">
        <f>발송처리!AC448</f>
        <v>0</v>
      </c>
    </row>
    <row r="449" spans="1:17">
      <c r="A449">
        <f>발송처리!A449</f>
        <v>0</v>
      </c>
      <c r="B449">
        <f>발송처리!M449</f>
        <v>0</v>
      </c>
      <c r="E449" t="e">
        <f>VLOOKUP(발송처리!V449,'상품DB(수정x)'!B:E,2,0)</f>
        <v>#N/A</v>
      </c>
      <c r="F449" s="13" t="e">
        <f>VLOOKUP(발송처리!V449,'상품DB(수정x)'!B:E,4,0)</f>
        <v>#N/A</v>
      </c>
      <c r="G449" s="8">
        <f>발송처리!X449</f>
        <v>0</v>
      </c>
      <c r="I449">
        <f>발송처리!AW449</f>
        <v>0</v>
      </c>
      <c r="K449" t="e">
        <f t="shared" si="8"/>
        <v>#N/A</v>
      </c>
      <c r="L449">
        <f>발송처리!AU449</f>
        <v>0</v>
      </c>
      <c r="M449">
        <f>발송처리!AP449</f>
        <v>0</v>
      </c>
      <c r="N449">
        <f>발송처리!AV449</f>
        <v>0</v>
      </c>
      <c r="O449">
        <f>발송처리!AR449</f>
        <v>0</v>
      </c>
      <c r="P449">
        <f>발송처리!K449</f>
        <v>0</v>
      </c>
      <c r="Q449" s="2">
        <f>발송처리!AC449</f>
        <v>0</v>
      </c>
    </row>
    <row r="450" spans="1:17">
      <c r="A450">
        <f>발송처리!A450</f>
        <v>0</v>
      </c>
      <c r="B450">
        <f>발송처리!M450</f>
        <v>0</v>
      </c>
      <c r="E450" t="e">
        <f>VLOOKUP(발송처리!V450,'상품DB(수정x)'!B:E,2,0)</f>
        <v>#N/A</v>
      </c>
      <c r="F450" s="13" t="e">
        <f>VLOOKUP(발송처리!V450,'상품DB(수정x)'!B:E,4,0)</f>
        <v>#N/A</v>
      </c>
      <c r="G450" s="8">
        <f>발송처리!X450</f>
        <v>0</v>
      </c>
      <c r="I450">
        <f>발송처리!AW450</f>
        <v>0</v>
      </c>
      <c r="K450" t="e">
        <f t="shared" si="8"/>
        <v>#N/A</v>
      </c>
      <c r="L450">
        <f>발송처리!AU450</f>
        <v>0</v>
      </c>
      <c r="M450">
        <f>발송처리!AP450</f>
        <v>0</v>
      </c>
      <c r="N450">
        <f>발송처리!AV450</f>
        <v>0</v>
      </c>
      <c r="O450">
        <f>발송처리!AR450</f>
        <v>0</v>
      </c>
      <c r="P450">
        <f>발송처리!K450</f>
        <v>0</v>
      </c>
      <c r="Q450" s="2">
        <f>발송처리!AC450</f>
        <v>0</v>
      </c>
    </row>
    <row r="451" spans="1:17">
      <c r="A451">
        <f>발송처리!A451</f>
        <v>0</v>
      </c>
      <c r="B451">
        <f>발송처리!M451</f>
        <v>0</v>
      </c>
      <c r="E451" t="e">
        <f>VLOOKUP(발송처리!V451,'상품DB(수정x)'!B:E,2,0)</f>
        <v>#N/A</v>
      </c>
      <c r="F451" s="13" t="e">
        <f>VLOOKUP(발송처리!V451,'상품DB(수정x)'!B:E,4,0)</f>
        <v>#N/A</v>
      </c>
      <c r="G451" s="8">
        <f>발송처리!X451</f>
        <v>0</v>
      </c>
      <c r="I451">
        <f>발송처리!AW451</f>
        <v>0</v>
      </c>
      <c r="K451" t="e">
        <f t="shared" ref="K451:K514" si="9">IF(LEFT(E451,1)="2","",IF(LEFT(E451,1)="4","",IF(Q451&gt;=500000,"★증정★테이프20mx2",IF(Q451&gt;=95000,"★증정★테이프20mx1",""))))</f>
        <v>#N/A</v>
      </c>
      <c r="L451">
        <f>발송처리!AU451</f>
        <v>0</v>
      </c>
      <c r="M451">
        <f>발송처리!AP451</f>
        <v>0</v>
      </c>
      <c r="N451">
        <f>발송처리!AV451</f>
        <v>0</v>
      </c>
      <c r="O451">
        <f>발송처리!AR451</f>
        <v>0</v>
      </c>
      <c r="P451">
        <f>발송처리!K451</f>
        <v>0</v>
      </c>
      <c r="Q451" s="2">
        <f>발송처리!AC451</f>
        <v>0</v>
      </c>
    </row>
    <row r="452" spans="1:17">
      <c r="A452">
        <f>발송처리!A452</f>
        <v>0</v>
      </c>
      <c r="B452">
        <f>발송처리!M452</f>
        <v>0</v>
      </c>
      <c r="E452" t="e">
        <f>VLOOKUP(발송처리!V452,'상품DB(수정x)'!B:E,2,0)</f>
        <v>#N/A</v>
      </c>
      <c r="F452" s="13" t="e">
        <f>VLOOKUP(발송처리!V452,'상품DB(수정x)'!B:E,4,0)</f>
        <v>#N/A</v>
      </c>
      <c r="G452" s="8">
        <f>발송처리!X452</f>
        <v>0</v>
      </c>
      <c r="I452">
        <f>발송처리!AW452</f>
        <v>0</v>
      </c>
      <c r="K452" t="e">
        <f t="shared" si="9"/>
        <v>#N/A</v>
      </c>
      <c r="L452">
        <f>발송처리!AU452</f>
        <v>0</v>
      </c>
      <c r="M452">
        <f>발송처리!AP452</f>
        <v>0</v>
      </c>
      <c r="N452">
        <f>발송처리!AV452</f>
        <v>0</v>
      </c>
      <c r="O452">
        <f>발송처리!AR452</f>
        <v>0</v>
      </c>
      <c r="P452">
        <f>발송처리!K452</f>
        <v>0</v>
      </c>
      <c r="Q452" s="2">
        <f>발송처리!AC452</f>
        <v>0</v>
      </c>
    </row>
    <row r="453" spans="1:17">
      <c r="A453">
        <f>발송처리!A453</f>
        <v>0</v>
      </c>
      <c r="B453">
        <f>발송처리!M453</f>
        <v>0</v>
      </c>
      <c r="E453" t="e">
        <f>VLOOKUP(발송처리!V453,'상품DB(수정x)'!B:E,2,0)</f>
        <v>#N/A</v>
      </c>
      <c r="F453" s="13" t="e">
        <f>VLOOKUP(발송처리!V453,'상품DB(수정x)'!B:E,4,0)</f>
        <v>#N/A</v>
      </c>
      <c r="G453" s="8">
        <f>발송처리!X453</f>
        <v>0</v>
      </c>
      <c r="I453">
        <f>발송처리!AW453</f>
        <v>0</v>
      </c>
      <c r="K453" t="e">
        <f t="shared" si="9"/>
        <v>#N/A</v>
      </c>
      <c r="L453">
        <f>발송처리!AU453</f>
        <v>0</v>
      </c>
      <c r="M453">
        <f>발송처리!AP453</f>
        <v>0</v>
      </c>
      <c r="N453">
        <f>발송처리!AV453</f>
        <v>0</v>
      </c>
      <c r="O453">
        <f>발송처리!AR453</f>
        <v>0</v>
      </c>
      <c r="P453">
        <f>발송처리!K453</f>
        <v>0</v>
      </c>
      <c r="Q453" s="2">
        <f>발송처리!AC453</f>
        <v>0</v>
      </c>
    </row>
    <row r="454" spans="1:17">
      <c r="A454">
        <f>발송처리!A454</f>
        <v>0</v>
      </c>
      <c r="B454">
        <f>발송처리!M454</f>
        <v>0</v>
      </c>
      <c r="E454" t="e">
        <f>VLOOKUP(발송처리!V454,'상품DB(수정x)'!B:E,2,0)</f>
        <v>#N/A</v>
      </c>
      <c r="F454" s="13" t="e">
        <f>VLOOKUP(발송처리!V454,'상품DB(수정x)'!B:E,4,0)</f>
        <v>#N/A</v>
      </c>
      <c r="G454" s="8">
        <f>발송처리!X454</f>
        <v>0</v>
      </c>
      <c r="I454">
        <f>발송처리!AW454</f>
        <v>0</v>
      </c>
      <c r="K454" t="e">
        <f t="shared" si="9"/>
        <v>#N/A</v>
      </c>
      <c r="L454">
        <f>발송처리!AU454</f>
        <v>0</v>
      </c>
      <c r="M454">
        <f>발송처리!AP454</f>
        <v>0</v>
      </c>
      <c r="N454">
        <f>발송처리!AV454</f>
        <v>0</v>
      </c>
      <c r="O454">
        <f>발송처리!AR454</f>
        <v>0</v>
      </c>
      <c r="P454">
        <f>발송처리!K454</f>
        <v>0</v>
      </c>
      <c r="Q454" s="2">
        <f>발송처리!AC454</f>
        <v>0</v>
      </c>
    </row>
    <row r="455" spans="1:17">
      <c r="A455">
        <f>발송처리!A455</f>
        <v>0</v>
      </c>
      <c r="B455">
        <f>발송처리!M455</f>
        <v>0</v>
      </c>
      <c r="E455" t="e">
        <f>VLOOKUP(발송처리!V455,'상품DB(수정x)'!B:E,2,0)</f>
        <v>#N/A</v>
      </c>
      <c r="F455" s="13" t="e">
        <f>VLOOKUP(발송처리!V455,'상품DB(수정x)'!B:E,4,0)</f>
        <v>#N/A</v>
      </c>
      <c r="G455" s="8">
        <f>발송처리!X455</f>
        <v>0</v>
      </c>
      <c r="I455">
        <f>발송처리!AW455</f>
        <v>0</v>
      </c>
      <c r="K455" t="e">
        <f t="shared" si="9"/>
        <v>#N/A</v>
      </c>
      <c r="L455">
        <f>발송처리!AU455</f>
        <v>0</v>
      </c>
      <c r="M455">
        <f>발송처리!AP455</f>
        <v>0</v>
      </c>
      <c r="N455">
        <f>발송처리!AV455</f>
        <v>0</v>
      </c>
      <c r="O455">
        <f>발송처리!AR455</f>
        <v>0</v>
      </c>
      <c r="P455">
        <f>발송처리!K455</f>
        <v>0</v>
      </c>
      <c r="Q455" s="2">
        <f>발송처리!AC455</f>
        <v>0</v>
      </c>
    </row>
    <row r="456" spans="1:17">
      <c r="A456">
        <f>발송처리!A456</f>
        <v>0</v>
      </c>
      <c r="B456">
        <f>발송처리!M456</f>
        <v>0</v>
      </c>
      <c r="E456" t="e">
        <f>VLOOKUP(발송처리!V456,'상품DB(수정x)'!B:E,2,0)</f>
        <v>#N/A</v>
      </c>
      <c r="F456" s="13" t="e">
        <f>VLOOKUP(발송처리!V456,'상품DB(수정x)'!B:E,4,0)</f>
        <v>#N/A</v>
      </c>
      <c r="G456" s="8">
        <f>발송처리!X456</f>
        <v>0</v>
      </c>
      <c r="I456">
        <f>발송처리!AW456</f>
        <v>0</v>
      </c>
      <c r="K456" t="e">
        <f t="shared" si="9"/>
        <v>#N/A</v>
      </c>
      <c r="L456">
        <f>발송처리!AU456</f>
        <v>0</v>
      </c>
      <c r="M456">
        <f>발송처리!AP456</f>
        <v>0</v>
      </c>
      <c r="N456">
        <f>발송처리!AV456</f>
        <v>0</v>
      </c>
      <c r="O456">
        <f>발송처리!AR456</f>
        <v>0</v>
      </c>
      <c r="P456">
        <f>발송처리!K456</f>
        <v>0</v>
      </c>
      <c r="Q456" s="2">
        <f>발송처리!AC456</f>
        <v>0</v>
      </c>
    </row>
    <row r="457" spans="1:17">
      <c r="A457">
        <f>발송처리!A457</f>
        <v>0</v>
      </c>
      <c r="B457">
        <f>발송처리!M457</f>
        <v>0</v>
      </c>
      <c r="E457" t="e">
        <f>VLOOKUP(발송처리!V457,'상품DB(수정x)'!B:E,2,0)</f>
        <v>#N/A</v>
      </c>
      <c r="F457" s="13" t="e">
        <f>VLOOKUP(발송처리!V457,'상품DB(수정x)'!B:E,4,0)</f>
        <v>#N/A</v>
      </c>
      <c r="G457" s="8">
        <f>발송처리!X457</f>
        <v>0</v>
      </c>
      <c r="I457">
        <f>발송처리!AW457</f>
        <v>0</v>
      </c>
      <c r="K457" t="e">
        <f t="shared" si="9"/>
        <v>#N/A</v>
      </c>
      <c r="L457">
        <f>발송처리!AU457</f>
        <v>0</v>
      </c>
      <c r="M457">
        <f>발송처리!AP457</f>
        <v>0</v>
      </c>
      <c r="N457">
        <f>발송처리!AV457</f>
        <v>0</v>
      </c>
      <c r="O457">
        <f>발송처리!AR457</f>
        <v>0</v>
      </c>
      <c r="P457">
        <f>발송처리!K457</f>
        <v>0</v>
      </c>
      <c r="Q457" s="2">
        <f>발송처리!AC457</f>
        <v>0</v>
      </c>
    </row>
    <row r="458" spans="1:17">
      <c r="A458">
        <f>발송처리!A458</f>
        <v>0</v>
      </c>
      <c r="B458">
        <f>발송처리!M458</f>
        <v>0</v>
      </c>
      <c r="E458" t="e">
        <f>VLOOKUP(발송처리!V458,'상품DB(수정x)'!B:E,2,0)</f>
        <v>#N/A</v>
      </c>
      <c r="F458" s="13" t="e">
        <f>VLOOKUP(발송처리!V458,'상품DB(수정x)'!B:E,4,0)</f>
        <v>#N/A</v>
      </c>
      <c r="G458" s="8">
        <f>발송처리!X458</f>
        <v>0</v>
      </c>
      <c r="I458">
        <f>발송처리!AW458</f>
        <v>0</v>
      </c>
      <c r="K458" t="e">
        <f t="shared" si="9"/>
        <v>#N/A</v>
      </c>
      <c r="L458">
        <f>발송처리!AU458</f>
        <v>0</v>
      </c>
      <c r="M458">
        <f>발송처리!AP458</f>
        <v>0</v>
      </c>
      <c r="N458">
        <f>발송처리!AV458</f>
        <v>0</v>
      </c>
      <c r="O458">
        <f>발송처리!AR458</f>
        <v>0</v>
      </c>
      <c r="P458">
        <f>발송처리!K458</f>
        <v>0</v>
      </c>
      <c r="Q458" s="2">
        <f>발송처리!AC458</f>
        <v>0</v>
      </c>
    </row>
    <row r="459" spans="1:17">
      <c r="A459">
        <f>발송처리!A459</f>
        <v>0</v>
      </c>
      <c r="B459">
        <f>발송처리!M459</f>
        <v>0</v>
      </c>
      <c r="E459" t="e">
        <f>VLOOKUP(발송처리!V459,'상품DB(수정x)'!B:E,2,0)</f>
        <v>#N/A</v>
      </c>
      <c r="F459" s="13" t="e">
        <f>VLOOKUP(발송처리!V459,'상품DB(수정x)'!B:E,4,0)</f>
        <v>#N/A</v>
      </c>
      <c r="G459" s="8">
        <f>발송처리!X459</f>
        <v>0</v>
      </c>
      <c r="I459">
        <f>발송처리!AW459</f>
        <v>0</v>
      </c>
      <c r="K459" t="e">
        <f t="shared" si="9"/>
        <v>#N/A</v>
      </c>
      <c r="L459">
        <f>발송처리!AU459</f>
        <v>0</v>
      </c>
      <c r="M459">
        <f>발송처리!AP459</f>
        <v>0</v>
      </c>
      <c r="N459">
        <f>발송처리!AV459</f>
        <v>0</v>
      </c>
      <c r="O459">
        <f>발송처리!AR459</f>
        <v>0</v>
      </c>
      <c r="P459">
        <f>발송처리!K459</f>
        <v>0</v>
      </c>
      <c r="Q459" s="2">
        <f>발송처리!AC459</f>
        <v>0</v>
      </c>
    </row>
    <row r="460" spans="1:17">
      <c r="A460">
        <f>발송처리!A460</f>
        <v>0</v>
      </c>
      <c r="B460">
        <f>발송처리!M460</f>
        <v>0</v>
      </c>
      <c r="E460" t="e">
        <f>VLOOKUP(발송처리!V460,'상품DB(수정x)'!B:E,2,0)</f>
        <v>#N/A</v>
      </c>
      <c r="F460" s="13" t="e">
        <f>VLOOKUP(발송처리!V460,'상품DB(수정x)'!B:E,4,0)</f>
        <v>#N/A</v>
      </c>
      <c r="G460" s="8">
        <f>발송처리!X460</f>
        <v>0</v>
      </c>
      <c r="I460">
        <f>발송처리!AW460</f>
        <v>0</v>
      </c>
      <c r="K460" t="e">
        <f t="shared" si="9"/>
        <v>#N/A</v>
      </c>
      <c r="L460">
        <f>발송처리!AU460</f>
        <v>0</v>
      </c>
      <c r="M460">
        <f>발송처리!AP460</f>
        <v>0</v>
      </c>
      <c r="N460">
        <f>발송처리!AV460</f>
        <v>0</v>
      </c>
      <c r="O460">
        <f>발송처리!AR460</f>
        <v>0</v>
      </c>
      <c r="P460">
        <f>발송처리!K460</f>
        <v>0</v>
      </c>
      <c r="Q460" s="2">
        <f>발송처리!AC460</f>
        <v>0</v>
      </c>
    </row>
    <row r="461" spans="1:17">
      <c r="A461">
        <f>발송처리!A461</f>
        <v>0</v>
      </c>
      <c r="B461">
        <f>발송처리!M461</f>
        <v>0</v>
      </c>
      <c r="E461" t="e">
        <f>VLOOKUP(발송처리!V461,'상품DB(수정x)'!B:E,2,0)</f>
        <v>#N/A</v>
      </c>
      <c r="F461" s="13" t="e">
        <f>VLOOKUP(발송처리!V461,'상품DB(수정x)'!B:E,4,0)</f>
        <v>#N/A</v>
      </c>
      <c r="G461" s="8">
        <f>발송처리!X461</f>
        <v>0</v>
      </c>
      <c r="I461">
        <f>발송처리!AW461</f>
        <v>0</v>
      </c>
      <c r="K461" t="e">
        <f t="shared" si="9"/>
        <v>#N/A</v>
      </c>
      <c r="L461">
        <f>발송처리!AU461</f>
        <v>0</v>
      </c>
      <c r="M461">
        <f>발송처리!AP461</f>
        <v>0</v>
      </c>
      <c r="N461">
        <f>발송처리!AV461</f>
        <v>0</v>
      </c>
      <c r="O461">
        <f>발송처리!AR461</f>
        <v>0</v>
      </c>
      <c r="P461">
        <f>발송처리!K461</f>
        <v>0</v>
      </c>
      <c r="Q461" s="2">
        <f>발송처리!AC461</f>
        <v>0</v>
      </c>
    </row>
    <row r="462" spans="1:17">
      <c r="A462">
        <f>발송처리!A462</f>
        <v>0</v>
      </c>
      <c r="B462">
        <f>발송처리!M462</f>
        <v>0</v>
      </c>
      <c r="E462" t="e">
        <f>VLOOKUP(발송처리!V462,'상품DB(수정x)'!B:E,2,0)</f>
        <v>#N/A</v>
      </c>
      <c r="F462" s="13" t="e">
        <f>VLOOKUP(발송처리!V462,'상품DB(수정x)'!B:E,4,0)</f>
        <v>#N/A</v>
      </c>
      <c r="G462" s="8">
        <f>발송처리!X462</f>
        <v>0</v>
      </c>
      <c r="I462">
        <f>발송처리!AW462</f>
        <v>0</v>
      </c>
      <c r="K462" t="e">
        <f t="shared" si="9"/>
        <v>#N/A</v>
      </c>
      <c r="L462">
        <f>발송처리!AU462</f>
        <v>0</v>
      </c>
      <c r="M462">
        <f>발송처리!AP462</f>
        <v>0</v>
      </c>
      <c r="N462">
        <f>발송처리!AV462</f>
        <v>0</v>
      </c>
      <c r="O462">
        <f>발송처리!AR462</f>
        <v>0</v>
      </c>
      <c r="P462">
        <f>발송처리!K462</f>
        <v>0</v>
      </c>
      <c r="Q462" s="2">
        <f>발송처리!AC462</f>
        <v>0</v>
      </c>
    </row>
    <row r="463" spans="1:17">
      <c r="A463">
        <f>발송처리!A463</f>
        <v>0</v>
      </c>
      <c r="B463">
        <f>발송처리!M463</f>
        <v>0</v>
      </c>
      <c r="E463" t="e">
        <f>VLOOKUP(발송처리!V463,'상품DB(수정x)'!B:E,2,0)</f>
        <v>#N/A</v>
      </c>
      <c r="F463" s="13" t="e">
        <f>VLOOKUP(발송처리!V463,'상품DB(수정x)'!B:E,4,0)</f>
        <v>#N/A</v>
      </c>
      <c r="G463" s="8">
        <f>발송처리!X463</f>
        <v>0</v>
      </c>
      <c r="I463">
        <f>발송처리!AW463</f>
        <v>0</v>
      </c>
      <c r="K463" t="e">
        <f t="shared" si="9"/>
        <v>#N/A</v>
      </c>
      <c r="L463">
        <f>발송처리!AU463</f>
        <v>0</v>
      </c>
      <c r="M463">
        <f>발송처리!AP463</f>
        <v>0</v>
      </c>
      <c r="N463">
        <f>발송처리!AV463</f>
        <v>0</v>
      </c>
      <c r="O463">
        <f>발송처리!AR463</f>
        <v>0</v>
      </c>
      <c r="P463">
        <f>발송처리!K463</f>
        <v>0</v>
      </c>
      <c r="Q463" s="2">
        <f>발송처리!AC463</f>
        <v>0</v>
      </c>
    </row>
    <row r="464" spans="1:17">
      <c r="A464">
        <f>발송처리!A464</f>
        <v>0</v>
      </c>
      <c r="B464">
        <f>발송처리!M464</f>
        <v>0</v>
      </c>
      <c r="E464" t="e">
        <f>VLOOKUP(발송처리!V464,'상품DB(수정x)'!B:E,2,0)</f>
        <v>#N/A</v>
      </c>
      <c r="F464" s="13" t="e">
        <f>VLOOKUP(발송처리!V464,'상품DB(수정x)'!B:E,4,0)</f>
        <v>#N/A</v>
      </c>
      <c r="G464" s="8">
        <f>발송처리!X464</f>
        <v>0</v>
      </c>
      <c r="I464">
        <f>발송처리!AW464</f>
        <v>0</v>
      </c>
      <c r="K464" t="e">
        <f t="shared" si="9"/>
        <v>#N/A</v>
      </c>
      <c r="L464">
        <f>발송처리!AU464</f>
        <v>0</v>
      </c>
      <c r="M464">
        <f>발송처리!AP464</f>
        <v>0</v>
      </c>
      <c r="N464">
        <f>발송처리!AV464</f>
        <v>0</v>
      </c>
      <c r="O464">
        <f>발송처리!AR464</f>
        <v>0</v>
      </c>
      <c r="P464">
        <f>발송처리!K464</f>
        <v>0</v>
      </c>
      <c r="Q464" s="2">
        <f>발송처리!AC464</f>
        <v>0</v>
      </c>
    </row>
    <row r="465" spans="1:17">
      <c r="A465">
        <f>발송처리!A465</f>
        <v>0</v>
      </c>
      <c r="B465">
        <f>발송처리!M465</f>
        <v>0</v>
      </c>
      <c r="E465" t="e">
        <f>VLOOKUP(발송처리!V465,'상품DB(수정x)'!B:E,2,0)</f>
        <v>#N/A</v>
      </c>
      <c r="F465" s="13" t="e">
        <f>VLOOKUP(발송처리!V465,'상품DB(수정x)'!B:E,4,0)</f>
        <v>#N/A</v>
      </c>
      <c r="G465" s="8">
        <f>발송처리!X465</f>
        <v>0</v>
      </c>
      <c r="I465">
        <f>발송처리!AW465</f>
        <v>0</v>
      </c>
      <c r="K465" t="e">
        <f t="shared" si="9"/>
        <v>#N/A</v>
      </c>
      <c r="L465">
        <f>발송처리!AU465</f>
        <v>0</v>
      </c>
      <c r="M465">
        <f>발송처리!AP465</f>
        <v>0</v>
      </c>
      <c r="N465">
        <f>발송처리!AV465</f>
        <v>0</v>
      </c>
      <c r="O465">
        <f>발송처리!AR465</f>
        <v>0</v>
      </c>
      <c r="P465">
        <f>발송처리!K465</f>
        <v>0</v>
      </c>
      <c r="Q465" s="2">
        <f>발송처리!AC465</f>
        <v>0</v>
      </c>
    </row>
    <row r="466" spans="1:17">
      <c r="A466">
        <f>발송처리!A466</f>
        <v>0</v>
      </c>
      <c r="B466">
        <f>발송처리!M466</f>
        <v>0</v>
      </c>
      <c r="E466" t="e">
        <f>VLOOKUP(발송처리!V466,'상품DB(수정x)'!B:E,2,0)</f>
        <v>#N/A</v>
      </c>
      <c r="F466" s="13" t="e">
        <f>VLOOKUP(발송처리!V466,'상품DB(수정x)'!B:E,4,0)</f>
        <v>#N/A</v>
      </c>
      <c r="G466" s="8">
        <f>발송처리!X466</f>
        <v>0</v>
      </c>
      <c r="I466">
        <f>발송처리!AW466</f>
        <v>0</v>
      </c>
      <c r="K466" t="e">
        <f t="shared" si="9"/>
        <v>#N/A</v>
      </c>
      <c r="L466">
        <f>발송처리!AU466</f>
        <v>0</v>
      </c>
      <c r="M466">
        <f>발송처리!AP466</f>
        <v>0</v>
      </c>
      <c r="N466">
        <f>발송처리!AV466</f>
        <v>0</v>
      </c>
      <c r="O466">
        <f>발송처리!AR466</f>
        <v>0</v>
      </c>
      <c r="P466">
        <f>발송처리!K466</f>
        <v>0</v>
      </c>
      <c r="Q466" s="2">
        <f>발송처리!AC466</f>
        <v>0</v>
      </c>
    </row>
    <row r="467" spans="1:17">
      <c r="A467">
        <f>발송처리!A467</f>
        <v>0</v>
      </c>
      <c r="B467">
        <f>발송처리!M467</f>
        <v>0</v>
      </c>
      <c r="E467" t="e">
        <f>VLOOKUP(발송처리!V467,'상품DB(수정x)'!B:E,2,0)</f>
        <v>#N/A</v>
      </c>
      <c r="F467" s="13" t="e">
        <f>VLOOKUP(발송처리!V467,'상품DB(수정x)'!B:E,4,0)</f>
        <v>#N/A</v>
      </c>
      <c r="G467" s="8">
        <f>발송처리!X467</f>
        <v>0</v>
      </c>
      <c r="I467">
        <f>발송처리!AW467</f>
        <v>0</v>
      </c>
      <c r="K467" t="e">
        <f t="shared" si="9"/>
        <v>#N/A</v>
      </c>
      <c r="L467">
        <f>발송처리!AU467</f>
        <v>0</v>
      </c>
      <c r="M467">
        <f>발송처리!AP467</f>
        <v>0</v>
      </c>
      <c r="N467">
        <f>발송처리!AV467</f>
        <v>0</v>
      </c>
      <c r="O467">
        <f>발송처리!AR467</f>
        <v>0</v>
      </c>
      <c r="P467">
        <f>발송처리!K467</f>
        <v>0</v>
      </c>
      <c r="Q467" s="2">
        <f>발송처리!AC467</f>
        <v>0</v>
      </c>
    </row>
    <row r="468" spans="1:17">
      <c r="A468">
        <f>발송처리!A468</f>
        <v>0</v>
      </c>
      <c r="B468">
        <f>발송처리!M468</f>
        <v>0</v>
      </c>
      <c r="E468" t="e">
        <f>VLOOKUP(발송처리!V468,'상품DB(수정x)'!B:E,2,0)</f>
        <v>#N/A</v>
      </c>
      <c r="F468" s="13" t="e">
        <f>VLOOKUP(발송처리!V468,'상품DB(수정x)'!B:E,4,0)</f>
        <v>#N/A</v>
      </c>
      <c r="G468" s="8">
        <f>발송처리!X468</f>
        <v>0</v>
      </c>
      <c r="I468">
        <f>발송처리!AW468</f>
        <v>0</v>
      </c>
      <c r="K468" t="e">
        <f t="shared" si="9"/>
        <v>#N/A</v>
      </c>
      <c r="L468">
        <f>발송처리!AU468</f>
        <v>0</v>
      </c>
      <c r="M468">
        <f>발송처리!AP468</f>
        <v>0</v>
      </c>
      <c r="N468">
        <f>발송처리!AV468</f>
        <v>0</v>
      </c>
      <c r="O468">
        <f>발송처리!AR468</f>
        <v>0</v>
      </c>
      <c r="P468">
        <f>발송처리!K468</f>
        <v>0</v>
      </c>
      <c r="Q468" s="2">
        <f>발송처리!AC468</f>
        <v>0</v>
      </c>
    </row>
    <row r="469" spans="1:17">
      <c r="A469">
        <f>발송처리!A469</f>
        <v>0</v>
      </c>
      <c r="B469">
        <f>발송처리!M469</f>
        <v>0</v>
      </c>
      <c r="E469" t="e">
        <f>VLOOKUP(발송처리!V469,'상품DB(수정x)'!B:E,2,0)</f>
        <v>#N/A</v>
      </c>
      <c r="F469" s="13" t="e">
        <f>VLOOKUP(발송처리!V469,'상품DB(수정x)'!B:E,4,0)</f>
        <v>#N/A</v>
      </c>
      <c r="G469" s="8">
        <f>발송처리!X469</f>
        <v>0</v>
      </c>
      <c r="I469">
        <f>발송처리!AW469</f>
        <v>0</v>
      </c>
      <c r="K469" t="e">
        <f t="shared" si="9"/>
        <v>#N/A</v>
      </c>
      <c r="L469">
        <f>발송처리!AU469</f>
        <v>0</v>
      </c>
      <c r="M469">
        <f>발송처리!AP469</f>
        <v>0</v>
      </c>
      <c r="N469">
        <f>발송처리!AV469</f>
        <v>0</v>
      </c>
      <c r="O469">
        <f>발송처리!AR469</f>
        <v>0</v>
      </c>
      <c r="P469">
        <f>발송처리!K469</f>
        <v>0</v>
      </c>
      <c r="Q469" s="2">
        <f>발송처리!AC469</f>
        <v>0</v>
      </c>
    </row>
    <row r="470" spans="1:17">
      <c r="A470">
        <f>발송처리!A470</f>
        <v>0</v>
      </c>
      <c r="B470">
        <f>발송처리!M470</f>
        <v>0</v>
      </c>
      <c r="E470" t="e">
        <f>VLOOKUP(발송처리!V470,'상품DB(수정x)'!B:E,2,0)</f>
        <v>#N/A</v>
      </c>
      <c r="F470" s="13" t="e">
        <f>VLOOKUP(발송처리!V470,'상품DB(수정x)'!B:E,4,0)</f>
        <v>#N/A</v>
      </c>
      <c r="G470" s="8">
        <f>발송처리!X470</f>
        <v>0</v>
      </c>
      <c r="I470">
        <f>발송처리!AW470</f>
        <v>0</v>
      </c>
      <c r="K470" t="e">
        <f t="shared" si="9"/>
        <v>#N/A</v>
      </c>
      <c r="L470">
        <f>발송처리!AU470</f>
        <v>0</v>
      </c>
      <c r="M470">
        <f>발송처리!AP470</f>
        <v>0</v>
      </c>
      <c r="N470">
        <f>발송처리!AV470</f>
        <v>0</v>
      </c>
      <c r="O470">
        <f>발송처리!AR470</f>
        <v>0</v>
      </c>
      <c r="P470">
        <f>발송처리!K470</f>
        <v>0</v>
      </c>
      <c r="Q470" s="2">
        <f>발송처리!AC470</f>
        <v>0</v>
      </c>
    </row>
    <row r="471" spans="1:17">
      <c r="A471">
        <f>발송처리!A471</f>
        <v>0</v>
      </c>
      <c r="B471">
        <f>발송처리!M471</f>
        <v>0</v>
      </c>
      <c r="E471" t="e">
        <f>VLOOKUP(발송처리!V471,'상품DB(수정x)'!B:E,2,0)</f>
        <v>#N/A</v>
      </c>
      <c r="F471" s="13" t="e">
        <f>VLOOKUP(발송처리!V471,'상품DB(수정x)'!B:E,4,0)</f>
        <v>#N/A</v>
      </c>
      <c r="G471" s="8">
        <f>발송처리!X471</f>
        <v>0</v>
      </c>
      <c r="I471">
        <f>발송처리!AW471</f>
        <v>0</v>
      </c>
      <c r="K471" t="e">
        <f t="shared" si="9"/>
        <v>#N/A</v>
      </c>
      <c r="L471">
        <f>발송처리!AU471</f>
        <v>0</v>
      </c>
      <c r="M471">
        <f>발송처리!AP471</f>
        <v>0</v>
      </c>
      <c r="N471">
        <f>발송처리!AV471</f>
        <v>0</v>
      </c>
      <c r="O471">
        <f>발송처리!AR471</f>
        <v>0</v>
      </c>
      <c r="P471">
        <f>발송처리!K471</f>
        <v>0</v>
      </c>
      <c r="Q471" s="2">
        <f>발송처리!AC471</f>
        <v>0</v>
      </c>
    </row>
    <row r="472" spans="1:17">
      <c r="A472">
        <f>발송처리!A472</f>
        <v>0</v>
      </c>
      <c r="B472">
        <f>발송처리!M472</f>
        <v>0</v>
      </c>
      <c r="E472" t="e">
        <f>VLOOKUP(발송처리!V472,'상품DB(수정x)'!B:E,2,0)</f>
        <v>#N/A</v>
      </c>
      <c r="F472" s="13" t="e">
        <f>VLOOKUP(발송처리!V472,'상품DB(수정x)'!B:E,4,0)</f>
        <v>#N/A</v>
      </c>
      <c r="G472" s="8">
        <f>발송처리!X472</f>
        <v>0</v>
      </c>
      <c r="I472">
        <f>발송처리!AW472</f>
        <v>0</v>
      </c>
      <c r="K472" t="e">
        <f t="shared" si="9"/>
        <v>#N/A</v>
      </c>
      <c r="L472">
        <f>발송처리!AU472</f>
        <v>0</v>
      </c>
      <c r="M472">
        <f>발송처리!AP472</f>
        <v>0</v>
      </c>
      <c r="N472">
        <f>발송처리!AV472</f>
        <v>0</v>
      </c>
      <c r="O472">
        <f>발송처리!AR472</f>
        <v>0</v>
      </c>
      <c r="P472">
        <f>발송처리!K472</f>
        <v>0</v>
      </c>
      <c r="Q472" s="2">
        <f>발송처리!AC472</f>
        <v>0</v>
      </c>
    </row>
    <row r="473" spans="1:17">
      <c r="A473">
        <f>발송처리!A473</f>
        <v>0</v>
      </c>
      <c r="B473">
        <f>발송처리!M473</f>
        <v>0</v>
      </c>
      <c r="E473" t="e">
        <f>VLOOKUP(발송처리!V473,'상품DB(수정x)'!B:E,2,0)</f>
        <v>#N/A</v>
      </c>
      <c r="F473" s="13" t="e">
        <f>VLOOKUP(발송처리!V473,'상품DB(수정x)'!B:E,4,0)</f>
        <v>#N/A</v>
      </c>
      <c r="G473" s="8">
        <f>발송처리!X473</f>
        <v>0</v>
      </c>
      <c r="I473">
        <f>발송처리!AW473</f>
        <v>0</v>
      </c>
      <c r="K473" t="e">
        <f t="shared" si="9"/>
        <v>#N/A</v>
      </c>
      <c r="L473">
        <f>발송처리!AU473</f>
        <v>0</v>
      </c>
      <c r="M473">
        <f>발송처리!AP473</f>
        <v>0</v>
      </c>
      <c r="N473">
        <f>발송처리!AV473</f>
        <v>0</v>
      </c>
      <c r="O473">
        <f>발송처리!AR473</f>
        <v>0</v>
      </c>
      <c r="P473">
        <f>발송처리!K473</f>
        <v>0</v>
      </c>
      <c r="Q473" s="2">
        <f>발송처리!AC473</f>
        <v>0</v>
      </c>
    </row>
    <row r="474" spans="1:17">
      <c r="A474">
        <f>발송처리!A474</f>
        <v>0</v>
      </c>
      <c r="B474">
        <f>발송처리!M474</f>
        <v>0</v>
      </c>
      <c r="E474" t="e">
        <f>VLOOKUP(발송처리!V474,'상품DB(수정x)'!B:E,2,0)</f>
        <v>#N/A</v>
      </c>
      <c r="F474" s="13" t="e">
        <f>VLOOKUP(발송처리!V474,'상품DB(수정x)'!B:E,4,0)</f>
        <v>#N/A</v>
      </c>
      <c r="G474" s="8">
        <f>발송처리!X474</f>
        <v>0</v>
      </c>
      <c r="I474">
        <f>발송처리!AW474</f>
        <v>0</v>
      </c>
      <c r="K474" t="e">
        <f t="shared" si="9"/>
        <v>#N/A</v>
      </c>
      <c r="L474">
        <f>발송처리!AU474</f>
        <v>0</v>
      </c>
      <c r="M474">
        <f>발송처리!AP474</f>
        <v>0</v>
      </c>
      <c r="N474">
        <f>발송처리!AV474</f>
        <v>0</v>
      </c>
      <c r="O474">
        <f>발송처리!AR474</f>
        <v>0</v>
      </c>
      <c r="P474">
        <f>발송처리!K474</f>
        <v>0</v>
      </c>
      <c r="Q474" s="2">
        <f>발송처리!AC474</f>
        <v>0</v>
      </c>
    </row>
    <row r="475" spans="1:17">
      <c r="A475">
        <f>발송처리!A475</f>
        <v>0</v>
      </c>
      <c r="B475">
        <f>발송처리!M475</f>
        <v>0</v>
      </c>
      <c r="E475" t="e">
        <f>VLOOKUP(발송처리!V475,'상품DB(수정x)'!B:E,2,0)</f>
        <v>#N/A</v>
      </c>
      <c r="F475" s="13" t="e">
        <f>VLOOKUP(발송처리!V475,'상품DB(수정x)'!B:E,4,0)</f>
        <v>#N/A</v>
      </c>
      <c r="G475" s="8">
        <f>발송처리!X475</f>
        <v>0</v>
      </c>
      <c r="I475">
        <f>발송처리!AW475</f>
        <v>0</v>
      </c>
      <c r="K475" t="e">
        <f t="shared" si="9"/>
        <v>#N/A</v>
      </c>
      <c r="L475">
        <f>발송처리!AU475</f>
        <v>0</v>
      </c>
      <c r="M475">
        <f>발송처리!AP475</f>
        <v>0</v>
      </c>
      <c r="N475">
        <f>발송처리!AV475</f>
        <v>0</v>
      </c>
      <c r="O475">
        <f>발송처리!AR475</f>
        <v>0</v>
      </c>
      <c r="P475">
        <f>발송처리!K475</f>
        <v>0</v>
      </c>
      <c r="Q475" s="2">
        <f>발송처리!AC475</f>
        <v>0</v>
      </c>
    </row>
    <row r="476" spans="1:17">
      <c r="A476">
        <f>발송처리!A476</f>
        <v>0</v>
      </c>
      <c r="B476">
        <f>발송처리!M476</f>
        <v>0</v>
      </c>
      <c r="E476" t="e">
        <f>VLOOKUP(발송처리!V476,'상품DB(수정x)'!B:E,2,0)</f>
        <v>#N/A</v>
      </c>
      <c r="F476" s="13" t="e">
        <f>VLOOKUP(발송처리!V476,'상품DB(수정x)'!B:E,4,0)</f>
        <v>#N/A</v>
      </c>
      <c r="G476" s="8">
        <f>발송처리!X476</f>
        <v>0</v>
      </c>
      <c r="I476">
        <f>발송처리!AW476</f>
        <v>0</v>
      </c>
      <c r="K476" t="e">
        <f t="shared" si="9"/>
        <v>#N/A</v>
      </c>
      <c r="L476">
        <f>발송처리!AU476</f>
        <v>0</v>
      </c>
      <c r="M476">
        <f>발송처리!AP476</f>
        <v>0</v>
      </c>
      <c r="N476">
        <f>발송처리!AV476</f>
        <v>0</v>
      </c>
      <c r="O476">
        <f>발송처리!AR476</f>
        <v>0</v>
      </c>
      <c r="P476">
        <f>발송처리!K476</f>
        <v>0</v>
      </c>
      <c r="Q476" s="2">
        <f>발송처리!AC476</f>
        <v>0</v>
      </c>
    </row>
    <row r="477" spans="1:17">
      <c r="A477">
        <f>발송처리!A477</f>
        <v>0</v>
      </c>
      <c r="B477">
        <f>발송처리!M477</f>
        <v>0</v>
      </c>
      <c r="E477" t="e">
        <f>VLOOKUP(발송처리!V477,'상품DB(수정x)'!B:E,2,0)</f>
        <v>#N/A</v>
      </c>
      <c r="F477" s="13" t="e">
        <f>VLOOKUP(발송처리!V477,'상품DB(수정x)'!B:E,4,0)</f>
        <v>#N/A</v>
      </c>
      <c r="G477" s="8">
        <f>발송처리!X477</f>
        <v>0</v>
      </c>
      <c r="I477">
        <f>발송처리!AW477</f>
        <v>0</v>
      </c>
      <c r="K477" t="e">
        <f t="shared" si="9"/>
        <v>#N/A</v>
      </c>
      <c r="L477">
        <f>발송처리!AU477</f>
        <v>0</v>
      </c>
      <c r="M477">
        <f>발송처리!AP477</f>
        <v>0</v>
      </c>
      <c r="N477">
        <f>발송처리!AV477</f>
        <v>0</v>
      </c>
      <c r="O477">
        <f>발송처리!AR477</f>
        <v>0</v>
      </c>
      <c r="P477">
        <f>발송처리!K477</f>
        <v>0</v>
      </c>
      <c r="Q477" s="2">
        <f>발송처리!AC477</f>
        <v>0</v>
      </c>
    </row>
    <row r="478" spans="1:17">
      <c r="A478">
        <f>발송처리!A478</f>
        <v>0</v>
      </c>
      <c r="B478">
        <f>발송처리!M478</f>
        <v>0</v>
      </c>
      <c r="E478" t="e">
        <f>VLOOKUP(발송처리!V478,'상품DB(수정x)'!B:E,2,0)</f>
        <v>#N/A</v>
      </c>
      <c r="F478" s="13" t="e">
        <f>VLOOKUP(발송처리!V478,'상품DB(수정x)'!B:E,4,0)</f>
        <v>#N/A</v>
      </c>
      <c r="G478" s="8">
        <f>발송처리!X478</f>
        <v>0</v>
      </c>
      <c r="I478">
        <f>발송처리!AW478</f>
        <v>0</v>
      </c>
      <c r="K478" t="e">
        <f t="shared" si="9"/>
        <v>#N/A</v>
      </c>
      <c r="L478">
        <f>발송처리!AU478</f>
        <v>0</v>
      </c>
      <c r="M478">
        <f>발송처리!AP478</f>
        <v>0</v>
      </c>
      <c r="N478">
        <f>발송처리!AV478</f>
        <v>0</v>
      </c>
      <c r="O478">
        <f>발송처리!AR478</f>
        <v>0</v>
      </c>
      <c r="P478">
        <f>발송처리!K478</f>
        <v>0</v>
      </c>
      <c r="Q478" s="2">
        <f>발송처리!AC478</f>
        <v>0</v>
      </c>
    </row>
    <row r="479" spans="1:17">
      <c r="A479">
        <f>발송처리!A479</f>
        <v>0</v>
      </c>
      <c r="B479">
        <f>발송처리!M479</f>
        <v>0</v>
      </c>
      <c r="E479" t="e">
        <f>VLOOKUP(발송처리!V479,'상품DB(수정x)'!B:E,2,0)</f>
        <v>#N/A</v>
      </c>
      <c r="F479" s="13" t="e">
        <f>VLOOKUP(발송처리!V479,'상품DB(수정x)'!B:E,4,0)</f>
        <v>#N/A</v>
      </c>
      <c r="G479" s="8">
        <f>발송처리!X479</f>
        <v>0</v>
      </c>
      <c r="I479">
        <f>발송처리!AW479</f>
        <v>0</v>
      </c>
      <c r="K479" t="e">
        <f t="shared" si="9"/>
        <v>#N/A</v>
      </c>
      <c r="L479">
        <f>발송처리!AU479</f>
        <v>0</v>
      </c>
      <c r="M479">
        <f>발송처리!AP479</f>
        <v>0</v>
      </c>
      <c r="N479">
        <f>발송처리!AV479</f>
        <v>0</v>
      </c>
      <c r="O479">
        <f>발송처리!AR479</f>
        <v>0</v>
      </c>
      <c r="P479">
        <f>발송처리!K479</f>
        <v>0</v>
      </c>
      <c r="Q479" s="2">
        <f>발송처리!AC479</f>
        <v>0</v>
      </c>
    </row>
    <row r="480" spans="1:17">
      <c r="A480">
        <f>발송처리!A480</f>
        <v>0</v>
      </c>
      <c r="B480">
        <f>발송처리!M480</f>
        <v>0</v>
      </c>
      <c r="E480" t="e">
        <f>VLOOKUP(발송처리!V480,'상품DB(수정x)'!B:E,2,0)</f>
        <v>#N/A</v>
      </c>
      <c r="F480" s="13" t="e">
        <f>VLOOKUP(발송처리!V480,'상품DB(수정x)'!B:E,4,0)</f>
        <v>#N/A</v>
      </c>
      <c r="G480" s="8">
        <f>발송처리!X480</f>
        <v>0</v>
      </c>
      <c r="I480">
        <f>발송처리!AW480</f>
        <v>0</v>
      </c>
      <c r="K480" t="e">
        <f t="shared" si="9"/>
        <v>#N/A</v>
      </c>
      <c r="L480">
        <f>발송처리!AU480</f>
        <v>0</v>
      </c>
      <c r="M480">
        <f>발송처리!AP480</f>
        <v>0</v>
      </c>
      <c r="N480">
        <f>발송처리!AV480</f>
        <v>0</v>
      </c>
      <c r="O480">
        <f>발송처리!AR480</f>
        <v>0</v>
      </c>
      <c r="P480">
        <f>발송처리!K480</f>
        <v>0</v>
      </c>
      <c r="Q480" s="2">
        <f>발송처리!AC480</f>
        <v>0</v>
      </c>
    </row>
    <row r="481" spans="1:17">
      <c r="A481">
        <f>발송처리!A481</f>
        <v>0</v>
      </c>
      <c r="B481">
        <f>발송처리!M481</f>
        <v>0</v>
      </c>
      <c r="E481" t="e">
        <f>VLOOKUP(발송처리!V481,'상품DB(수정x)'!B:E,2,0)</f>
        <v>#N/A</v>
      </c>
      <c r="F481" s="13" t="e">
        <f>VLOOKUP(발송처리!V481,'상품DB(수정x)'!B:E,4,0)</f>
        <v>#N/A</v>
      </c>
      <c r="G481" s="8">
        <f>발송처리!X481</f>
        <v>0</v>
      </c>
      <c r="I481">
        <f>발송처리!AW481</f>
        <v>0</v>
      </c>
      <c r="K481" t="e">
        <f t="shared" si="9"/>
        <v>#N/A</v>
      </c>
      <c r="L481">
        <f>발송처리!AU481</f>
        <v>0</v>
      </c>
      <c r="M481">
        <f>발송처리!AP481</f>
        <v>0</v>
      </c>
      <c r="N481">
        <f>발송처리!AV481</f>
        <v>0</v>
      </c>
      <c r="O481">
        <f>발송처리!AR481</f>
        <v>0</v>
      </c>
      <c r="P481">
        <f>발송처리!K481</f>
        <v>0</v>
      </c>
      <c r="Q481" s="2">
        <f>발송처리!AC481</f>
        <v>0</v>
      </c>
    </row>
    <row r="482" spans="1:17">
      <c r="A482">
        <f>발송처리!A482</f>
        <v>0</v>
      </c>
      <c r="B482">
        <f>발송처리!M482</f>
        <v>0</v>
      </c>
      <c r="E482" t="e">
        <f>VLOOKUP(발송처리!V482,'상품DB(수정x)'!B:E,2,0)</f>
        <v>#N/A</v>
      </c>
      <c r="F482" s="13" t="e">
        <f>VLOOKUP(발송처리!V482,'상품DB(수정x)'!B:E,4,0)</f>
        <v>#N/A</v>
      </c>
      <c r="G482" s="8">
        <f>발송처리!X482</f>
        <v>0</v>
      </c>
      <c r="I482">
        <f>발송처리!AW482</f>
        <v>0</v>
      </c>
      <c r="K482" t="e">
        <f t="shared" si="9"/>
        <v>#N/A</v>
      </c>
      <c r="L482">
        <f>발송처리!AU482</f>
        <v>0</v>
      </c>
      <c r="M482">
        <f>발송처리!AP482</f>
        <v>0</v>
      </c>
      <c r="N482">
        <f>발송처리!AV482</f>
        <v>0</v>
      </c>
      <c r="O482">
        <f>발송처리!AR482</f>
        <v>0</v>
      </c>
      <c r="P482">
        <f>발송처리!K482</f>
        <v>0</v>
      </c>
      <c r="Q482" s="2">
        <f>발송처리!AC482</f>
        <v>0</v>
      </c>
    </row>
    <row r="483" spans="1:17">
      <c r="A483">
        <f>발송처리!A483</f>
        <v>0</v>
      </c>
      <c r="B483">
        <f>발송처리!M483</f>
        <v>0</v>
      </c>
      <c r="E483" t="e">
        <f>VLOOKUP(발송처리!V483,'상품DB(수정x)'!B:E,2,0)</f>
        <v>#N/A</v>
      </c>
      <c r="F483" s="13" t="e">
        <f>VLOOKUP(발송처리!V483,'상품DB(수정x)'!B:E,4,0)</f>
        <v>#N/A</v>
      </c>
      <c r="G483" s="8">
        <f>발송처리!X483</f>
        <v>0</v>
      </c>
      <c r="I483">
        <f>발송처리!AW483</f>
        <v>0</v>
      </c>
      <c r="K483" t="e">
        <f t="shared" si="9"/>
        <v>#N/A</v>
      </c>
      <c r="L483">
        <f>발송처리!AU483</f>
        <v>0</v>
      </c>
      <c r="M483">
        <f>발송처리!AP483</f>
        <v>0</v>
      </c>
      <c r="N483">
        <f>발송처리!AV483</f>
        <v>0</v>
      </c>
      <c r="O483">
        <f>발송처리!AR483</f>
        <v>0</v>
      </c>
      <c r="P483">
        <f>발송처리!K483</f>
        <v>0</v>
      </c>
      <c r="Q483" s="2">
        <f>발송처리!AC483</f>
        <v>0</v>
      </c>
    </row>
    <row r="484" spans="1:17">
      <c r="A484">
        <f>발송처리!A484</f>
        <v>0</v>
      </c>
      <c r="B484">
        <f>발송처리!M484</f>
        <v>0</v>
      </c>
      <c r="E484" t="e">
        <f>VLOOKUP(발송처리!V484,'상품DB(수정x)'!B:E,2,0)</f>
        <v>#N/A</v>
      </c>
      <c r="F484" s="13" t="e">
        <f>VLOOKUP(발송처리!V484,'상품DB(수정x)'!B:E,4,0)</f>
        <v>#N/A</v>
      </c>
      <c r="G484" s="8">
        <f>발송처리!X484</f>
        <v>0</v>
      </c>
      <c r="I484">
        <f>발송처리!AW484</f>
        <v>0</v>
      </c>
      <c r="K484" t="e">
        <f t="shared" si="9"/>
        <v>#N/A</v>
      </c>
      <c r="L484">
        <f>발송처리!AU484</f>
        <v>0</v>
      </c>
      <c r="M484">
        <f>발송처리!AP484</f>
        <v>0</v>
      </c>
      <c r="N484">
        <f>발송처리!AV484</f>
        <v>0</v>
      </c>
      <c r="O484">
        <f>발송처리!AR484</f>
        <v>0</v>
      </c>
      <c r="P484">
        <f>발송처리!K484</f>
        <v>0</v>
      </c>
      <c r="Q484" s="2">
        <f>발송처리!AC484</f>
        <v>0</v>
      </c>
    </row>
    <row r="485" spans="1:17">
      <c r="A485">
        <f>발송처리!A485</f>
        <v>0</v>
      </c>
      <c r="B485">
        <f>발송처리!M485</f>
        <v>0</v>
      </c>
      <c r="E485" t="e">
        <f>VLOOKUP(발송처리!V485,'상품DB(수정x)'!B:E,2,0)</f>
        <v>#N/A</v>
      </c>
      <c r="F485" s="13" t="e">
        <f>VLOOKUP(발송처리!V485,'상품DB(수정x)'!B:E,4,0)</f>
        <v>#N/A</v>
      </c>
      <c r="G485" s="8">
        <f>발송처리!X485</f>
        <v>0</v>
      </c>
      <c r="I485">
        <f>발송처리!AW485</f>
        <v>0</v>
      </c>
      <c r="K485" t="e">
        <f t="shared" si="9"/>
        <v>#N/A</v>
      </c>
      <c r="L485">
        <f>발송처리!AU485</f>
        <v>0</v>
      </c>
      <c r="M485">
        <f>발송처리!AP485</f>
        <v>0</v>
      </c>
      <c r="N485">
        <f>발송처리!AV485</f>
        <v>0</v>
      </c>
      <c r="O485">
        <f>발송처리!AR485</f>
        <v>0</v>
      </c>
      <c r="P485">
        <f>발송처리!K485</f>
        <v>0</v>
      </c>
      <c r="Q485" s="2">
        <f>발송처리!AC485</f>
        <v>0</v>
      </c>
    </row>
    <row r="486" spans="1:17">
      <c r="A486">
        <f>발송처리!A486</f>
        <v>0</v>
      </c>
      <c r="B486">
        <f>발송처리!M486</f>
        <v>0</v>
      </c>
      <c r="E486" t="e">
        <f>VLOOKUP(발송처리!V486,'상품DB(수정x)'!B:E,2,0)</f>
        <v>#N/A</v>
      </c>
      <c r="F486" s="13" t="e">
        <f>VLOOKUP(발송처리!V486,'상품DB(수정x)'!B:E,4,0)</f>
        <v>#N/A</v>
      </c>
      <c r="G486" s="8">
        <f>발송처리!X486</f>
        <v>0</v>
      </c>
      <c r="I486">
        <f>발송처리!AW486</f>
        <v>0</v>
      </c>
      <c r="K486" t="e">
        <f t="shared" si="9"/>
        <v>#N/A</v>
      </c>
      <c r="L486">
        <f>발송처리!AU486</f>
        <v>0</v>
      </c>
      <c r="M486">
        <f>발송처리!AP486</f>
        <v>0</v>
      </c>
      <c r="N486">
        <f>발송처리!AV486</f>
        <v>0</v>
      </c>
      <c r="O486">
        <f>발송처리!AR486</f>
        <v>0</v>
      </c>
      <c r="P486">
        <f>발송처리!K486</f>
        <v>0</v>
      </c>
      <c r="Q486" s="2">
        <f>발송처리!AC486</f>
        <v>0</v>
      </c>
    </row>
    <row r="487" spans="1:17">
      <c r="A487">
        <f>발송처리!A487</f>
        <v>0</v>
      </c>
      <c r="B487">
        <f>발송처리!M487</f>
        <v>0</v>
      </c>
      <c r="E487" t="e">
        <f>VLOOKUP(발송처리!V487,'상품DB(수정x)'!B:E,2,0)</f>
        <v>#N/A</v>
      </c>
      <c r="F487" s="13" t="e">
        <f>VLOOKUP(발송처리!V487,'상품DB(수정x)'!B:E,4,0)</f>
        <v>#N/A</v>
      </c>
      <c r="G487" s="8">
        <f>발송처리!X487</f>
        <v>0</v>
      </c>
      <c r="I487">
        <f>발송처리!AW487</f>
        <v>0</v>
      </c>
      <c r="K487" t="e">
        <f t="shared" si="9"/>
        <v>#N/A</v>
      </c>
      <c r="L487">
        <f>발송처리!AU487</f>
        <v>0</v>
      </c>
      <c r="M487">
        <f>발송처리!AP487</f>
        <v>0</v>
      </c>
      <c r="N487">
        <f>발송처리!AV487</f>
        <v>0</v>
      </c>
      <c r="O487">
        <f>발송처리!AR487</f>
        <v>0</v>
      </c>
      <c r="P487">
        <f>발송처리!K487</f>
        <v>0</v>
      </c>
      <c r="Q487" s="2">
        <f>발송처리!AC487</f>
        <v>0</v>
      </c>
    </row>
    <row r="488" spans="1:17">
      <c r="A488">
        <f>발송처리!A488</f>
        <v>0</v>
      </c>
      <c r="B488">
        <f>발송처리!M488</f>
        <v>0</v>
      </c>
      <c r="E488" t="e">
        <f>VLOOKUP(발송처리!V488,'상품DB(수정x)'!B:E,2,0)</f>
        <v>#N/A</v>
      </c>
      <c r="F488" s="13" t="e">
        <f>VLOOKUP(발송처리!V488,'상품DB(수정x)'!B:E,4,0)</f>
        <v>#N/A</v>
      </c>
      <c r="G488" s="8">
        <f>발송처리!X488</f>
        <v>0</v>
      </c>
      <c r="I488">
        <f>발송처리!AW488</f>
        <v>0</v>
      </c>
      <c r="K488" t="e">
        <f t="shared" si="9"/>
        <v>#N/A</v>
      </c>
      <c r="L488">
        <f>발송처리!AU488</f>
        <v>0</v>
      </c>
      <c r="M488">
        <f>발송처리!AP488</f>
        <v>0</v>
      </c>
      <c r="N488">
        <f>발송처리!AV488</f>
        <v>0</v>
      </c>
      <c r="O488">
        <f>발송처리!AR488</f>
        <v>0</v>
      </c>
      <c r="P488">
        <f>발송처리!K488</f>
        <v>0</v>
      </c>
      <c r="Q488" s="2">
        <f>발송처리!AC488</f>
        <v>0</v>
      </c>
    </row>
    <row r="489" spans="1:17">
      <c r="A489">
        <f>발송처리!A489</f>
        <v>0</v>
      </c>
      <c r="B489">
        <f>발송처리!M489</f>
        <v>0</v>
      </c>
      <c r="E489" t="e">
        <f>VLOOKUP(발송처리!V489,'상품DB(수정x)'!B:E,2,0)</f>
        <v>#N/A</v>
      </c>
      <c r="F489" s="13" t="e">
        <f>VLOOKUP(발송처리!V489,'상품DB(수정x)'!B:E,4,0)</f>
        <v>#N/A</v>
      </c>
      <c r="G489" s="8">
        <f>발송처리!X489</f>
        <v>0</v>
      </c>
      <c r="I489">
        <f>발송처리!AW489</f>
        <v>0</v>
      </c>
      <c r="K489" t="e">
        <f t="shared" si="9"/>
        <v>#N/A</v>
      </c>
      <c r="L489">
        <f>발송처리!AU489</f>
        <v>0</v>
      </c>
      <c r="M489">
        <f>발송처리!AP489</f>
        <v>0</v>
      </c>
      <c r="N489">
        <f>발송처리!AV489</f>
        <v>0</v>
      </c>
      <c r="O489">
        <f>발송처리!AR489</f>
        <v>0</v>
      </c>
      <c r="P489">
        <f>발송처리!K489</f>
        <v>0</v>
      </c>
      <c r="Q489" s="2">
        <f>발송처리!AC489</f>
        <v>0</v>
      </c>
    </row>
    <row r="490" spans="1:17">
      <c r="A490">
        <f>발송처리!A490</f>
        <v>0</v>
      </c>
      <c r="B490">
        <f>발송처리!M490</f>
        <v>0</v>
      </c>
      <c r="E490" t="e">
        <f>VLOOKUP(발송처리!V490,'상품DB(수정x)'!B:E,2,0)</f>
        <v>#N/A</v>
      </c>
      <c r="F490" s="13" t="e">
        <f>VLOOKUP(발송처리!V490,'상품DB(수정x)'!B:E,4,0)</f>
        <v>#N/A</v>
      </c>
      <c r="G490" s="8">
        <f>발송처리!X490</f>
        <v>0</v>
      </c>
      <c r="I490">
        <f>발송처리!AW490</f>
        <v>0</v>
      </c>
      <c r="K490" t="e">
        <f t="shared" si="9"/>
        <v>#N/A</v>
      </c>
      <c r="L490">
        <f>발송처리!AU490</f>
        <v>0</v>
      </c>
      <c r="M490">
        <f>발송처리!AP490</f>
        <v>0</v>
      </c>
      <c r="N490">
        <f>발송처리!AV490</f>
        <v>0</v>
      </c>
      <c r="O490">
        <f>발송처리!AR490</f>
        <v>0</v>
      </c>
      <c r="P490">
        <f>발송처리!K490</f>
        <v>0</v>
      </c>
      <c r="Q490" s="2">
        <f>발송처리!AC490</f>
        <v>0</v>
      </c>
    </row>
    <row r="491" spans="1:17">
      <c r="A491">
        <f>발송처리!A491</f>
        <v>0</v>
      </c>
      <c r="B491">
        <f>발송처리!M491</f>
        <v>0</v>
      </c>
      <c r="E491" t="e">
        <f>VLOOKUP(발송처리!V491,'상품DB(수정x)'!B:E,2,0)</f>
        <v>#N/A</v>
      </c>
      <c r="F491" s="13" t="e">
        <f>VLOOKUP(발송처리!V491,'상품DB(수정x)'!B:E,4,0)</f>
        <v>#N/A</v>
      </c>
      <c r="G491" s="8">
        <f>발송처리!X491</f>
        <v>0</v>
      </c>
      <c r="I491">
        <f>발송처리!AW491</f>
        <v>0</v>
      </c>
      <c r="K491" t="e">
        <f t="shared" si="9"/>
        <v>#N/A</v>
      </c>
      <c r="L491">
        <f>발송처리!AU491</f>
        <v>0</v>
      </c>
      <c r="M491">
        <f>발송처리!AP491</f>
        <v>0</v>
      </c>
      <c r="N491">
        <f>발송처리!AV491</f>
        <v>0</v>
      </c>
      <c r="O491">
        <f>발송처리!AR491</f>
        <v>0</v>
      </c>
      <c r="P491">
        <f>발송처리!K491</f>
        <v>0</v>
      </c>
      <c r="Q491" s="2">
        <f>발송처리!AC491</f>
        <v>0</v>
      </c>
    </row>
    <row r="492" spans="1:17">
      <c r="A492">
        <f>발송처리!A492</f>
        <v>0</v>
      </c>
      <c r="B492">
        <f>발송처리!M492</f>
        <v>0</v>
      </c>
      <c r="E492" t="e">
        <f>VLOOKUP(발송처리!V492,'상품DB(수정x)'!B:E,2,0)</f>
        <v>#N/A</v>
      </c>
      <c r="F492" s="13" t="e">
        <f>VLOOKUP(발송처리!V492,'상품DB(수정x)'!B:E,4,0)</f>
        <v>#N/A</v>
      </c>
      <c r="G492" s="8">
        <f>발송처리!X492</f>
        <v>0</v>
      </c>
      <c r="I492">
        <f>발송처리!AW492</f>
        <v>0</v>
      </c>
      <c r="K492" t="e">
        <f t="shared" si="9"/>
        <v>#N/A</v>
      </c>
      <c r="L492">
        <f>발송처리!AU492</f>
        <v>0</v>
      </c>
      <c r="M492">
        <f>발송처리!AP492</f>
        <v>0</v>
      </c>
      <c r="N492">
        <f>발송처리!AV492</f>
        <v>0</v>
      </c>
      <c r="O492">
        <f>발송처리!AR492</f>
        <v>0</v>
      </c>
      <c r="P492">
        <f>발송처리!K492</f>
        <v>0</v>
      </c>
      <c r="Q492" s="2">
        <f>발송처리!AC492</f>
        <v>0</v>
      </c>
    </row>
    <row r="493" spans="1:17">
      <c r="A493">
        <f>발송처리!A493</f>
        <v>0</v>
      </c>
      <c r="B493">
        <f>발송처리!M493</f>
        <v>0</v>
      </c>
      <c r="E493" t="e">
        <f>VLOOKUP(발송처리!V493,'상품DB(수정x)'!B:E,2,0)</f>
        <v>#N/A</v>
      </c>
      <c r="F493" s="13" t="e">
        <f>VLOOKUP(발송처리!V493,'상품DB(수정x)'!B:E,4,0)</f>
        <v>#N/A</v>
      </c>
      <c r="G493" s="8">
        <f>발송처리!X493</f>
        <v>0</v>
      </c>
      <c r="I493">
        <f>발송처리!AW493</f>
        <v>0</v>
      </c>
      <c r="K493" t="e">
        <f t="shared" si="9"/>
        <v>#N/A</v>
      </c>
      <c r="L493">
        <f>발송처리!AU493</f>
        <v>0</v>
      </c>
      <c r="M493">
        <f>발송처리!AP493</f>
        <v>0</v>
      </c>
      <c r="N493">
        <f>발송처리!AV493</f>
        <v>0</v>
      </c>
      <c r="O493">
        <f>발송처리!AR493</f>
        <v>0</v>
      </c>
      <c r="P493">
        <f>발송처리!K493</f>
        <v>0</v>
      </c>
      <c r="Q493" s="2">
        <f>발송처리!AC493</f>
        <v>0</v>
      </c>
    </row>
    <row r="494" spans="1:17">
      <c r="A494">
        <f>발송처리!A494</f>
        <v>0</v>
      </c>
      <c r="B494">
        <f>발송처리!M494</f>
        <v>0</v>
      </c>
      <c r="E494" t="e">
        <f>VLOOKUP(발송처리!V494,'상품DB(수정x)'!B:E,2,0)</f>
        <v>#N/A</v>
      </c>
      <c r="F494" s="13" t="e">
        <f>VLOOKUP(발송처리!V494,'상품DB(수정x)'!B:E,4,0)</f>
        <v>#N/A</v>
      </c>
      <c r="G494" s="8">
        <f>발송처리!X494</f>
        <v>0</v>
      </c>
      <c r="I494">
        <f>발송처리!AW494</f>
        <v>0</v>
      </c>
      <c r="K494" t="e">
        <f t="shared" si="9"/>
        <v>#N/A</v>
      </c>
      <c r="L494">
        <f>발송처리!AU494</f>
        <v>0</v>
      </c>
      <c r="M494">
        <f>발송처리!AP494</f>
        <v>0</v>
      </c>
      <c r="N494">
        <f>발송처리!AV494</f>
        <v>0</v>
      </c>
      <c r="O494">
        <f>발송처리!AR494</f>
        <v>0</v>
      </c>
      <c r="P494">
        <f>발송처리!K494</f>
        <v>0</v>
      </c>
      <c r="Q494" s="2">
        <f>발송처리!AC494</f>
        <v>0</v>
      </c>
    </row>
    <row r="495" spans="1:17">
      <c r="A495">
        <f>발송처리!A495</f>
        <v>0</v>
      </c>
      <c r="B495">
        <f>발송처리!M495</f>
        <v>0</v>
      </c>
      <c r="E495" t="e">
        <f>VLOOKUP(발송처리!V495,'상품DB(수정x)'!B:E,2,0)</f>
        <v>#N/A</v>
      </c>
      <c r="F495" s="13" t="e">
        <f>VLOOKUP(발송처리!V495,'상품DB(수정x)'!B:E,4,0)</f>
        <v>#N/A</v>
      </c>
      <c r="G495" s="8">
        <f>발송처리!X495</f>
        <v>0</v>
      </c>
      <c r="I495">
        <f>발송처리!AW495</f>
        <v>0</v>
      </c>
      <c r="K495" t="e">
        <f t="shared" si="9"/>
        <v>#N/A</v>
      </c>
      <c r="L495">
        <f>발송처리!AU495</f>
        <v>0</v>
      </c>
      <c r="M495">
        <f>발송처리!AP495</f>
        <v>0</v>
      </c>
      <c r="N495">
        <f>발송처리!AV495</f>
        <v>0</v>
      </c>
      <c r="O495">
        <f>발송처리!AR495</f>
        <v>0</v>
      </c>
      <c r="P495">
        <f>발송처리!K495</f>
        <v>0</v>
      </c>
      <c r="Q495" s="2">
        <f>발송처리!AC495</f>
        <v>0</v>
      </c>
    </row>
    <row r="496" spans="1:17">
      <c r="A496">
        <f>발송처리!A496</f>
        <v>0</v>
      </c>
      <c r="B496">
        <f>발송처리!M496</f>
        <v>0</v>
      </c>
      <c r="E496" t="e">
        <f>VLOOKUP(발송처리!V496,'상품DB(수정x)'!B:E,2,0)</f>
        <v>#N/A</v>
      </c>
      <c r="F496" s="13" t="e">
        <f>VLOOKUP(발송처리!V496,'상품DB(수정x)'!B:E,4,0)</f>
        <v>#N/A</v>
      </c>
      <c r="G496" s="8">
        <f>발송처리!X496</f>
        <v>0</v>
      </c>
      <c r="I496">
        <f>발송처리!AW496</f>
        <v>0</v>
      </c>
      <c r="K496" t="e">
        <f t="shared" si="9"/>
        <v>#N/A</v>
      </c>
      <c r="L496">
        <f>발송처리!AU496</f>
        <v>0</v>
      </c>
      <c r="M496">
        <f>발송처리!AP496</f>
        <v>0</v>
      </c>
      <c r="N496">
        <f>발송처리!AV496</f>
        <v>0</v>
      </c>
      <c r="O496">
        <f>발송처리!AR496</f>
        <v>0</v>
      </c>
      <c r="P496">
        <f>발송처리!K496</f>
        <v>0</v>
      </c>
      <c r="Q496" s="2">
        <f>발송처리!AC496</f>
        <v>0</v>
      </c>
    </row>
    <row r="497" spans="1:17">
      <c r="A497">
        <f>발송처리!A497</f>
        <v>0</v>
      </c>
      <c r="B497">
        <f>발송처리!M497</f>
        <v>0</v>
      </c>
      <c r="E497" t="e">
        <f>VLOOKUP(발송처리!V497,'상품DB(수정x)'!B:E,2,0)</f>
        <v>#N/A</v>
      </c>
      <c r="F497" s="13" t="e">
        <f>VLOOKUP(발송처리!V497,'상품DB(수정x)'!B:E,4,0)</f>
        <v>#N/A</v>
      </c>
      <c r="G497" s="8">
        <f>발송처리!X497</f>
        <v>0</v>
      </c>
      <c r="I497">
        <f>발송처리!AW497</f>
        <v>0</v>
      </c>
      <c r="K497" t="e">
        <f t="shared" si="9"/>
        <v>#N/A</v>
      </c>
      <c r="L497">
        <f>발송처리!AU497</f>
        <v>0</v>
      </c>
      <c r="M497">
        <f>발송처리!AP497</f>
        <v>0</v>
      </c>
      <c r="N497">
        <f>발송처리!AV497</f>
        <v>0</v>
      </c>
      <c r="O497">
        <f>발송처리!AR497</f>
        <v>0</v>
      </c>
      <c r="P497">
        <f>발송처리!K497</f>
        <v>0</v>
      </c>
      <c r="Q497" s="2">
        <f>발송처리!AC497</f>
        <v>0</v>
      </c>
    </row>
    <row r="498" spans="1:17">
      <c r="A498">
        <f>발송처리!A498</f>
        <v>0</v>
      </c>
      <c r="B498">
        <f>발송처리!M498</f>
        <v>0</v>
      </c>
      <c r="E498" t="e">
        <f>VLOOKUP(발송처리!V498,'상품DB(수정x)'!B:E,2,0)</f>
        <v>#N/A</v>
      </c>
      <c r="F498" s="13" t="e">
        <f>VLOOKUP(발송처리!V498,'상품DB(수정x)'!B:E,4,0)</f>
        <v>#N/A</v>
      </c>
      <c r="G498" s="8">
        <f>발송처리!X498</f>
        <v>0</v>
      </c>
      <c r="I498">
        <f>발송처리!AW498</f>
        <v>0</v>
      </c>
      <c r="K498" t="e">
        <f t="shared" si="9"/>
        <v>#N/A</v>
      </c>
      <c r="L498">
        <f>발송처리!AU498</f>
        <v>0</v>
      </c>
      <c r="M498">
        <f>발송처리!AP498</f>
        <v>0</v>
      </c>
      <c r="N498">
        <f>발송처리!AV498</f>
        <v>0</v>
      </c>
      <c r="O498">
        <f>발송처리!AR498</f>
        <v>0</v>
      </c>
      <c r="P498">
        <f>발송처리!K498</f>
        <v>0</v>
      </c>
      <c r="Q498" s="2">
        <f>발송처리!AC498</f>
        <v>0</v>
      </c>
    </row>
    <row r="499" spans="1:17">
      <c r="A499">
        <f>발송처리!A499</f>
        <v>0</v>
      </c>
      <c r="B499">
        <f>발송처리!M499</f>
        <v>0</v>
      </c>
      <c r="E499" t="e">
        <f>VLOOKUP(발송처리!V499,'상품DB(수정x)'!B:E,2,0)</f>
        <v>#N/A</v>
      </c>
      <c r="F499" s="13" t="e">
        <f>VLOOKUP(발송처리!V499,'상품DB(수정x)'!B:E,4,0)</f>
        <v>#N/A</v>
      </c>
      <c r="G499" s="8">
        <f>발송처리!X499</f>
        <v>0</v>
      </c>
      <c r="I499">
        <f>발송처리!AW499</f>
        <v>0</v>
      </c>
      <c r="K499" t="e">
        <f t="shared" si="9"/>
        <v>#N/A</v>
      </c>
      <c r="L499">
        <f>발송처리!AU499</f>
        <v>0</v>
      </c>
      <c r="M499">
        <f>발송처리!AP499</f>
        <v>0</v>
      </c>
      <c r="N499">
        <f>발송처리!AV499</f>
        <v>0</v>
      </c>
      <c r="O499">
        <f>발송처리!AR499</f>
        <v>0</v>
      </c>
      <c r="P499">
        <f>발송처리!K499</f>
        <v>0</v>
      </c>
      <c r="Q499" s="2">
        <f>발송처리!AC499</f>
        <v>0</v>
      </c>
    </row>
    <row r="500" spans="1:17">
      <c r="A500">
        <f>발송처리!A500</f>
        <v>0</v>
      </c>
      <c r="B500">
        <f>발송처리!M500</f>
        <v>0</v>
      </c>
      <c r="E500" t="e">
        <f>VLOOKUP(발송처리!V500,'상품DB(수정x)'!B:E,2,0)</f>
        <v>#N/A</v>
      </c>
      <c r="F500" s="13" t="e">
        <f>VLOOKUP(발송처리!V500,'상품DB(수정x)'!B:E,4,0)</f>
        <v>#N/A</v>
      </c>
      <c r="G500" s="8">
        <f>발송처리!X500</f>
        <v>0</v>
      </c>
      <c r="I500">
        <f>발송처리!AW500</f>
        <v>0</v>
      </c>
      <c r="K500" t="e">
        <f t="shared" si="9"/>
        <v>#N/A</v>
      </c>
      <c r="L500">
        <f>발송처리!AU500</f>
        <v>0</v>
      </c>
      <c r="M500">
        <f>발송처리!AP500</f>
        <v>0</v>
      </c>
      <c r="N500">
        <f>발송처리!AV500</f>
        <v>0</v>
      </c>
      <c r="O500">
        <f>발송처리!AR500</f>
        <v>0</v>
      </c>
      <c r="P500">
        <f>발송처리!K500</f>
        <v>0</v>
      </c>
      <c r="Q500" s="2">
        <f>발송처리!AC500</f>
        <v>0</v>
      </c>
    </row>
    <row r="501" spans="1:17">
      <c r="A501">
        <f>발송처리!A501</f>
        <v>0</v>
      </c>
      <c r="B501">
        <f>발송처리!M501</f>
        <v>0</v>
      </c>
      <c r="E501" t="e">
        <f>VLOOKUP(발송처리!V501,'상품DB(수정x)'!B:E,2,0)</f>
        <v>#N/A</v>
      </c>
      <c r="F501" s="13" t="e">
        <f>VLOOKUP(발송처리!V501,'상품DB(수정x)'!B:E,4,0)</f>
        <v>#N/A</v>
      </c>
      <c r="G501" s="8">
        <f>발송처리!X501</f>
        <v>0</v>
      </c>
      <c r="I501">
        <f>발송처리!AW501</f>
        <v>0</v>
      </c>
      <c r="K501" t="e">
        <f t="shared" si="9"/>
        <v>#N/A</v>
      </c>
      <c r="L501">
        <f>발송처리!AU501</f>
        <v>0</v>
      </c>
      <c r="M501">
        <f>발송처리!AP501</f>
        <v>0</v>
      </c>
      <c r="N501">
        <f>발송처리!AV501</f>
        <v>0</v>
      </c>
      <c r="O501">
        <f>발송처리!AR501</f>
        <v>0</v>
      </c>
      <c r="P501">
        <f>발송처리!K501</f>
        <v>0</v>
      </c>
      <c r="Q501" s="2">
        <f>발송처리!AC501</f>
        <v>0</v>
      </c>
    </row>
    <row r="502" spans="1:17">
      <c r="A502">
        <f>발송처리!A502</f>
        <v>0</v>
      </c>
      <c r="B502">
        <f>발송처리!M502</f>
        <v>0</v>
      </c>
      <c r="E502" t="e">
        <f>VLOOKUP(발송처리!V502,'상품DB(수정x)'!B:E,2,0)</f>
        <v>#N/A</v>
      </c>
      <c r="F502" s="13" t="e">
        <f>VLOOKUP(발송처리!V502,'상품DB(수정x)'!B:E,4,0)</f>
        <v>#N/A</v>
      </c>
      <c r="G502" s="8">
        <f>발송처리!X502</f>
        <v>0</v>
      </c>
      <c r="I502">
        <f>발송처리!AW502</f>
        <v>0</v>
      </c>
      <c r="K502" t="e">
        <f t="shared" si="9"/>
        <v>#N/A</v>
      </c>
      <c r="L502">
        <f>발송처리!AU502</f>
        <v>0</v>
      </c>
      <c r="M502">
        <f>발송처리!AP502</f>
        <v>0</v>
      </c>
      <c r="N502">
        <f>발송처리!AV502</f>
        <v>0</v>
      </c>
      <c r="O502">
        <f>발송처리!AR502</f>
        <v>0</v>
      </c>
      <c r="P502">
        <f>발송처리!K502</f>
        <v>0</v>
      </c>
      <c r="Q502" s="2">
        <f>발송처리!AC502</f>
        <v>0</v>
      </c>
    </row>
    <row r="503" spans="1:17">
      <c r="A503">
        <f>발송처리!A503</f>
        <v>0</v>
      </c>
      <c r="B503">
        <f>발송처리!M503</f>
        <v>0</v>
      </c>
      <c r="E503" t="e">
        <f>VLOOKUP(발송처리!V503,'상품DB(수정x)'!B:E,2,0)</f>
        <v>#N/A</v>
      </c>
      <c r="F503" s="13" t="e">
        <f>VLOOKUP(발송처리!V503,'상품DB(수정x)'!B:E,4,0)</f>
        <v>#N/A</v>
      </c>
      <c r="G503" s="8">
        <f>발송처리!X503</f>
        <v>0</v>
      </c>
      <c r="I503">
        <f>발송처리!AW503</f>
        <v>0</v>
      </c>
      <c r="K503" t="e">
        <f t="shared" si="9"/>
        <v>#N/A</v>
      </c>
      <c r="L503">
        <f>발송처리!AU503</f>
        <v>0</v>
      </c>
      <c r="M503">
        <f>발송처리!AP503</f>
        <v>0</v>
      </c>
      <c r="N503">
        <f>발송처리!AV503</f>
        <v>0</v>
      </c>
      <c r="O503">
        <f>발송처리!AR503</f>
        <v>0</v>
      </c>
      <c r="P503">
        <f>발송처리!K503</f>
        <v>0</v>
      </c>
      <c r="Q503" s="2">
        <f>발송처리!AC503</f>
        <v>0</v>
      </c>
    </row>
    <row r="504" spans="1:17">
      <c r="A504">
        <f>발송처리!A504</f>
        <v>0</v>
      </c>
      <c r="B504">
        <f>발송처리!M504</f>
        <v>0</v>
      </c>
      <c r="E504" t="e">
        <f>VLOOKUP(발송처리!V504,'상품DB(수정x)'!B:E,2,0)</f>
        <v>#N/A</v>
      </c>
      <c r="F504" s="13" t="e">
        <f>VLOOKUP(발송처리!V504,'상품DB(수정x)'!B:E,4,0)</f>
        <v>#N/A</v>
      </c>
      <c r="G504" s="8">
        <f>발송처리!X504</f>
        <v>0</v>
      </c>
      <c r="I504">
        <f>발송처리!AW504</f>
        <v>0</v>
      </c>
      <c r="K504" t="e">
        <f t="shared" si="9"/>
        <v>#N/A</v>
      </c>
      <c r="L504">
        <f>발송처리!AU504</f>
        <v>0</v>
      </c>
      <c r="M504">
        <f>발송처리!AP504</f>
        <v>0</v>
      </c>
      <c r="N504">
        <f>발송처리!AV504</f>
        <v>0</v>
      </c>
      <c r="O504">
        <f>발송처리!AR504</f>
        <v>0</v>
      </c>
      <c r="P504">
        <f>발송처리!K504</f>
        <v>0</v>
      </c>
      <c r="Q504" s="2">
        <f>발송처리!AC504</f>
        <v>0</v>
      </c>
    </row>
    <row r="505" spans="1:17">
      <c r="A505">
        <f>발송처리!A505</f>
        <v>0</v>
      </c>
      <c r="B505">
        <f>발송처리!M505</f>
        <v>0</v>
      </c>
      <c r="E505" t="e">
        <f>VLOOKUP(발송처리!V505,'상품DB(수정x)'!B:E,2,0)</f>
        <v>#N/A</v>
      </c>
      <c r="F505" s="13" t="e">
        <f>VLOOKUP(발송처리!V505,'상품DB(수정x)'!B:E,4,0)</f>
        <v>#N/A</v>
      </c>
      <c r="G505" s="8">
        <f>발송처리!X505</f>
        <v>0</v>
      </c>
      <c r="I505">
        <f>발송처리!AW505</f>
        <v>0</v>
      </c>
      <c r="K505" t="e">
        <f t="shared" si="9"/>
        <v>#N/A</v>
      </c>
      <c r="L505">
        <f>발송처리!AU505</f>
        <v>0</v>
      </c>
      <c r="M505">
        <f>발송처리!AP505</f>
        <v>0</v>
      </c>
      <c r="N505">
        <f>발송처리!AV505</f>
        <v>0</v>
      </c>
      <c r="O505">
        <f>발송처리!AR505</f>
        <v>0</v>
      </c>
      <c r="P505">
        <f>발송처리!K505</f>
        <v>0</v>
      </c>
      <c r="Q505" s="2">
        <f>발송처리!AC505</f>
        <v>0</v>
      </c>
    </row>
    <row r="506" spans="1:17">
      <c r="A506">
        <f>발송처리!A506</f>
        <v>0</v>
      </c>
      <c r="B506">
        <f>발송처리!M506</f>
        <v>0</v>
      </c>
      <c r="E506" t="e">
        <f>VLOOKUP(발송처리!V506,'상품DB(수정x)'!B:E,2,0)</f>
        <v>#N/A</v>
      </c>
      <c r="F506" s="13" t="e">
        <f>VLOOKUP(발송처리!V506,'상품DB(수정x)'!B:E,4,0)</f>
        <v>#N/A</v>
      </c>
      <c r="G506" s="8">
        <f>발송처리!X506</f>
        <v>0</v>
      </c>
      <c r="I506">
        <f>발송처리!AW506</f>
        <v>0</v>
      </c>
      <c r="K506" t="e">
        <f t="shared" si="9"/>
        <v>#N/A</v>
      </c>
      <c r="L506">
        <f>발송처리!AU506</f>
        <v>0</v>
      </c>
      <c r="M506">
        <f>발송처리!AP506</f>
        <v>0</v>
      </c>
      <c r="N506">
        <f>발송처리!AV506</f>
        <v>0</v>
      </c>
      <c r="O506">
        <f>발송처리!AR506</f>
        <v>0</v>
      </c>
      <c r="P506">
        <f>발송처리!K506</f>
        <v>0</v>
      </c>
      <c r="Q506" s="2">
        <f>발송처리!AC506</f>
        <v>0</v>
      </c>
    </row>
    <row r="507" spans="1:17">
      <c r="A507">
        <f>발송처리!A507</f>
        <v>0</v>
      </c>
      <c r="B507">
        <f>발송처리!M507</f>
        <v>0</v>
      </c>
      <c r="E507" t="e">
        <f>VLOOKUP(발송처리!V507,'상품DB(수정x)'!B:E,2,0)</f>
        <v>#N/A</v>
      </c>
      <c r="F507" s="13" t="e">
        <f>VLOOKUP(발송처리!V507,'상품DB(수정x)'!B:E,4,0)</f>
        <v>#N/A</v>
      </c>
      <c r="G507" s="8">
        <f>발송처리!X507</f>
        <v>0</v>
      </c>
      <c r="I507">
        <f>발송처리!AW507</f>
        <v>0</v>
      </c>
      <c r="K507" t="e">
        <f t="shared" si="9"/>
        <v>#N/A</v>
      </c>
      <c r="L507">
        <f>발송처리!AU507</f>
        <v>0</v>
      </c>
      <c r="M507">
        <f>발송처리!AP507</f>
        <v>0</v>
      </c>
      <c r="N507">
        <f>발송처리!AV507</f>
        <v>0</v>
      </c>
      <c r="O507">
        <f>발송처리!AR507</f>
        <v>0</v>
      </c>
      <c r="P507">
        <f>발송처리!K507</f>
        <v>0</v>
      </c>
      <c r="Q507" s="2">
        <f>발송처리!AC507</f>
        <v>0</v>
      </c>
    </row>
    <row r="508" spans="1:17">
      <c r="A508">
        <f>발송처리!A508</f>
        <v>0</v>
      </c>
      <c r="B508">
        <f>발송처리!M508</f>
        <v>0</v>
      </c>
      <c r="E508" t="e">
        <f>VLOOKUP(발송처리!V508,'상품DB(수정x)'!B:E,2,0)</f>
        <v>#N/A</v>
      </c>
      <c r="F508" s="13" t="e">
        <f>VLOOKUP(발송처리!V508,'상품DB(수정x)'!B:E,4,0)</f>
        <v>#N/A</v>
      </c>
      <c r="G508" s="8">
        <f>발송처리!X508</f>
        <v>0</v>
      </c>
      <c r="I508">
        <f>발송처리!AW508</f>
        <v>0</v>
      </c>
      <c r="K508" t="e">
        <f t="shared" si="9"/>
        <v>#N/A</v>
      </c>
      <c r="L508">
        <f>발송처리!AU508</f>
        <v>0</v>
      </c>
      <c r="M508">
        <f>발송처리!AP508</f>
        <v>0</v>
      </c>
      <c r="N508">
        <f>발송처리!AV508</f>
        <v>0</v>
      </c>
      <c r="O508">
        <f>발송처리!AR508</f>
        <v>0</v>
      </c>
      <c r="P508">
        <f>발송처리!K508</f>
        <v>0</v>
      </c>
      <c r="Q508" s="2">
        <f>발송처리!AC508</f>
        <v>0</v>
      </c>
    </row>
    <row r="509" spans="1:17">
      <c r="A509">
        <f>발송처리!A509</f>
        <v>0</v>
      </c>
      <c r="B509">
        <f>발송처리!M509</f>
        <v>0</v>
      </c>
      <c r="E509" t="e">
        <f>VLOOKUP(발송처리!V509,'상품DB(수정x)'!B:E,2,0)</f>
        <v>#N/A</v>
      </c>
      <c r="F509" s="13" t="e">
        <f>VLOOKUP(발송처리!V509,'상품DB(수정x)'!B:E,4,0)</f>
        <v>#N/A</v>
      </c>
      <c r="G509" s="8">
        <f>발송처리!X509</f>
        <v>0</v>
      </c>
      <c r="I509">
        <f>발송처리!AW509</f>
        <v>0</v>
      </c>
      <c r="K509" t="e">
        <f t="shared" si="9"/>
        <v>#N/A</v>
      </c>
      <c r="L509">
        <f>발송처리!AU509</f>
        <v>0</v>
      </c>
      <c r="M509">
        <f>발송처리!AP509</f>
        <v>0</v>
      </c>
      <c r="N509">
        <f>발송처리!AV509</f>
        <v>0</v>
      </c>
      <c r="O509">
        <f>발송처리!AR509</f>
        <v>0</v>
      </c>
      <c r="P509">
        <f>발송처리!K509</f>
        <v>0</v>
      </c>
      <c r="Q509" s="2">
        <f>발송처리!AC509</f>
        <v>0</v>
      </c>
    </row>
    <row r="510" spans="1:17">
      <c r="A510">
        <f>발송처리!A510</f>
        <v>0</v>
      </c>
      <c r="B510">
        <f>발송처리!M510</f>
        <v>0</v>
      </c>
      <c r="E510" t="e">
        <f>VLOOKUP(발송처리!V510,'상품DB(수정x)'!B:E,2,0)</f>
        <v>#N/A</v>
      </c>
      <c r="F510" s="13" t="e">
        <f>VLOOKUP(발송처리!V510,'상품DB(수정x)'!B:E,4,0)</f>
        <v>#N/A</v>
      </c>
      <c r="G510" s="8">
        <f>발송처리!X510</f>
        <v>0</v>
      </c>
      <c r="I510">
        <f>발송처리!AW510</f>
        <v>0</v>
      </c>
      <c r="K510" t="e">
        <f t="shared" si="9"/>
        <v>#N/A</v>
      </c>
      <c r="L510">
        <f>발송처리!AU510</f>
        <v>0</v>
      </c>
      <c r="M510">
        <f>발송처리!AP510</f>
        <v>0</v>
      </c>
      <c r="N510">
        <f>발송처리!AV510</f>
        <v>0</v>
      </c>
      <c r="O510">
        <f>발송처리!AR510</f>
        <v>0</v>
      </c>
      <c r="P510">
        <f>발송처리!K510</f>
        <v>0</v>
      </c>
      <c r="Q510" s="2">
        <f>발송처리!AC510</f>
        <v>0</v>
      </c>
    </row>
    <row r="511" spans="1:17">
      <c r="A511">
        <f>발송처리!A511</f>
        <v>0</v>
      </c>
      <c r="B511">
        <f>발송처리!M511</f>
        <v>0</v>
      </c>
      <c r="E511" t="e">
        <f>VLOOKUP(발송처리!V511,'상품DB(수정x)'!B:E,2,0)</f>
        <v>#N/A</v>
      </c>
      <c r="F511" s="13" t="e">
        <f>VLOOKUP(발송처리!V511,'상품DB(수정x)'!B:E,4,0)</f>
        <v>#N/A</v>
      </c>
      <c r="G511" s="8">
        <f>발송처리!X511</f>
        <v>0</v>
      </c>
      <c r="I511">
        <f>발송처리!AW511</f>
        <v>0</v>
      </c>
      <c r="K511" t="e">
        <f t="shared" si="9"/>
        <v>#N/A</v>
      </c>
      <c r="L511">
        <f>발송처리!AU511</f>
        <v>0</v>
      </c>
      <c r="M511">
        <f>발송처리!AP511</f>
        <v>0</v>
      </c>
      <c r="N511">
        <f>발송처리!AV511</f>
        <v>0</v>
      </c>
      <c r="O511">
        <f>발송처리!AR511</f>
        <v>0</v>
      </c>
      <c r="P511">
        <f>발송처리!K511</f>
        <v>0</v>
      </c>
      <c r="Q511" s="2">
        <f>발송처리!AC511</f>
        <v>0</v>
      </c>
    </row>
    <row r="512" spans="1:17">
      <c r="A512">
        <f>발송처리!A512</f>
        <v>0</v>
      </c>
      <c r="B512">
        <f>발송처리!M512</f>
        <v>0</v>
      </c>
      <c r="E512" t="e">
        <f>VLOOKUP(발송처리!V512,'상품DB(수정x)'!B:E,2,0)</f>
        <v>#N/A</v>
      </c>
      <c r="F512" s="13" t="e">
        <f>VLOOKUP(발송처리!V512,'상품DB(수정x)'!B:E,4,0)</f>
        <v>#N/A</v>
      </c>
      <c r="G512" s="8">
        <f>발송처리!X512</f>
        <v>0</v>
      </c>
      <c r="I512">
        <f>발송처리!AW512</f>
        <v>0</v>
      </c>
      <c r="K512" t="e">
        <f t="shared" si="9"/>
        <v>#N/A</v>
      </c>
      <c r="L512">
        <f>발송처리!AU512</f>
        <v>0</v>
      </c>
      <c r="M512">
        <f>발송처리!AP512</f>
        <v>0</v>
      </c>
      <c r="N512">
        <f>발송처리!AV512</f>
        <v>0</v>
      </c>
      <c r="O512">
        <f>발송처리!AR512</f>
        <v>0</v>
      </c>
      <c r="P512">
        <f>발송처리!K512</f>
        <v>0</v>
      </c>
      <c r="Q512" s="2">
        <f>발송처리!AC512</f>
        <v>0</v>
      </c>
    </row>
    <row r="513" spans="1:17">
      <c r="A513">
        <f>발송처리!A513</f>
        <v>0</v>
      </c>
      <c r="B513">
        <f>발송처리!M513</f>
        <v>0</v>
      </c>
      <c r="E513" t="e">
        <f>VLOOKUP(발송처리!V513,'상품DB(수정x)'!B:E,2,0)</f>
        <v>#N/A</v>
      </c>
      <c r="F513" s="13" t="e">
        <f>VLOOKUP(발송처리!V513,'상품DB(수정x)'!B:E,4,0)</f>
        <v>#N/A</v>
      </c>
      <c r="G513" s="8">
        <f>발송처리!X513</f>
        <v>0</v>
      </c>
      <c r="I513">
        <f>발송처리!AW513</f>
        <v>0</v>
      </c>
      <c r="K513" t="e">
        <f t="shared" si="9"/>
        <v>#N/A</v>
      </c>
      <c r="L513">
        <f>발송처리!AU513</f>
        <v>0</v>
      </c>
      <c r="M513">
        <f>발송처리!AP513</f>
        <v>0</v>
      </c>
      <c r="N513">
        <f>발송처리!AV513</f>
        <v>0</v>
      </c>
      <c r="O513">
        <f>발송처리!AR513</f>
        <v>0</v>
      </c>
      <c r="P513">
        <f>발송처리!K513</f>
        <v>0</v>
      </c>
      <c r="Q513" s="2">
        <f>발송처리!AC513</f>
        <v>0</v>
      </c>
    </row>
    <row r="514" spans="1:17">
      <c r="A514">
        <f>발송처리!A514</f>
        <v>0</v>
      </c>
      <c r="B514">
        <f>발송처리!M514</f>
        <v>0</v>
      </c>
      <c r="E514" t="e">
        <f>VLOOKUP(발송처리!V514,'상품DB(수정x)'!B:E,2,0)</f>
        <v>#N/A</v>
      </c>
      <c r="F514" s="13" t="e">
        <f>VLOOKUP(발송처리!V514,'상품DB(수정x)'!B:E,4,0)</f>
        <v>#N/A</v>
      </c>
      <c r="G514" s="8">
        <f>발송처리!X514</f>
        <v>0</v>
      </c>
      <c r="I514">
        <f>발송처리!AW514</f>
        <v>0</v>
      </c>
      <c r="K514" t="e">
        <f t="shared" si="9"/>
        <v>#N/A</v>
      </c>
      <c r="L514">
        <f>발송처리!AU514</f>
        <v>0</v>
      </c>
      <c r="M514">
        <f>발송처리!AP514</f>
        <v>0</v>
      </c>
      <c r="N514">
        <f>발송처리!AV514</f>
        <v>0</v>
      </c>
      <c r="O514">
        <f>발송처리!AR514</f>
        <v>0</v>
      </c>
      <c r="P514">
        <f>발송처리!K514</f>
        <v>0</v>
      </c>
      <c r="Q514" s="2">
        <f>발송처리!AC514</f>
        <v>0</v>
      </c>
    </row>
    <row r="515" spans="1:17">
      <c r="A515">
        <f>발송처리!A515</f>
        <v>0</v>
      </c>
      <c r="B515">
        <f>발송처리!M515</f>
        <v>0</v>
      </c>
      <c r="E515" t="e">
        <f>VLOOKUP(발송처리!V515,'상품DB(수정x)'!B:E,2,0)</f>
        <v>#N/A</v>
      </c>
      <c r="F515" s="13" t="e">
        <f>VLOOKUP(발송처리!V515,'상품DB(수정x)'!B:E,4,0)</f>
        <v>#N/A</v>
      </c>
      <c r="G515" s="8">
        <f>발송처리!X515</f>
        <v>0</v>
      </c>
      <c r="I515">
        <f>발송처리!AW515</f>
        <v>0</v>
      </c>
      <c r="K515" t="e">
        <f t="shared" ref="K515:K578" si="10">IF(LEFT(E515,1)="2","",IF(LEFT(E515,1)="4","",IF(Q515&gt;=500000,"★증정★테이프20mx2",IF(Q515&gt;=95000,"★증정★테이프20mx1",""))))</f>
        <v>#N/A</v>
      </c>
      <c r="L515">
        <f>발송처리!AU515</f>
        <v>0</v>
      </c>
      <c r="M515">
        <f>발송처리!AP515</f>
        <v>0</v>
      </c>
      <c r="N515">
        <f>발송처리!AV515</f>
        <v>0</v>
      </c>
      <c r="O515">
        <f>발송처리!AR515</f>
        <v>0</v>
      </c>
      <c r="P515">
        <f>발송처리!K515</f>
        <v>0</v>
      </c>
      <c r="Q515" s="2">
        <f>발송처리!AC515</f>
        <v>0</v>
      </c>
    </row>
    <row r="516" spans="1:17">
      <c r="A516">
        <f>발송처리!A516</f>
        <v>0</v>
      </c>
      <c r="B516">
        <f>발송처리!M516</f>
        <v>0</v>
      </c>
      <c r="E516" t="e">
        <f>VLOOKUP(발송처리!V516,'상품DB(수정x)'!B:E,2,0)</f>
        <v>#N/A</v>
      </c>
      <c r="F516" s="13" t="e">
        <f>VLOOKUP(발송처리!V516,'상품DB(수정x)'!B:E,4,0)</f>
        <v>#N/A</v>
      </c>
      <c r="G516" s="8">
        <f>발송처리!X516</f>
        <v>0</v>
      </c>
      <c r="I516">
        <f>발송처리!AW516</f>
        <v>0</v>
      </c>
      <c r="K516" t="e">
        <f t="shared" si="10"/>
        <v>#N/A</v>
      </c>
      <c r="L516">
        <f>발송처리!AU516</f>
        <v>0</v>
      </c>
      <c r="M516">
        <f>발송처리!AP516</f>
        <v>0</v>
      </c>
      <c r="N516">
        <f>발송처리!AV516</f>
        <v>0</v>
      </c>
      <c r="O516">
        <f>발송처리!AR516</f>
        <v>0</v>
      </c>
      <c r="P516">
        <f>발송처리!K516</f>
        <v>0</v>
      </c>
      <c r="Q516" s="2">
        <f>발송처리!AC516</f>
        <v>0</v>
      </c>
    </row>
    <row r="517" spans="1:17">
      <c r="A517">
        <f>발송처리!A517</f>
        <v>0</v>
      </c>
      <c r="B517">
        <f>발송처리!M517</f>
        <v>0</v>
      </c>
      <c r="E517" t="e">
        <f>VLOOKUP(발송처리!V517,'상품DB(수정x)'!B:E,2,0)</f>
        <v>#N/A</v>
      </c>
      <c r="F517" s="13" t="e">
        <f>VLOOKUP(발송처리!V517,'상품DB(수정x)'!B:E,4,0)</f>
        <v>#N/A</v>
      </c>
      <c r="G517" s="8">
        <f>발송처리!X517</f>
        <v>0</v>
      </c>
      <c r="I517">
        <f>발송처리!AW517</f>
        <v>0</v>
      </c>
      <c r="K517" t="e">
        <f t="shared" si="10"/>
        <v>#N/A</v>
      </c>
      <c r="L517">
        <f>발송처리!AU517</f>
        <v>0</v>
      </c>
      <c r="M517">
        <f>발송처리!AP517</f>
        <v>0</v>
      </c>
      <c r="N517">
        <f>발송처리!AV517</f>
        <v>0</v>
      </c>
      <c r="O517">
        <f>발송처리!AR517</f>
        <v>0</v>
      </c>
      <c r="P517">
        <f>발송처리!K517</f>
        <v>0</v>
      </c>
      <c r="Q517" s="2">
        <f>발송처리!AC517</f>
        <v>0</v>
      </c>
    </row>
    <row r="518" spans="1:17">
      <c r="A518">
        <f>발송처리!A518</f>
        <v>0</v>
      </c>
      <c r="B518">
        <f>발송처리!M518</f>
        <v>0</v>
      </c>
      <c r="E518" t="e">
        <f>VLOOKUP(발송처리!V518,'상품DB(수정x)'!B:E,2,0)</f>
        <v>#N/A</v>
      </c>
      <c r="F518" s="13" t="e">
        <f>VLOOKUP(발송처리!V518,'상품DB(수정x)'!B:E,4,0)</f>
        <v>#N/A</v>
      </c>
      <c r="G518" s="8">
        <f>발송처리!X518</f>
        <v>0</v>
      </c>
      <c r="I518">
        <f>발송처리!AW518</f>
        <v>0</v>
      </c>
      <c r="K518" t="e">
        <f t="shared" si="10"/>
        <v>#N/A</v>
      </c>
      <c r="L518">
        <f>발송처리!AU518</f>
        <v>0</v>
      </c>
      <c r="M518">
        <f>발송처리!AP518</f>
        <v>0</v>
      </c>
      <c r="N518">
        <f>발송처리!AV518</f>
        <v>0</v>
      </c>
      <c r="O518">
        <f>발송처리!AR518</f>
        <v>0</v>
      </c>
      <c r="P518">
        <f>발송처리!K518</f>
        <v>0</v>
      </c>
      <c r="Q518" s="2">
        <f>발송처리!AC518</f>
        <v>0</v>
      </c>
    </row>
    <row r="519" spans="1:17">
      <c r="A519">
        <f>발송처리!A519</f>
        <v>0</v>
      </c>
      <c r="B519">
        <f>발송처리!M519</f>
        <v>0</v>
      </c>
      <c r="E519" t="e">
        <f>VLOOKUP(발송처리!V519,'상품DB(수정x)'!B:E,2,0)</f>
        <v>#N/A</v>
      </c>
      <c r="F519" s="13" t="e">
        <f>VLOOKUP(발송처리!V519,'상품DB(수정x)'!B:E,4,0)</f>
        <v>#N/A</v>
      </c>
      <c r="G519" s="8">
        <f>발송처리!X519</f>
        <v>0</v>
      </c>
      <c r="I519">
        <f>발송처리!AW519</f>
        <v>0</v>
      </c>
      <c r="K519" t="e">
        <f t="shared" si="10"/>
        <v>#N/A</v>
      </c>
      <c r="L519">
        <f>발송처리!AU519</f>
        <v>0</v>
      </c>
      <c r="M519">
        <f>발송처리!AP519</f>
        <v>0</v>
      </c>
      <c r="N519">
        <f>발송처리!AV519</f>
        <v>0</v>
      </c>
      <c r="O519">
        <f>발송처리!AR519</f>
        <v>0</v>
      </c>
      <c r="P519">
        <f>발송처리!K519</f>
        <v>0</v>
      </c>
      <c r="Q519" s="2">
        <f>발송처리!AC519</f>
        <v>0</v>
      </c>
    </row>
    <row r="520" spans="1:17">
      <c r="A520">
        <f>발송처리!A520</f>
        <v>0</v>
      </c>
      <c r="B520">
        <f>발송처리!M520</f>
        <v>0</v>
      </c>
      <c r="E520" t="e">
        <f>VLOOKUP(발송처리!V520,'상품DB(수정x)'!B:E,2,0)</f>
        <v>#N/A</v>
      </c>
      <c r="F520" s="13" t="e">
        <f>VLOOKUP(발송처리!V520,'상품DB(수정x)'!B:E,4,0)</f>
        <v>#N/A</v>
      </c>
      <c r="G520" s="8">
        <f>발송처리!X520</f>
        <v>0</v>
      </c>
      <c r="I520">
        <f>발송처리!AW520</f>
        <v>0</v>
      </c>
      <c r="K520" t="e">
        <f t="shared" si="10"/>
        <v>#N/A</v>
      </c>
      <c r="L520">
        <f>발송처리!AU520</f>
        <v>0</v>
      </c>
      <c r="M520">
        <f>발송처리!AP520</f>
        <v>0</v>
      </c>
      <c r="N520">
        <f>발송처리!AV520</f>
        <v>0</v>
      </c>
      <c r="O520">
        <f>발송처리!AR520</f>
        <v>0</v>
      </c>
      <c r="P520">
        <f>발송처리!K520</f>
        <v>0</v>
      </c>
      <c r="Q520" s="2">
        <f>발송처리!AC520</f>
        <v>0</v>
      </c>
    </row>
    <row r="521" spans="1:17">
      <c r="A521">
        <f>발송처리!A521</f>
        <v>0</v>
      </c>
      <c r="B521">
        <f>발송처리!M521</f>
        <v>0</v>
      </c>
      <c r="E521" t="e">
        <f>VLOOKUP(발송처리!V521,'상품DB(수정x)'!B:E,2,0)</f>
        <v>#N/A</v>
      </c>
      <c r="F521" s="13" t="e">
        <f>VLOOKUP(발송처리!V521,'상품DB(수정x)'!B:E,4,0)</f>
        <v>#N/A</v>
      </c>
      <c r="G521" s="8">
        <f>발송처리!X521</f>
        <v>0</v>
      </c>
      <c r="I521">
        <f>발송처리!AW521</f>
        <v>0</v>
      </c>
      <c r="K521" t="e">
        <f t="shared" si="10"/>
        <v>#N/A</v>
      </c>
      <c r="L521">
        <f>발송처리!AU521</f>
        <v>0</v>
      </c>
      <c r="M521">
        <f>발송처리!AP521</f>
        <v>0</v>
      </c>
      <c r="N521">
        <f>발송처리!AV521</f>
        <v>0</v>
      </c>
      <c r="O521">
        <f>발송처리!AR521</f>
        <v>0</v>
      </c>
      <c r="P521">
        <f>발송처리!K521</f>
        <v>0</v>
      </c>
      <c r="Q521" s="2">
        <f>발송처리!AC521</f>
        <v>0</v>
      </c>
    </row>
    <row r="522" spans="1:17">
      <c r="A522">
        <f>발송처리!A522</f>
        <v>0</v>
      </c>
      <c r="B522">
        <f>발송처리!M522</f>
        <v>0</v>
      </c>
      <c r="E522" t="e">
        <f>VLOOKUP(발송처리!V522,'상품DB(수정x)'!B:E,2,0)</f>
        <v>#N/A</v>
      </c>
      <c r="F522" s="13" t="e">
        <f>VLOOKUP(발송처리!V522,'상품DB(수정x)'!B:E,4,0)</f>
        <v>#N/A</v>
      </c>
      <c r="G522" s="8">
        <f>발송처리!X522</f>
        <v>0</v>
      </c>
      <c r="I522">
        <f>발송처리!AW522</f>
        <v>0</v>
      </c>
      <c r="K522" t="e">
        <f t="shared" si="10"/>
        <v>#N/A</v>
      </c>
      <c r="L522">
        <f>발송처리!AU522</f>
        <v>0</v>
      </c>
      <c r="M522">
        <f>발송처리!AP522</f>
        <v>0</v>
      </c>
      <c r="N522">
        <f>발송처리!AV522</f>
        <v>0</v>
      </c>
      <c r="O522">
        <f>발송처리!AR522</f>
        <v>0</v>
      </c>
      <c r="P522">
        <f>발송처리!K522</f>
        <v>0</v>
      </c>
      <c r="Q522" s="2">
        <f>발송처리!AC522</f>
        <v>0</v>
      </c>
    </row>
    <row r="523" spans="1:17">
      <c r="A523">
        <f>발송처리!A523</f>
        <v>0</v>
      </c>
      <c r="B523">
        <f>발송처리!M523</f>
        <v>0</v>
      </c>
      <c r="E523" t="e">
        <f>VLOOKUP(발송처리!V523,'상품DB(수정x)'!B:E,2,0)</f>
        <v>#N/A</v>
      </c>
      <c r="F523" s="13" t="e">
        <f>VLOOKUP(발송처리!V523,'상품DB(수정x)'!B:E,4,0)</f>
        <v>#N/A</v>
      </c>
      <c r="G523" s="8">
        <f>발송처리!X523</f>
        <v>0</v>
      </c>
      <c r="I523">
        <f>발송처리!AW523</f>
        <v>0</v>
      </c>
      <c r="K523" t="e">
        <f t="shared" si="10"/>
        <v>#N/A</v>
      </c>
      <c r="L523">
        <f>발송처리!AU523</f>
        <v>0</v>
      </c>
      <c r="M523">
        <f>발송처리!AP523</f>
        <v>0</v>
      </c>
      <c r="N523">
        <f>발송처리!AV523</f>
        <v>0</v>
      </c>
      <c r="O523">
        <f>발송처리!AR523</f>
        <v>0</v>
      </c>
      <c r="P523">
        <f>발송처리!K523</f>
        <v>0</v>
      </c>
      <c r="Q523" s="2">
        <f>발송처리!AC523</f>
        <v>0</v>
      </c>
    </row>
    <row r="524" spans="1:17">
      <c r="A524">
        <f>발송처리!A524</f>
        <v>0</v>
      </c>
      <c r="B524">
        <f>발송처리!M524</f>
        <v>0</v>
      </c>
      <c r="E524" t="e">
        <f>VLOOKUP(발송처리!V524,'상품DB(수정x)'!B:E,2,0)</f>
        <v>#N/A</v>
      </c>
      <c r="F524" s="13" t="e">
        <f>VLOOKUP(발송처리!V524,'상품DB(수정x)'!B:E,4,0)</f>
        <v>#N/A</v>
      </c>
      <c r="G524" s="8">
        <f>발송처리!X524</f>
        <v>0</v>
      </c>
      <c r="I524">
        <f>발송처리!AW524</f>
        <v>0</v>
      </c>
      <c r="K524" t="e">
        <f t="shared" si="10"/>
        <v>#N/A</v>
      </c>
      <c r="L524">
        <f>발송처리!AU524</f>
        <v>0</v>
      </c>
      <c r="M524">
        <f>발송처리!AP524</f>
        <v>0</v>
      </c>
      <c r="N524">
        <f>발송처리!AV524</f>
        <v>0</v>
      </c>
      <c r="O524">
        <f>발송처리!AR524</f>
        <v>0</v>
      </c>
      <c r="P524">
        <f>발송처리!K524</f>
        <v>0</v>
      </c>
      <c r="Q524" s="2">
        <f>발송처리!AC524</f>
        <v>0</v>
      </c>
    </row>
    <row r="525" spans="1:17">
      <c r="A525">
        <f>발송처리!A525</f>
        <v>0</v>
      </c>
      <c r="B525">
        <f>발송처리!M525</f>
        <v>0</v>
      </c>
      <c r="E525" t="e">
        <f>VLOOKUP(발송처리!V525,'상품DB(수정x)'!B:E,2,0)</f>
        <v>#N/A</v>
      </c>
      <c r="F525" s="13" t="e">
        <f>VLOOKUP(발송처리!V525,'상품DB(수정x)'!B:E,4,0)</f>
        <v>#N/A</v>
      </c>
      <c r="G525" s="8">
        <f>발송처리!X525</f>
        <v>0</v>
      </c>
      <c r="I525">
        <f>발송처리!AW525</f>
        <v>0</v>
      </c>
      <c r="K525" t="e">
        <f t="shared" si="10"/>
        <v>#N/A</v>
      </c>
      <c r="L525">
        <f>발송처리!AU525</f>
        <v>0</v>
      </c>
      <c r="M525">
        <f>발송처리!AP525</f>
        <v>0</v>
      </c>
      <c r="N525">
        <f>발송처리!AV525</f>
        <v>0</v>
      </c>
      <c r="O525">
        <f>발송처리!AR525</f>
        <v>0</v>
      </c>
      <c r="P525">
        <f>발송처리!K525</f>
        <v>0</v>
      </c>
      <c r="Q525" s="2">
        <f>발송처리!AC525</f>
        <v>0</v>
      </c>
    </row>
    <row r="526" spans="1:17">
      <c r="A526">
        <f>발송처리!A526</f>
        <v>0</v>
      </c>
      <c r="B526">
        <f>발송처리!M526</f>
        <v>0</v>
      </c>
      <c r="E526" t="e">
        <f>VLOOKUP(발송처리!V526,'상품DB(수정x)'!B:E,2,0)</f>
        <v>#N/A</v>
      </c>
      <c r="F526" s="13" t="e">
        <f>VLOOKUP(발송처리!V526,'상품DB(수정x)'!B:E,4,0)</f>
        <v>#N/A</v>
      </c>
      <c r="G526" s="8">
        <f>발송처리!X526</f>
        <v>0</v>
      </c>
      <c r="I526">
        <f>발송처리!AW526</f>
        <v>0</v>
      </c>
      <c r="K526" t="e">
        <f t="shared" si="10"/>
        <v>#N/A</v>
      </c>
      <c r="L526">
        <f>발송처리!AU526</f>
        <v>0</v>
      </c>
      <c r="M526">
        <f>발송처리!AP526</f>
        <v>0</v>
      </c>
      <c r="N526">
        <f>발송처리!AV526</f>
        <v>0</v>
      </c>
      <c r="O526">
        <f>발송처리!AR526</f>
        <v>0</v>
      </c>
      <c r="P526">
        <f>발송처리!K526</f>
        <v>0</v>
      </c>
      <c r="Q526" s="2">
        <f>발송처리!AC526</f>
        <v>0</v>
      </c>
    </row>
    <row r="527" spans="1:17">
      <c r="A527">
        <f>발송처리!A527</f>
        <v>0</v>
      </c>
      <c r="B527">
        <f>발송처리!M527</f>
        <v>0</v>
      </c>
      <c r="E527" t="e">
        <f>VLOOKUP(발송처리!V527,'상품DB(수정x)'!B:E,2,0)</f>
        <v>#N/A</v>
      </c>
      <c r="F527" s="13" t="e">
        <f>VLOOKUP(발송처리!V527,'상품DB(수정x)'!B:E,4,0)</f>
        <v>#N/A</v>
      </c>
      <c r="G527" s="8">
        <f>발송처리!X527</f>
        <v>0</v>
      </c>
      <c r="I527">
        <f>발송처리!AW527</f>
        <v>0</v>
      </c>
      <c r="K527" t="e">
        <f t="shared" si="10"/>
        <v>#N/A</v>
      </c>
      <c r="L527">
        <f>발송처리!AU527</f>
        <v>0</v>
      </c>
      <c r="M527">
        <f>발송처리!AP527</f>
        <v>0</v>
      </c>
      <c r="N527">
        <f>발송처리!AV527</f>
        <v>0</v>
      </c>
      <c r="O527">
        <f>발송처리!AR527</f>
        <v>0</v>
      </c>
      <c r="P527">
        <f>발송처리!K527</f>
        <v>0</v>
      </c>
      <c r="Q527" s="2">
        <f>발송처리!AC527</f>
        <v>0</v>
      </c>
    </row>
    <row r="528" spans="1:17">
      <c r="A528">
        <f>발송처리!A528</f>
        <v>0</v>
      </c>
      <c r="B528">
        <f>발송처리!M528</f>
        <v>0</v>
      </c>
      <c r="E528" t="e">
        <f>VLOOKUP(발송처리!V528,'상품DB(수정x)'!B:E,2,0)</f>
        <v>#N/A</v>
      </c>
      <c r="F528" s="13" t="e">
        <f>VLOOKUP(발송처리!V528,'상품DB(수정x)'!B:E,4,0)</f>
        <v>#N/A</v>
      </c>
      <c r="G528" s="8">
        <f>발송처리!X528</f>
        <v>0</v>
      </c>
      <c r="I528">
        <f>발송처리!AW528</f>
        <v>0</v>
      </c>
      <c r="K528" t="e">
        <f t="shared" si="10"/>
        <v>#N/A</v>
      </c>
      <c r="L528">
        <f>발송처리!AU528</f>
        <v>0</v>
      </c>
      <c r="M528">
        <f>발송처리!AP528</f>
        <v>0</v>
      </c>
      <c r="N528">
        <f>발송처리!AV528</f>
        <v>0</v>
      </c>
      <c r="O528">
        <f>발송처리!AR528</f>
        <v>0</v>
      </c>
      <c r="P528">
        <f>발송처리!K528</f>
        <v>0</v>
      </c>
      <c r="Q528" s="2">
        <f>발송처리!AC528</f>
        <v>0</v>
      </c>
    </row>
    <row r="529" spans="1:17">
      <c r="A529">
        <f>발송처리!A529</f>
        <v>0</v>
      </c>
      <c r="B529">
        <f>발송처리!M529</f>
        <v>0</v>
      </c>
      <c r="E529" t="e">
        <f>VLOOKUP(발송처리!V529,'상품DB(수정x)'!B:E,2,0)</f>
        <v>#N/A</v>
      </c>
      <c r="F529" s="13" t="e">
        <f>VLOOKUP(발송처리!V529,'상품DB(수정x)'!B:E,4,0)</f>
        <v>#N/A</v>
      </c>
      <c r="G529" s="8">
        <f>발송처리!X529</f>
        <v>0</v>
      </c>
      <c r="I529">
        <f>발송처리!AW529</f>
        <v>0</v>
      </c>
      <c r="K529" t="e">
        <f t="shared" si="10"/>
        <v>#N/A</v>
      </c>
      <c r="L529">
        <f>발송처리!AU529</f>
        <v>0</v>
      </c>
      <c r="M529">
        <f>발송처리!AP529</f>
        <v>0</v>
      </c>
      <c r="N529">
        <f>발송처리!AV529</f>
        <v>0</v>
      </c>
      <c r="O529">
        <f>발송처리!AR529</f>
        <v>0</v>
      </c>
      <c r="P529">
        <f>발송처리!K529</f>
        <v>0</v>
      </c>
      <c r="Q529" s="2">
        <f>발송처리!AC529</f>
        <v>0</v>
      </c>
    </row>
    <row r="530" spans="1:17">
      <c r="A530">
        <f>발송처리!A530</f>
        <v>0</v>
      </c>
      <c r="B530">
        <f>발송처리!M530</f>
        <v>0</v>
      </c>
      <c r="E530" t="e">
        <f>VLOOKUP(발송처리!V530,'상품DB(수정x)'!B:E,2,0)</f>
        <v>#N/A</v>
      </c>
      <c r="F530" s="13" t="e">
        <f>VLOOKUP(발송처리!V530,'상품DB(수정x)'!B:E,4,0)</f>
        <v>#N/A</v>
      </c>
      <c r="G530" s="8">
        <f>발송처리!X530</f>
        <v>0</v>
      </c>
      <c r="I530">
        <f>발송처리!AW530</f>
        <v>0</v>
      </c>
      <c r="K530" t="e">
        <f t="shared" si="10"/>
        <v>#N/A</v>
      </c>
      <c r="L530">
        <f>발송처리!AU530</f>
        <v>0</v>
      </c>
      <c r="M530">
        <f>발송처리!AP530</f>
        <v>0</v>
      </c>
      <c r="N530">
        <f>발송처리!AV530</f>
        <v>0</v>
      </c>
      <c r="O530">
        <f>발송처리!AR530</f>
        <v>0</v>
      </c>
      <c r="P530">
        <f>발송처리!K530</f>
        <v>0</v>
      </c>
      <c r="Q530" s="2">
        <f>발송처리!AC530</f>
        <v>0</v>
      </c>
    </row>
    <row r="531" spans="1:17">
      <c r="A531">
        <f>발송처리!A531</f>
        <v>0</v>
      </c>
      <c r="B531">
        <f>발송처리!M531</f>
        <v>0</v>
      </c>
      <c r="E531" t="e">
        <f>VLOOKUP(발송처리!V531,'상품DB(수정x)'!B:E,2,0)</f>
        <v>#N/A</v>
      </c>
      <c r="F531" s="13" t="e">
        <f>VLOOKUP(발송처리!V531,'상품DB(수정x)'!B:E,4,0)</f>
        <v>#N/A</v>
      </c>
      <c r="G531" s="8">
        <f>발송처리!X531</f>
        <v>0</v>
      </c>
      <c r="I531">
        <f>발송처리!AW531</f>
        <v>0</v>
      </c>
      <c r="K531" t="e">
        <f t="shared" si="10"/>
        <v>#N/A</v>
      </c>
      <c r="L531">
        <f>발송처리!AU531</f>
        <v>0</v>
      </c>
      <c r="M531">
        <f>발송처리!AP531</f>
        <v>0</v>
      </c>
      <c r="N531">
        <f>발송처리!AV531</f>
        <v>0</v>
      </c>
      <c r="O531">
        <f>발송처리!AR531</f>
        <v>0</v>
      </c>
      <c r="P531">
        <f>발송처리!K531</f>
        <v>0</v>
      </c>
      <c r="Q531" s="2">
        <f>발송처리!AC531</f>
        <v>0</v>
      </c>
    </row>
    <row r="532" spans="1:17">
      <c r="A532">
        <f>발송처리!A532</f>
        <v>0</v>
      </c>
      <c r="B532">
        <f>발송처리!M532</f>
        <v>0</v>
      </c>
      <c r="E532" t="e">
        <f>VLOOKUP(발송처리!V532,'상품DB(수정x)'!B:E,2,0)</f>
        <v>#N/A</v>
      </c>
      <c r="F532" s="13" t="e">
        <f>VLOOKUP(발송처리!V532,'상품DB(수정x)'!B:E,4,0)</f>
        <v>#N/A</v>
      </c>
      <c r="G532" s="8">
        <f>발송처리!X532</f>
        <v>0</v>
      </c>
      <c r="I532">
        <f>발송처리!AW532</f>
        <v>0</v>
      </c>
      <c r="K532" t="e">
        <f t="shared" si="10"/>
        <v>#N/A</v>
      </c>
      <c r="L532">
        <f>발송처리!AU532</f>
        <v>0</v>
      </c>
      <c r="M532">
        <f>발송처리!AP532</f>
        <v>0</v>
      </c>
      <c r="N532">
        <f>발송처리!AV532</f>
        <v>0</v>
      </c>
      <c r="O532">
        <f>발송처리!AR532</f>
        <v>0</v>
      </c>
      <c r="P532">
        <f>발송처리!K532</f>
        <v>0</v>
      </c>
      <c r="Q532" s="2">
        <f>발송처리!AC532</f>
        <v>0</v>
      </c>
    </row>
    <row r="533" spans="1:17">
      <c r="A533">
        <f>발송처리!A533</f>
        <v>0</v>
      </c>
      <c r="B533">
        <f>발송처리!M533</f>
        <v>0</v>
      </c>
      <c r="E533" t="e">
        <f>VLOOKUP(발송처리!V533,'상품DB(수정x)'!B:E,2,0)</f>
        <v>#N/A</v>
      </c>
      <c r="F533" s="13" t="e">
        <f>VLOOKUP(발송처리!V533,'상품DB(수정x)'!B:E,4,0)</f>
        <v>#N/A</v>
      </c>
      <c r="G533" s="8">
        <f>발송처리!X533</f>
        <v>0</v>
      </c>
      <c r="I533">
        <f>발송처리!AW533</f>
        <v>0</v>
      </c>
      <c r="K533" t="e">
        <f t="shared" si="10"/>
        <v>#N/A</v>
      </c>
      <c r="L533">
        <f>발송처리!AU533</f>
        <v>0</v>
      </c>
      <c r="M533">
        <f>발송처리!AP533</f>
        <v>0</v>
      </c>
      <c r="N533">
        <f>발송처리!AV533</f>
        <v>0</v>
      </c>
      <c r="O533">
        <f>발송처리!AR533</f>
        <v>0</v>
      </c>
      <c r="P533">
        <f>발송처리!K533</f>
        <v>0</v>
      </c>
      <c r="Q533" s="2">
        <f>발송처리!AC533</f>
        <v>0</v>
      </c>
    </row>
    <row r="534" spans="1:17">
      <c r="A534">
        <f>발송처리!A534</f>
        <v>0</v>
      </c>
      <c r="B534">
        <f>발송처리!M534</f>
        <v>0</v>
      </c>
      <c r="E534" t="e">
        <f>VLOOKUP(발송처리!V534,'상품DB(수정x)'!B:E,2,0)</f>
        <v>#N/A</v>
      </c>
      <c r="F534" s="13" t="e">
        <f>VLOOKUP(발송처리!V534,'상품DB(수정x)'!B:E,4,0)</f>
        <v>#N/A</v>
      </c>
      <c r="G534" s="8">
        <f>발송처리!X534</f>
        <v>0</v>
      </c>
      <c r="I534">
        <f>발송처리!AW534</f>
        <v>0</v>
      </c>
      <c r="K534" t="e">
        <f t="shared" si="10"/>
        <v>#N/A</v>
      </c>
      <c r="L534">
        <f>발송처리!AU534</f>
        <v>0</v>
      </c>
      <c r="M534">
        <f>발송처리!AP534</f>
        <v>0</v>
      </c>
      <c r="N534">
        <f>발송처리!AV534</f>
        <v>0</v>
      </c>
      <c r="O534">
        <f>발송처리!AR534</f>
        <v>0</v>
      </c>
      <c r="P534">
        <f>발송처리!K534</f>
        <v>0</v>
      </c>
      <c r="Q534" s="2">
        <f>발송처리!AC534</f>
        <v>0</v>
      </c>
    </row>
    <row r="535" spans="1:17">
      <c r="A535">
        <f>발송처리!A535</f>
        <v>0</v>
      </c>
      <c r="B535">
        <f>발송처리!M535</f>
        <v>0</v>
      </c>
      <c r="E535" t="e">
        <f>VLOOKUP(발송처리!V535,'상품DB(수정x)'!B:E,2,0)</f>
        <v>#N/A</v>
      </c>
      <c r="F535" s="13" t="e">
        <f>VLOOKUP(발송처리!V535,'상품DB(수정x)'!B:E,4,0)</f>
        <v>#N/A</v>
      </c>
      <c r="G535" s="8">
        <f>발송처리!X535</f>
        <v>0</v>
      </c>
      <c r="I535">
        <f>발송처리!AW535</f>
        <v>0</v>
      </c>
      <c r="K535" t="e">
        <f t="shared" si="10"/>
        <v>#N/A</v>
      </c>
      <c r="L535">
        <f>발송처리!AU535</f>
        <v>0</v>
      </c>
      <c r="M535">
        <f>발송처리!AP535</f>
        <v>0</v>
      </c>
      <c r="N535">
        <f>발송처리!AV535</f>
        <v>0</v>
      </c>
      <c r="O535">
        <f>발송처리!AR535</f>
        <v>0</v>
      </c>
      <c r="P535">
        <f>발송처리!K535</f>
        <v>0</v>
      </c>
      <c r="Q535" s="2">
        <f>발송처리!AC535</f>
        <v>0</v>
      </c>
    </row>
    <row r="536" spans="1:17">
      <c r="A536">
        <f>발송처리!A536</f>
        <v>0</v>
      </c>
      <c r="B536">
        <f>발송처리!M536</f>
        <v>0</v>
      </c>
      <c r="E536" t="e">
        <f>VLOOKUP(발송처리!V536,'상품DB(수정x)'!B:E,2,0)</f>
        <v>#N/A</v>
      </c>
      <c r="F536" s="13" t="e">
        <f>VLOOKUP(발송처리!V536,'상품DB(수정x)'!B:E,4,0)</f>
        <v>#N/A</v>
      </c>
      <c r="G536" s="8">
        <f>발송처리!X536</f>
        <v>0</v>
      </c>
      <c r="I536">
        <f>발송처리!AW536</f>
        <v>0</v>
      </c>
      <c r="K536" t="e">
        <f t="shared" si="10"/>
        <v>#N/A</v>
      </c>
      <c r="L536">
        <f>발송처리!AU536</f>
        <v>0</v>
      </c>
      <c r="M536">
        <f>발송처리!AP536</f>
        <v>0</v>
      </c>
      <c r="N536">
        <f>발송처리!AV536</f>
        <v>0</v>
      </c>
      <c r="O536">
        <f>발송처리!AR536</f>
        <v>0</v>
      </c>
      <c r="P536">
        <f>발송처리!K536</f>
        <v>0</v>
      </c>
      <c r="Q536" s="2">
        <f>발송처리!AC536</f>
        <v>0</v>
      </c>
    </row>
    <row r="537" spans="1:17">
      <c r="A537">
        <f>발송처리!A537</f>
        <v>0</v>
      </c>
      <c r="B537">
        <f>발송처리!M537</f>
        <v>0</v>
      </c>
      <c r="E537" t="e">
        <f>VLOOKUP(발송처리!V537,'상품DB(수정x)'!B:E,2,0)</f>
        <v>#N/A</v>
      </c>
      <c r="F537" s="13" t="e">
        <f>VLOOKUP(발송처리!V537,'상품DB(수정x)'!B:E,4,0)</f>
        <v>#N/A</v>
      </c>
      <c r="G537" s="8">
        <f>발송처리!X537</f>
        <v>0</v>
      </c>
      <c r="I537">
        <f>발송처리!AW537</f>
        <v>0</v>
      </c>
      <c r="K537" t="e">
        <f t="shared" si="10"/>
        <v>#N/A</v>
      </c>
      <c r="L537">
        <f>발송처리!AU537</f>
        <v>0</v>
      </c>
      <c r="M537">
        <f>발송처리!AP537</f>
        <v>0</v>
      </c>
      <c r="N537">
        <f>발송처리!AV537</f>
        <v>0</v>
      </c>
      <c r="O537">
        <f>발송처리!AR537</f>
        <v>0</v>
      </c>
      <c r="P537">
        <f>발송처리!K537</f>
        <v>0</v>
      </c>
      <c r="Q537" s="2">
        <f>발송처리!AC537</f>
        <v>0</v>
      </c>
    </row>
    <row r="538" spans="1:17">
      <c r="A538">
        <f>발송처리!A538</f>
        <v>0</v>
      </c>
      <c r="B538">
        <f>발송처리!M538</f>
        <v>0</v>
      </c>
      <c r="E538" t="e">
        <f>VLOOKUP(발송처리!V538,'상품DB(수정x)'!B:E,2,0)</f>
        <v>#N/A</v>
      </c>
      <c r="F538" s="13" t="e">
        <f>VLOOKUP(발송처리!V538,'상품DB(수정x)'!B:E,4,0)</f>
        <v>#N/A</v>
      </c>
      <c r="G538" s="8">
        <f>발송처리!X538</f>
        <v>0</v>
      </c>
      <c r="I538">
        <f>발송처리!AW538</f>
        <v>0</v>
      </c>
      <c r="K538" t="e">
        <f t="shared" si="10"/>
        <v>#N/A</v>
      </c>
      <c r="L538">
        <f>발송처리!AU538</f>
        <v>0</v>
      </c>
      <c r="M538">
        <f>발송처리!AP538</f>
        <v>0</v>
      </c>
      <c r="N538">
        <f>발송처리!AV538</f>
        <v>0</v>
      </c>
      <c r="O538">
        <f>발송처리!AR538</f>
        <v>0</v>
      </c>
      <c r="P538">
        <f>발송처리!K538</f>
        <v>0</v>
      </c>
      <c r="Q538" s="2">
        <f>발송처리!AC538</f>
        <v>0</v>
      </c>
    </row>
    <row r="539" spans="1:17">
      <c r="A539">
        <f>발송처리!A539</f>
        <v>0</v>
      </c>
      <c r="B539">
        <f>발송처리!M539</f>
        <v>0</v>
      </c>
      <c r="E539" t="e">
        <f>VLOOKUP(발송처리!V539,'상품DB(수정x)'!B:E,2,0)</f>
        <v>#N/A</v>
      </c>
      <c r="F539" s="13" t="e">
        <f>VLOOKUP(발송처리!V539,'상품DB(수정x)'!B:E,4,0)</f>
        <v>#N/A</v>
      </c>
      <c r="G539" s="8">
        <f>발송처리!X539</f>
        <v>0</v>
      </c>
      <c r="I539">
        <f>발송처리!AW539</f>
        <v>0</v>
      </c>
      <c r="K539" t="e">
        <f t="shared" si="10"/>
        <v>#N/A</v>
      </c>
      <c r="L539">
        <f>발송처리!AU539</f>
        <v>0</v>
      </c>
      <c r="M539">
        <f>발송처리!AP539</f>
        <v>0</v>
      </c>
      <c r="N539">
        <f>발송처리!AV539</f>
        <v>0</v>
      </c>
      <c r="O539">
        <f>발송처리!AR539</f>
        <v>0</v>
      </c>
      <c r="P539">
        <f>발송처리!K539</f>
        <v>0</v>
      </c>
      <c r="Q539" s="2">
        <f>발송처리!AC539</f>
        <v>0</v>
      </c>
    </row>
    <row r="540" spans="1:17">
      <c r="A540">
        <f>발송처리!A540</f>
        <v>0</v>
      </c>
      <c r="B540">
        <f>발송처리!M540</f>
        <v>0</v>
      </c>
      <c r="E540" t="e">
        <f>VLOOKUP(발송처리!V540,'상품DB(수정x)'!B:E,2,0)</f>
        <v>#N/A</v>
      </c>
      <c r="F540" s="13" t="e">
        <f>VLOOKUP(발송처리!V540,'상품DB(수정x)'!B:E,4,0)</f>
        <v>#N/A</v>
      </c>
      <c r="G540" s="8">
        <f>발송처리!X540</f>
        <v>0</v>
      </c>
      <c r="I540">
        <f>발송처리!AW540</f>
        <v>0</v>
      </c>
      <c r="K540" t="e">
        <f t="shared" si="10"/>
        <v>#N/A</v>
      </c>
      <c r="L540">
        <f>발송처리!AU540</f>
        <v>0</v>
      </c>
      <c r="M540">
        <f>발송처리!AP540</f>
        <v>0</v>
      </c>
      <c r="N540">
        <f>발송처리!AV540</f>
        <v>0</v>
      </c>
      <c r="O540">
        <f>발송처리!AR540</f>
        <v>0</v>
      </c>
      <c r="P540">
        <f>발송처리!K540</f>
        <v>0</v>
      </c>
      <c r="Q540" s="2">
        <f>발송처리!AC540</f>
        <v>0</v>
      </c>
    </row>
    <row r="541" spans="1:17">
      <c r="A541">
        <f>발송처리!A541</f>
        <v>0</v>
      </c>
      <c r="B541">
        <f>발송처리!M541</f>
        <v>0</v>
      </c>
      <c r="E541" t="e">
        <f>VLOOKUP(발송처리!V541,'상품DB(수정x)'!B:E,2,0)</f>
        <v>#N/A</v>
      </c>
      <c r="F541" s="13" t="e">
        <f>VLOOKUP(발송처리!V541,'상품DB(수정x)'!B:E,4,0)</f>
        <v>#N/A</v>
      </c>
      <c r="G541" s="8">
        <f>발송처리!X541</f>
        <v>0</v>
      </c>
      <c r="I541">
        <f>발송처리!AW541</f>
        <v>0</v>
      </c>
      <c r="K541" t="e">
        <f t="shared" si="10"/>
        <v>#N/A</v>
      </c>
      <c r="L541">
        <f>발송처리!AU541</f>
        <v>0</v>
      </c>
      <c r="M541">
        <f>발송처리!AP541</f>
        <v>0</v>
      </c>
      <c r="N541">
        <f>발송처리!AV541</f>
        <v>0</v>
      </c>
      <c r="O541">
        <f>발송처리!AR541</f>
        <v>0</v>
      </c>
      <c r="P541">
        <f>발송처리!K541</f>
        <v>0</v>
      </c>
      <c r="Q541" s="2">
        <f>발송처리!AC541</f>
        <v>0</v>
      </c>
    </row>
    <row r="542" spans="1:17">
      <c r="A542">
        <f>발송처리!A542</f>
        <v>0</v>
      </c>
      <c r="B542">
        <f>발송처리!M542</f>
        <v>0</v>
      </c>
      <c r="E542" t="e">
        <f>VLOOKUP(발송처리!V542,'상품DB(수정x)'!B:E,2,0)</f>
        <v>#N/A</v>
      </c>
      <c r="F542" s="13" t="e">
        <f>VLOOKUP(발송처리!V542,'상품DB(수정x)'!B:E,4,0)</f>
        <v>#N/A</v>
      </c>
      <c r="G542" s="8">
        <f>발송처리!X542</f>
        <v>0</v>
      </c>
      <c r="I542">
        <f>발송처리!AW542</f>
        <v>0</v>
      </c>
      <c r="K542" t="e">
        <f t="shared" si="10"/>
        <v>#N/A</v>
      </c>
      <c r="L542">
        <f>발송처리!AU542</f>
        <v>0</v>
      </c>
      <c r="M542">
        <f>발송처리!AP542</f>
        <v>0</v>
      </c>
      <c r="N542">
        <f>발송처리!AV542</f>
        <v>0</v>
      </c>
      <c r="O542">
        <f>발송처리!AR542</f>
        <v>0</v>
      </c>
      <c r="P542">
        <f>발송처리!K542</f>
        <v>0</v>
      </c>
      <c r="Q542" s="2">
        <f>발송처리!AC542</f>
        <v>0</v>
      </c>
    </row>
    <row r="543" spans="1:17">
      <c r="A543">
        <f>발송처리!A543</f>
        <v>0</v>
      </c>
      <c r="B543">
        <f>발송처리!M543</f>
        <v>0</v>
      </c>
      <c r="E543" t="e">
        <f>VLOOKUP(발송처리!V543,'상품DB(수정x)'!B:E,2,0)</f>
        <v>#N/A</v>
      </c>
      <c r="F543" s="13" t="e">
        <f>VLOOKUP(발송처리!V543,'상품DB(수정x)'!B:E,4,0)</f>
        <v>#N/A</v>
      </c>
      <c r="G543" s="8">
        <f>발송처리!X543</f>
        <v>0</v>
      </c>
      <c r="I543">
        <f>발송처리!AW543</f>
        <v>0</v>
      </c>
      <c r="K543" t="e">
        <f t="shared" si="10"/>
        <v>#N/A</v>
      </c>
      <c r="L543">
        <f>발송처리!AU543</f>
        <v>0</v>
      </c>
      <c r="M543">
        <f>발송처리!AP543</f>
        <v>0</v>
      </c>
      <c r="N543">
        <f>발송처리!AV543</f>
        <v>0</v>
      </c>
      <c r="O543">
        <f>발송처리!AR543</f>
        <v>0</v>
      </c>
      <c r="P543">
        <f>발송처리!K543</f>
        <v>0</v>
      </c>
      <c r="Q543" s="2">
        <f>발송처리!AC543</f>
        <v>0</v>
      </c>
    </row>
    <row r="544" spans="1:17">
      <c r="A544">
        <f>발송처리!A544</f>
        <v>0</v>
      </c>
      <c r="B544">
        <f>발송처리!M544</f>
        <v>0</v>
      </c>
      <c r="E544" t="e">
        <f>VLOOKUP(발송처리!V544,'상품DB(수정x)'!B:E,2,0)</f>
        <v>#N/A</v>
      </c>
      <c r="F544" s="13" t="e">
        <f>VLOOKUP(발송처리!V544,'상품DB(수정x)'!B:E,4,0)</f>
        <v>#N/A</v>
      </c>
      <c r="G544" s="8">
        <f>발송처리!X544</f>
        <v>0</v>
      </c>
      <c r="I544">
        <f>발송처리!AW544</f>
        <v>0</v>
      </c>
      <c r="K544" t="e">
        <f t="shared" si="10"/>
        <v>#N/A</v>
      </c>
      <c r="L544">
        <f>발송처리!AU544</f>
        <v>0</v>
      </c>
      <c r="M544">
        <f>발송처리!AP544</f>
        <v>0</v>
      </c>
      <c r="N544">
        <f>발송처리!AV544</f>
        <v>0</v>
      </c>
      <c r="O544">
        <f>발송처리!AR544</f>
        <v>0</v>
      </c>
      <c r="P544">
        <f>발송처리!K544</f>
        <v>0</v>
      </c>
      <c r="Q544" s="2">
        <f>발송처리!AC544</f>
        <v>0</v>
      </c>
    </row>
    <row r="545" spans="1:17">
      <c r="A545">
        <f>발송처리!A545</f>
        <v>0</v>
      </c>
      <c r="B545">
        <f>발송처리!M545</f>
        <v>0</v>
      </c>
      <c r="E545" t="e">
        <f>VLOOKUP(발송처리!V545,'상품DB(수정x)'!B:E,2,0)</f>
        <v>#N/A</v>
      </c>
      <c r="F545" s="13" t="e">
        <f>VLOOKUP(발송처리!V545,'상품DB(수정x)'!B:E,4,0)</f>
        <v>#N/A</v>
      </c>
      <c r="G545" s="8">
        <f>발송처리!X545</f>
        <v>0</v>
      </c>
      <c r="I545">
        <f>발송처리!AW545</f>
        <v>0</v>
      </c>
      <c r="K545" t="e">
        <f t="shared" si="10"/>
        <v>#N/A</v>
      </c>
      <c r="L545">
        <f>발송처리!AU545</f>
        <v>0</v>
      </c>
      <c r="M545">
        <f>발송처리!AP545</f>
        <v>0</v>
      </c>
      <c r="N545">
        <f>발송처리!AV545</f>
        <v>0</v>
      </c>
      <c r="O545">
        <f>발송처리!AR545</f>
        <v>0</v>
      </c>
      <c r="P545">
        <f>발송처리!K545</f>
        <v>0</v>
      </c>
      <c r="Q545" s="2">
        <f>발송처리!AC545</f>
        <v>0</v>
      </c>
    </row>
    <row r="546" spans="1:17">
      <c r="A546">
        <f>발송처리!A546</f>
        <v>0</v>
      </c>
      <c r="B546">
        <f>발송처리!M546</f>
        <v>0</v>
      </c>
      <c r="E546" t="e">
        <f>VLOOKUP(발송처리!V546,'상품DB(수정x)'!B:E,2,0)</f>
        <v>#N/A</v>
      </c>
      <c r="F546" s="13" t="e">
        <f>VLOOKUP(발송처리!V546,'상품DB(수정x)'!B:E,4,0)</f>
        <v>#N/A</v>
      </c>
      <c r="G546" s="8">
        <f>발송처리!X546</f>
        <v>0</v>
      </c>
      <c r="I546">
        <f>발송처리!AW546</f>
        <v>0</v>
      </c>
      <c r="K546" t="e">
        <f t="shared" si="10"/>
        <v>#N/A</v>
      </c>
      <c r="L546">
        <f>발송처리!AU546</f>
        <v>0</v>
      </c>
      <c r="M546">
        <f>발송처리!AP546</f>
        <v>0</v>
      </c>
      <c r="N546">
        <f>발송처리!AV546</f>
        <v>0</v>
      </c>
      <c r="O546">
        <f>발송처리!AR546</f>
        <v>0</v>
      </c>
      <c r="P546">
        <f>발송처리!K546</f>
        <v>0</v>
      </c>
      <c r="Q546" s="2">
        <f>발송처리!AC546</f>
        <v>0</v>
      </c>
    </row>
    <row r="547" spans="1:17">
      <c r="A547">
        <f>발송처리!A547</f>
        <v>0</v>
      </c>
      <c r="B547">
        <f>발송처리!M547</f>
        <v>0</v>
      </c>
      <c r="E547" t="e">
        <f>VLOOKUP(발송처리!V547,'상품DB(수정x)'!B:E,2,0)</f>
        <v>#N/A</v>
      </c>
      <c r="F547" s="13" t="e">
        <f>VLOOKUP(발송처리!V547,'상품DB(수정x)'!B:E,4,0)</f>
        <v>#N/A</v>
      </c>
      <c r="G547" s="8">
        <f>발송처리!X547</f>
        <v>0</v>
      </c>
      <c r="I547">
        <f>발송처리!AW547</f>
        <v>0</v>
      </c>
      <c r="K547" t="e">
        <f t="shared" si="10"/>
        <v>#N/A</v>
      </c>
      <c r="L547">
        <f>발송처리!AU547</f>
        <v>0</v>
      </c>
      <c r="M547">
        <f>발송처리!AP547</f>
        <v>0</v>
      </c>
      <c r="N547">
        <f>발송처리!AV547</f>
        <v>0</v>
      </c>
      <c r="O547">
        <f>발송처리!AR547</f>
        <v>0</v>
      </c>
      <c r="P547">
        <f>발송처리!K547</f>
        <v>0</v>
      </c>
      <c r="Q547" s="2">
        <f>발송처리!AC547</f>
        <v>0</v>
      </c>
    </row>
    <row r="548" spans="1:17">
      <c r="A548">
        <f>발송처리!A548</f>
        <v>0</v>
      </c>
      <c r="B548">
        <f>발송처리!M548</f>
        <v>0</v>
      </c>
      <c r="E548" t="e">
        <f>VLOOKUP(발송처리!V548,'상품DB(수정x)'!B:E,2,0)</f>
        <v>#N/A</v>
      </c>
      <c r="F548" s="13" t="e">
        <f>VLOOKUP(발송처리!V548,'상품DB(수정x)'!B:E,4,0)</f>
        <v>#N/A</v>
      </c>
      <c r="G548" s="8">
        <f>발송처리!X548</f>
        <v>0</v>
      </c>
      <c r="I548">
        <f>발송처리!AW548</f>
        <v>0</v>
      </c>
      <c r="K548" t="e">
        <f t="shared" si="10"/>
        <v>#N/A</v>
      </c>
      <c r="L548">
        <f>발송처리!AU548</f>
        <v>0</v>
      </c>
      <c r="M548">
        <f>발송처리!AP548</f>
        <v>0</v>
      </c>
      <c r="N548">
        <f>발송처리!AV548</f>
        <v>0</v>
      </c>
      <c r="O548">
        <f>발송처리!AR548</f>
        <v>0</v>
      </c>
      <c r="P548">
        <f>발송처리!K548</f>
        <v>0</v>
      </c>
      <c r="Q548" s="2">
        <f>발송처리!AC548</f>
        <v>0</v>
      </c>
    </row>
    <row r="549" spans="1:17">
      <c r="A549">
        <f>발송처리!A549</f>
        <v>0</v>
      </c>
      <c r="B549">
        <f>발송처리!M549</f>
        <v>0</v>
      </c>
      <c r="E549" t="e">
        <f>VLOOKUP(발송처리!V549,'상품DB(수정x)'!B:E,2,0)</f>
        <v>#N/A</v>
      </c>
      <c r="F549" s="13" t="e">
        <f>VLOOKUP(발송처리!V549,'상품DB(수정x)'!B:E,4,0)</f>
        <v>#N/A</v>
      </c>
      <c r="G549" s="8">
        <f>발송처리!X549</f>
        <v>0</v>
      </c>
      <c r="I549">
        <f>발송처리!AW549</f>
        <v>0</v>
      </c>
      <c r="K549" t="e">
        <f t="shared" si="10"/>
        <v>#N/A</v>
      </c>
      <c r="L549">
        <f>발송처리!AU549</f>
        <v>0</v>
      </c>
      <c r="M549">
        <f>발송처리!AP549</f>
        <v>0</v>
      </c>
      <c r="N549">
        <f>발송처리!AV549</f>
        <v>0</v>
      </c>
      <c r="O549">
        <f>발송처리!AR549</f>
        <v>0</v>
      </c>
      <c r="P549">
        <f>발송처리!K549</f>
        <v>0</v>
      </c>
      <c r="Q549" s="2">
        <f>발송처리!AC549</f>
        <v>0</v>
      </c>
    </row>
    <row r="550" spans="1:17">
      <c r="A550">
        <f>발송처리!A550</f>
        <v>0</v>
      </c>
      <c r="B550">
        <f>발송처리!M550</f>
        <v>0</v>
      </c>
      <c r="E550" t="e">
        <f>VLOOKUP(발송처리!V550,'상품DB(수정x)'!B:E,2,0)</f>
        <v>#N/A</v>
      </c>
      <c r="F550" s="13" t="e">
        <f>VLOOKUP(발송처리!V550,'상품DB(수정x)'!B:E,4,0)</f>
        <v>#N/A</v>
      </c>
      <c r="G550" s="8">
        <f>발송처리!X550</f>
        <v>0</v>
      </c>
      <c r="I550">
        <f>발송처리!AW550</f>
        <v>0</v>
      </c>
      <c r="K550" t="e">
        <f t="shared" si="10"/>
        <v>#N/A</v>
      </c>
      <c r="L550">
        <f>발송처리!AU550</f>
        <v>0</v>
      </c>
      <c r="M550">
        <f>발송처리!AP550</f>
        <v>0</v>
      </c>
      <c r="N550">
        <f>발송처리!AV550</f>
        <v>0</v>
      </c>
      <c r="O550">
        <f>발송처리!AR550</f>
        <v>0</v>
      </c>
      <c r="P550">
        <f>발송처리!K550</f>
        <v>0</v>
      </c>
      <c r="Q550" s="2">
        <f>발송처리!AC550</f>
        <v>0</v>
      </c>
    </row>
    <row r="551" spans="1:17">
      <c r="A551">
        <f>발송처리!A551</f>
        <v>0</v>
      </c>
      <c r="B551">
        <f>발송처리!M551</f>
        <v>0</v>
      </c>
      <c r="E551" t="e">
        <f>VLOOKUP(발송처리!V551,'상품DB(수정x)'!B:E,2,0)</f>
        <v>#N/A</v>
      </c>
      <c r="F551" s="13" t="e">
        <f>VLOOKUP(발송처리!V551,'상품DB(수정x)'!B:E,4,0)</f>
        <v>#N/A</v>
      </c>
      <c r="G551" s="8">
        <f>발송처리!X551</f>
        <v>0</v>
      </c>
      <c r="I551">
        <f>발송처리!AW551</f>
        <v>0</v>
      </c>
      <c r="K551" t="e">
        <f t="shared" si="10"/>
        <v>#N/A</v>
      </c>
      <c r="L551">
        <f>발송처리!AU551</f>
        <v>0</v>
      </c>
      <c r="M551">
        <f>발송처리!AP551</f>
        <v>0</v>
      </c>
      <c r="N551">
        <f>발송처리!AV551</f>
        <v>0</v>
      </c>
      <c r="O551">
        <f>발송처리!AR551</f>
        <v>0</v>
      </c>
      <c r="P551">
        <f>발송처리!K551</f>
        <v>0</v>
      </c>
      <c r="Q551" s="2">
        <f>발송처리!AC551</f>
        <v>0</v>
      </c>
    </row>
    <row r="552" spans="1:17">
      <c r="A552">
        <f>발송처리!A552</f>
        <v>0</v>
      </c>
      <c r="B552">
        <f>발송처리!M552</f>
        <v>0</v>
      </c>
      <c r="E552" t="e">
        <f>VLOOKUP(발송처리!V552,'상품DB(수정x)'!B:E,2,0)</f>
        <v>#N/A</v>
      </c>
      <c r="F552" s="13" t="e">
        <f>VLOOKUP(발송처리!V552,'상품DB(수정x)'!B:E,4,0)</f>
        <v>#N/A</v>
      </c>
      <c r="G552" s="8">
        <f>발송처리!X552</f>
        <v>0</v>
      </c>
      <c r="I552">
        <f>발송처리!AW552</f>
        <v>0</v>
      </c>
      <c r="K552" t="e">
        <f t="shared" si="10"/>
        <v>#N/A</v>
      </c>
      <c r="L552">
        <f>발송처리!AU552</f>
        <v>0</v>
      </c>
      <c r="M552">
        <f>발송처리!AP552</f>
        <v>0</v>
      </c>
      <c r="N552">
        <f>발송처리!AV552</f>
        <v>0</v>
      </c>
      <c r="O552">
        <f>발송처리!AR552</f>
        <v>0</v>
      </c>
      <c r="P552">
        <f>발송처리!K552</f>
        <v>0</v>
      </c>
      <c r="Q552" s="2">
        <f>발송처리!AC552</f>
        <v>0</v>
      </c>
    </row>
    <row r="553" spans="1:17">
      <c r="A553">
        <f>발송처리!A553</f>
        <v>0</v>
      </c>
      <c r="B553">
        <f>발송처리!M553</f>
        <v>0</v>
      </c>
      <c r="E553" t="e">
        <f>VLOOKUP(발송처리!V553,'상품DB(수정x)'!B:E,2,0)</f>
        <v>#N/A</v>
      </c>
      <c r="F553" s="13" t="e">
        <f>VLOOKUP(발송처리!V553,'상품DB(수정x)'!B:E,4,0)</f>
        <v>#N/A</v>
      </c>
      <c r="G553" s="8">
        <f>발송처리!X553</f>
        <v>0</v>
      </c>
      <c r="I553">
        <f>발송처리!AW553</f>
        <v>0</v>
      </c>
      <c r="K553" t="e">
        <f t="shared" si="10"/>
        <v>#N/A</v>
      </c>
      <c r="L553">
        <f>발송처리!AU553</f>
        <v>0</v>
      </c>
      <c r="M553">
        <f>발송처리!AP553</f>
        <v>0</v>
      </c>
      <c r="N553">
        <f>발송처리!AV553</f>
        <v>0</v>
      </c>
      <c r="O553">
        <f>발송처리!AR553</f>
        <v>0</v>
      </c>
      <c r="P553">
        <f>발송처리!K553</f>
        <v>0</v>
      </c>
      <c r="Q553" s="2">
        <f>발송처리!AC553</f>
        <v>0</v>
      </c>
    </row>
    <row r="554" spans="1:17">
      <c r="A554">
        <f>발송처리!A554</f>
        <v>0</v>
      </c>
      <c r="B554">
        <f>발송처리!M554</f>
        <v>0</v>
      </c>
      <c r="E554" t="e">
        <f>VLOOKUP(발송처리!V554,'상품DB(수정x)'!B:E,2,0)</f>
        <v>#N/A</v>
      </c>
      <c r="F554" s="13" t="e">
        <f>VLOOKUP(발송처리!V554,'상품DB(수정x)'!B:E,4,0)</f>
        <v>#N/A</v>
      </c>
      <c r="G554" s="8">
        <f>발송처리!X554</f>
        <v>0</v>
      </c>
      <c r="I554">
        <f>발송처리!AW554</f>
        <v>0</v>
      </c>
      <c r="K554" t="e">
        <f t="shared" si="10"/>
        <v>#N/A</v>
      </c>
      <c r="L554">
        <f>발송처리!AU554</f>
        <v>0</v>
      </c>
      <c r="M554">
        <f>발송처리!AP554</f>
        <v>0</v>
      </c>
      <c r="N554">
        <f>발송처리!AV554</f>
        <v>0</v>
      </c>
      <c r="O554">
        <f>발송처리!AR554</f>
        <v>0</v>
      </c>
      <c r="P554">
        <f>발송처리!K554</f>
        <v>0</v>
      </c>
      <c r="Q554" s="2">
        <f>발송처리!AC554</f>
        <v>0</v>
      </c>
    </row>
    <row r="555" spans="1:17">
      <c r="A555">
        <f>발송처리!A555</f>
        <v>0</v>
      </c>
      <c r="B555">
        <f>발송처리!M555</f>
        <v>0</v>
      </c>
      <c r="E555" t="e">
        <f>VLOOKUP(발송처리!V555,'상품DB(수정x)'!B:E,2,0)</f>
        <v>#N/A</v>
      </c>
      <c r="F555" s="13" t="e">
        <f>VLOOKUP(발송처리!V555,'상품DB(수정x)'!B:E,4,0)</f>
        <v>#N/A</v>
      </c>
      <c r="G555" s="8">
        <f>발송처리!X555</f>
        <v>0</v>
      </c>
      <c r="I555">
        <f>발송처리!AW555</f>
        <v>0</v>
      </c>
      <c r="K555" t="e">
        <f t="shared" si="10"/>
        <v>#N/A</v>
      </c>
      <c r="L555">
        <f>발송처리!AU555</f>
        <v>0</v>
      </c>
      <c r="M555">
        <f>발송처리!AP555</f>
        <v>0</v>
      </c>
      <c r="N555">
        <f>발송처리!AV555</f>
        <v>0</v>
      </c>
      <c r="O555">
        <f>발송처리!AR555</f>
        <v>0</v>
      </c>
      <c r="P555">
        <f>발송처리!K555</f>
        <v>0</v>
      </c>
      <c r="Q555" s="2">
        <f>발송처리!AC555</f>
        <v>0</v>
      </c>
    </row>
    <row r="556" spans="1:17">
      <c r="A556">
        <f>발송처리!A556</f>
        <v>0</v>
      </c>
      <c r="B556">
        <f>발송처리!M556</f>
        <v>0</v>
      </c>
      <c r="E556" t="e">
        <f>VLOOKUP(발송처리!V556,'상품DB(수정x)'!B:E,2,0)</f>
        <v>#N/A</v>
      </c>
      <c r="F556" s="13" t="e">
        <f>VLOOKUP(발송처리!V556,'상품DB(수정x)'!B:E,4,0)</f>
        <v>#N/A</v>
      </c>
      <c r="G556" s="8">
        <f>발송처리!X556</f>
        <v>0</v>
      </c>
      <c r="I556">
        <f>발송처리!AW556</f>
        <v>0</v>
      </c>
      <c r="K556" t="e">
        <f t="shared" si="10"/>
        <v>#N/A</v>
      </c>
      <c r="L556">
        <f>발송처리!AU556</f>
        <v>0</v>
      </c>
      <c r="M556">
        <f>발송처리!AP556</f>
        <v>0</v>
      </c>
      <c r="N556">
        <f>발송처리!AV556</f>
        <v>0</v>
      </c>
      <c r="O556">
        <f>발송처리!AR556</f>
        <v>0</v>
      </c>
      <c r="P556">
        <f>발송처리!K556</f>
        <v>0</v>
      </c>
      <c r="Q556" s="2">
        <f>발송처리!AC556</f>
        <v>0</v>
      </c>
    </row>
    <row r="557" spans="1:17">
      <c r="A557">
        <f>발송처리!A557</f>
        <v>0</v>
      </c>
      <c r="B557">
        <f>발송처리!M557</f>
        <v>0</v>
      </c>
      <c r="E557" t="e">
        <f>VLOOKUP(발송처리!V557,'상품DB(수정x)'!B:E,2,0)</f>
        <v>#N/A</v>
      </c>
      <c r="F557" s="13" t="e">
        <f>VLOOKUP(발송처리!V557,'상품DB(수정x)'!B:E,4,0)</f>
        <v>#N/A</v>
      </c>
      <c r="G557" s="8">
        <f>발송처리!X557</f>
        <v>0</v>
      </c>
      <c r="I557">
        <f>발송처리!AW557</f>
        <v>0</v>
      </c>
      <c r="K557" t="e">
        <f t="shared" si="10"/>
        <v>#N/A</v>
      </c>
      <c r="L557">
        <f>발송처리!AU557</f>
        <v>0</v>
      </c>
      <c r="M557">
        <f>발송처리!AP557</f>
        <v>0</v>
      </c>
      <c r="N557">
        <f>발송처리!AV557</f>
        <v>0</v>
      </c>
      <c r="O557">
        <f>발송처리!AR557</f>
        <v>0</v>
      </c>
      <c r="P557">
        <f>발송처리!K557</f>
        <v>0</v>
      </c>
      <c r="Q557" s="2">
        <f>발송처리!AC557</f>
        <v>0</v>
      </c>
    </row>
    <row r="558" spans="1:17">
      <c r="A558">
        <f>발송처리!A558</f>
        <v>0</v>
      </c>
      <c r="B558">
        <f>발송처리!M558</f>
        <v>0</v>
      </c>
      <c r="E558" t="e">
        <f>VLOOKUP(발송처리!V558,'상품DB(수정x)'!B:E,2,0)</f>
        <v>#N/A</v>
      </c>
      <c r="F558" s="13" t="e">
        <f>VLOOKUP(발송처리!V558,'상품DB(수정x)'!B:E,4,0)</f>
        <v>#N/A</v>
      </c>
      <c r="G558" s="8">
        <f>발송처리!X558</f>
        <v>0</v>
      </c>
      <c r="I558">
        <f>발송처리!AW558</f>
        <v>0</v>
      </c>
      <c r="K558" t="e">
        <f t="shared" si="10"/>
        <v>#N/A</v>
      </c>
      <c r="L558">
        <f>발송처리!AU558</f>
        <v>0</v>
      </c>
      <c r="M558">
        <f>발송처리!AP558</f>
        <v>0</v>
      </c>
      <c r="N558">
        <f>발송처리!AV558</f>
        <v>0</v>
      </c>
      <c r="O558">
        <f>발송처리!AR558</f>
        <v>0</v>
      </c>
      <c r="P558">
        <f>발송처리!K558</f>
        <v>0</v>
      </c>
      <c r="Q558" s="2">
        <f>발송처리!AC558</f>
        <v>0</v>
      </c>
    </row>
    <row r="559" spans="1:17">
      <c r="A559">
        <f>발송처리!A559</f>
        <v>0</v>
      </c>
      <c r="B559">
        <f>발송처리!M559</f>
        <v>0</v>
      </c>
      <c r="E559" t="e">
        <f>VLOOKUP(발송처리!V559,'상품DB(수정x)'!B:E,2,0)</f>
        <v>#N/A</v>
      </c>
      <c r="F559" s="13" t="e">
        <f>VLOOKUP(발송처리!V559,'상품DB(수정x)'!B:E,4,0)</f>
        <v>#N/A</v>
      </c>
      <c r="G559" s="8">
        <f>발송처리!X559</f>
        <v>0</v>
      </c>
      <c r="I559">
        <f>발송처리!AW559</f>
        <v>0</v>
      </c>
      <c r="K559" t="e">
        <f t="shared" si="10"/>
        <v>#N/A</v>
      </c>
      <c r="L559">
        <f>발송처리!AU559</f>
        <v>0</v>
      </c>
      <c r="M559">
        <f>발송처리!AP559</f>
        <v>0</v>
      </c>
      <c r="N559">
        <f>발송처리!AV559</f>
        <v>0</v>
      </c>
      <c r="O559">
        <f>발송처리!AR559</f>
        <v>0</v>
      </c>
      <c r="P559">
        <f>발송처리!K559</f>
        <v>0</v>
      </c>
      <c r="Q559" s="2">
        <f>발송처리!AC559</f>
        <v>0</v>
      </c>
    </row>
    <row r="560" spans="1:17">
      <c r="A560">
        <f>발송처리!A560</f>
        <v>0</v>
      </c>
      <c r="B560">
        <f>발송처리!M560</f>
        <v>0</v>
      </c>
      <c r="E560" t="e">
        <f>VLOOKUP(발송처리!V560,'상품DB(수정x)'!B:E,2,0)</f>
        <v>#N/A</v>
      </c>
      <c r="F560" s="13" t="e">
        <f>VLOOKUP(발송처리!V560,'상품DB(수정x)'!B:E,4,0)</f>
        <v>#N/A</v>
      </c>
      <c r="G560" s="8">
        <f>발송처리!X560</f>
        <v>0</v>
      </c>
      <c r="I560">
        <f>발송처리!AW560</f>
        <v>0</v>
      </c>
      <c r="K560" t="e">
        <f t="shared" si="10"/>
        <v>#N/A</v>
      </c>
      <c r="L560">
        <f>발송처리!AU560</f>
        <v>0</v>
      </c>
      <c r="M560">
        <f>발송처리!AP560</f>
        <v>0</v>
      </c>
      <c r="N560">
        <f>발송처리!AV560</f>
        <v>0</v>
      </c>
      <c r="O560">
        <f>발송처리!AR560</f>
        <v>0</v>
      </c>
      <c r="P560">
        <f>발송처리!K560</f>
        <v>0</v>
      </c>
      <c r="Q560" s="2">
        <f>발송처리!AC560</f>
        <v>0</v>
      </c>
    </row>
    <row r="561" spans="1:17">
      <c r="A561">
        <f>발송처리!A561</f>
        <v>0</v>
      </c>
      <c r="B561">
        <f>발송처리!M561</f>
        <v>0</v>
      </c>
      <c r="E561" t="e">
        <f>VLOOKUP(발송처리!V561,'상품DB(수정x)'!B:E,2,0)</f>
        <v>#N/A</v>
      </c>
      <c r="F561" s="13" t="e">
        <f>VLOOKUP(발송처리!V561,'상품DB(수정x)'!B:E,4,0)</f>
        <v>#N/A</v>
      </c>
      <c r="G561" s="8">
        <f>발송처리!X561</f>
        <v>0</v>
      </c>
      <c r="I561">
        <f>발송처리!AW561</f>
        <v>0</v>
      </c>
      <c r="K561" t="e">
        <f t="shared" si="10"/>
        <v>#N/A</v>
      </c>
      <c r="L561">
        <f>발송처리!AU561</f>
        <v>0</v>
      </c>
      <c r="M561">
        <f>발송처리!AP561</f>
        <v>0</v>
      </c>
      <c r="N561">
        <f>발송처리!AV561</f>
        <v>0</v>
      </c>
      <c r="O561">
        <f>발송처리!AR561</f>
        <v>0</v>
      </c>
      <c r="P561">
        <f>발송처리!K561</f>
        <v>0</v>
      </c>
      <c r="Q561" s="2">
        <f>발송처리!AC561</f>
        <v>0</v>
      </c>
    </row>
    <row r="562" spans="1:17">
      <c r="A562">
        <f>발송처리!A562</f>
        <v>0</v>
      </c>
      <c r="B562">
        <f>발송처리!M562</f>
        <v>0</v>
      </c>
      <c r="E562" t="e">
        <f>VLOOKUP(발송처리!V562,'상품DB(수정x)'!B:E,2,0)</f>
        <v>#N/A</v>
      </c>
      <c r="F562" s="13" t="e">
        <f>VLOOKUP(발송처리!V562,'상품DB(수정x)'!B:E,4,0)</f>
        <v>#N/A</v>
      </c>
      <c r="G562" s="8">
        <f>발송처리!X562</f>
        <v>0</v>
      </c>
      <c r="I562">
        <f>발송처리!AW562</f>
        <v>0</v>
      </c>
      <c r="K562" t="e">
        <f t="shared" si="10"/>
        <v>#N/A</v>
      </c>
      <c r="L562">
        <f>발송처리!AU562</f>
        <v>0</v>
      </c>
      <c r="M562">
        <f>발송처리!AP562</f>
        <v>0</v>
      </c>
      <c r="N562">
        <f>발송처리!AV562</f>
        <v>0</v>
      </c>
      <c r="O562">
        <f>발송처리!AR562</f>
        <v>0</v>
      </c>
      <c r="P562">
        <f>발송처리!K562</f>
        <v>0</v>
      </c>
      <c r="Q562" s="2">
        <f>발송처리!AC562</f>
        <v>0</v>
      </c>
    </row>
    <row r="563" spans="1:17">
      <c r="A563">
        <f>발송처리!A563</f>
        <v>0</v>
      </c>
      <c r="B563">
        <f>발송처리!M563</f>
        <v>0</v>
      </c>
      <c r="E563" t="e">
        <f>VLOOKUP(발송처리!V563,'상품DB(수정x)'!B:E,2,0)</f>
        <v>#N/A</v>
      </c>
      <c r="F563" s="13" t="e">
        <f>VLOOKUP(발송처리!V563,'상품DB(수정x)'!B:E,4,0)</f>
        <v>#N/A</v>
      </c>
      <c r="G563" s="8">
        <f>발송처리!X563</f>
        <v>0</v>
      </c>
      <c r="I563">
        <f>발송처리!AW563</f>
        <v>0</v>
      </c>
      <c r="K563" t="e">
        <f t="shared" si="10"/>
        <v>#N/A</v>
      </c>
      <c r="L563">
        <f>발송처리!AU563</f>
        <v>0</v>
      </c>
      <c r="M563">
        <f>발송처리!AP563</f>
        <v>0</v>
      </c>
      <c r="N563">
        <f>발송처리!AV563</f>
        <v>0</v>
      </c>
      <c r="O563">
        <f>발송처리!AR563</f>
        <v>0</v>
      </c>
      <c r="P563">
        <f>발송처리!K563</f>
        <v>0</v>
      </c>
      <c r="Q563" s="2">
        <f>발송처리!AC563</f>
        <v>0</v>
      </c>
    </row>
    <row r="564" spans="1:17">
      <c r="A564">
        <f>발송처리!A564</f>
        <v>0</v>
      </c>
      <c r="B564">
        <f>발송처리!M564</f>
        <v>0</v>
      </c>
      <c r="E564" t="e">
        <f>VLOOKUP(발송처리!V564,'상품DB(수정x)'!B:E,2,0)</f>
        <v>#N/A</v>
      </c>
      <c r="F564" s="13" t="e">
        <f>VLOOKUP(발송처리!V564,'상품DB(수정x)'!B:E,4,0)</f>
        <v>#N/A</v>
      </c>
      <c r="G564" s="8">
        <f>발송처리!X564</f>
        <v>0</v>
      </c>
      <c r="I564">
        <f>발송처리!AW564</f>
        <v>0</v>
      </c>
      <c r="K564" t="e">
        <f t="shared" si="10"/>
        <v>#N/A</v>
      </c>
      <c r="L564">
        <f>발송처리!AU564</f>
        <v>0</v>
      </c>
      <c r="M564">
        <f>발송처리!AP564</f>
        <v>0</v>
      </c>
      <c r="N564">
        <f>발송처리!AV564</f>
        <v>0</v>
      </c>
      <c r="O564">
        <f>발송처리!AR564</f>
        <v>0</v>
      </c>
      <c r="P564">
        <f>발송처리!K564</f>
        <v>0</v>
      </c>
      <c r="Q564" s="2">
        <f>발송처리!AC564</f>
        <v>0</v>
      </c>
    </row>
    <row r="565" spans="1:17">
      <c r="A565">
        <f>발송처리!A565</f>
        <v>0</v>
      </c>
      <c r="B565">
        <f>발송처리!M565</f>
        <v>0</v>
      </c>
      <c r="E565" t="e">
        <f>VLOOKUP(발송처리!V565,'상품DB(수정x)'!B:E,2,0)</f>
        <v>#N/A</v>
      </c>
      <c r="F565" s="13" t="e">
        <f>VLOOKUP(발송처리!V565,'상품DB(수정x)'!B:E,4,0)</f>
        <v>#N/A</v>
      </c>
      <c r="G565" s="8">
        <f>발송처리!X565</f>
        <v>0</v>
      </c>
      <c r="I565">
        <f>발송처리!AW565</f>
        <v>0</v>
      </c>
      <c r="K565" t="e">
        <f t="shared" si="10"/>
        <v>#N/A</v>
      </c>
      <c r="L565">
        <f>발송처리!AU565</f>
        <v>0</v>
      </c>
      <c r="M565">
        <f>발송처리!AP565</f>
        <v>0</v>
      </c>
      <c r="N565">
        <f>발송처리!AV565</f>
        <v>0</v>
      </c>
      <c r="O565">
        <f>발송처리!AR565</f>
        <v>0</v>
      </c>
      <c r="P565">
        <f>발송처리!K565</f>
        <v>0</v>
      </c>
      <c r="Q565" s="2">
        <f>발송처리!AC565</f>
        <v>0</v>
      </c>
    </row>
    <row r="566" spans="1:17">
      <c r="A566">
        <f>발송처리!A566</f>
        <v>0</v>
      </c>
      <c r="B566">
        <f>발송처리!M566</f>
        <v>0</v>
      </c>
      <c r="E566" t="e">
        <f>VLOOKUP(발송처리!V566,'상품DB(수정x)'!B:E,2,0)</f>
        <v>#N/A</v>
      </c>
      <c r="F566" s="13" t="e">
        <f>VLOOKUP(발송처리!V566,'상품DB(수정x)'!B:E,4,0)</f>
        <v>#N/A</v>
      </c>
      <c r="G566" s="8">
        <f>발송처리!X566</f>
        <v>0</v>
      </c>
      <c r="I566">
        <f>발송처리!AW566</f>
        <v>0</v>
      </c>
      <c r="K566" t="e">
        <f t="shared" si="10"/>
        <v>#N/A</v>
      </c>
      <c r="L566">
        <f>발송처리!AU566</f>
        <v>0</v>
      </c>
      <c r="M566">
        <f>발송처리!AP566</f>
        <v>0</v>
      </c>
      <c r="N566">
        <f>발송처리!AV566</f>
        <v>0</v>
      </c>
      <c r="O566">
        <f>발송처리!AR566</f>
        <v>0</v>
      </c>
      <c r="P566">
        <f>발송처리!K566</f>
        <v>0</v>
      </c>
      <c r="Q566" s="2">
        <f>발송처리!AC566</f>
        <v>0</v>
      </c>
    </row>
    <row r="567" spans="1:17">
      <c r="A567">
        <f>발송처리!A567</f>
        <v>0</v>
      </c>
      <c r="B567">
        <f>발송처리!M567</f>
        <v>0</v>
      </c>
      <c r="E567" t="e">
        <f>VLOOKUP(발송처리!V567,'상품DB(수정x)'!B:E,2,0)</f>
        <v>#N/A</v>
      </c>
      <c r="F567" s="13" t="e">
        <f>VLOOKUP(발송처리!V567,'상품DB(수정x)'!B:E,4,0)</f>
        <v>#N/A</v>
      </c>
      <c r="G567" s="8">
        <f>발송처리!X567</f>
        <v>0</v>
      </c>
      <c r="I567">
        <f>발송처리!AW567</f>
        <v>0</v>
      </c>
      <c r="K567" t="e">
        <f t="shared" si="10"/>
        <v>#N/A</v>
      </c>
      <c r="L567">
        <f>발송처리!AU567</f>
        <v>0</v>
      </c>
      <c r="M567">
        <f>발송처리!AP567</f>
        <v>0</v>
      </c>
      <c r="N567">
        <f>발송처리!AV567</f>
        <v>0</v>
      </c>
      <c r="O567">
        <f>발송처리!AR567</f>
        <v>0</v>
      </c>
      <c r="P567">
        <f>발송처리!K567</f>
        <v>0</v>
      </c>
      <c r="Q567" s="2">
        <f>발송처리!AC567</f>
        <v>0</v>
      </c>
    </row>
    <row r="568" spans="1:17">
      <c r="A568">
        <f>발송처리!A568</f>
        <v>0</v>
      </c>
      <c r="B568">
        <f>발송처리!M568</f>
        <v>0</v>
      </c>
      <c r="E568" t="e">
        <f>VLOOKUP(발송처리!V568,'상품DB(수정x)'!B:E,2,0)</f>
        <v>#N/A</v>
      </c>
      <c r="F568" s="13" t="e">
        <f>VLOOKUP(발송처리!V568,'상품DB(수정x)'!B:E,4,0)</f>
        <v>#N/A</v>
      </c>
      <c r="G568" s="8">
        <f>발송처리!X568</f>
        <v>0</v>
      </c>
      <c r="I568">
        <f>발송처리!AW568</f>
        <v>0</v>
      </c>
      <c r="K568" t="e">
        <f t="shared" si="10"/>
        <v>#N/A</v>
      </c>
      <c r="L568">
        <f>발송처리!AU568</f>
        <v>0</v>
      </c>
      <c r="M568">
        <f>발송처리!AP568</f>
        <v>0</v>
      </c>
      <c r="N568">
        <f>발송처리!AV568</f>
        <v>0</v>
      </c>
      <c r="O568">
        <f>발송처리!AR568</f>
        <v>0</v>
      </c>
      <c r="P568">
        <f>발송처리!K568</f>
        <v>0</v>
      </c>
      <c r="Q568" s="2">
        <f>발송처리!AC568</f>
        <v>0</v>
      </c>
    </row>
    <row r="569" spans="1:17">
      <c r="A569">
        <f>발송처리!A569</f>
        <v>0</v>
      </c>
      <c r="B569">
        <f>발송처리!M569</f>
        <v>0</v>
      </c>
      <c r="E569" t="e">
        <f>VLOOKUP(발송처리!V569,'상품DB(수정x)'!B:E,2,0)</f>
        <v>#N/A</v>
      </c>
      <c r="F569" s="13" t="e">
        <f>VLOOKUP(발송처리!V569,'상품DB(수정x)'!B:E,4,0)</f>
        <v>#N/A</v>
      </c>
      <c r="G569" s="8">
        <f>발송처리!X569</f>
        <v>0</v>
      </c>
      <c r="I569">
        <f>발송처리!AW569</f>
        <v>0</v>
      </c>
      <c r="K569" t="e">
        <f t="shared" si="10"/>
        <v>#N/A</v>
      </c>
      <c r="L569">
        <f>발송처리!AU569</f>
        <v>0</v>
      </c>
      <c r="M569">
        <f>발송처리!AP569</f>
        <v>0</v>
      </c>
      <c r="N569">
        <f>발송처리!AV569</f>
        <v>0</v>
      </c>
      <c r="O569">
        <f>발송처리!AR569</f>
        <v>0</v>
      </c>
      <c r="P569">
        <f>발송처리!K569</f>
        <v>0</v>
      </c>
      <c r="Q569" s="2">
        <f>발송처리!AC569</f>
        <v>0</v>
      </c>
    </row>
    <row r="570" spans="1:17">
      <c r="A570">
        <f>발송처리!A570</f>
        <v>0</v>
      </c>
      <c r="B570">
        <f>발송처리!M570</f>
        <v>0</v>
      </c>
      <c r="E570" t="e">
        <f>VLOOKUP(발송처리!V570,'상품DB(수정x)'!B:E,2,0)</f>
        <v>#N/A</v>
      </c>
      <c r="F570" s="13" t="e">
        <f>VLOOKUP(발송처리!V570,'상품DB(수정x)'!B:E,4,0)</f>
        <v>#N/A</v>
      </c>
      <c r="G570" s="8">
        <f>발송처리!X570</f>
        <v>0</v>
      </c>
      <c r="I570">
        <f>발송처리!AW570</f>
        <v>0</v>
      </c>
      <c r="K570" t="e">
        <f t="shared" si="10"/>
        <v>#N/A</v>
      </c>
      <c r="L570">
        <f>발송처리!AU570</f>
        <v>0</v>
      </c>
      <c r="M570">
        <f>발송처리!AP570</f>
        <v>0</v>
      </c>
      <c r="N570">
        <f>발송처리!AV570</f>
        <v>0</v>
      </c>
      <c r="O570">
        <f>발송처리!AR570</f>
        <v>0</v>
      </c>
      <c r="P570">
        <f>발송처리!K570</f>
        <v>0</v>
      </c>
      <c r="Q570" s="2">
        <f>발송처리!AC570</f>
        <v>0</v>
      </c>
    </row>
    <row r="571" spans="1:17">
      <c r="A571">
        <f>발송처리!A571</f>
        <v>0</v>
      </c>
      <c r="B571">
        <f>발송처리!M571</f>
        <v>0</v>
      </c>
      <c r="E571" t="e">
        <f>VLOOKUP(발송처리!V571,'상품DB(수정x)'!B:E,2,0)</f>
        <v>#N/A</v>
      </c>
      <c r="F571" s="13" t="e">
        <f>VLOOKUP(발송처리!V571,'상품DB(수정x)'!B:E,4,0)</f>
        <v>#N/A</v>
      </c>
      <c r="G571" s="8">
        <f>발송처리!X571</f>
        <v>0</v>
      </c>
      <c r="I571">
        <f>발송처리!AW571</f>
        <v>0</v>
      </c>
      <c r="K571" t="e">
        <f t="shared" si="10"/>
        <v>#N/A</v>
      </c>
      <c r="L571">
        <f>발송처리!AU571</f>
        <v>0</v>
      </c>
      <c r="M571">
        <f>발송처리!AP571</f>
        <v>0</v>
      </c>
      <c r="N571">
        <f>발송처리!AV571</f>
        <v>0</v>
      </c>
      <c r="O571">
        <f>발송처리!AR571</f>
        <v>0</v>
      </c>
      <c r="P571">
        <f>발송처리!K571</f>
        <v>0</v>
      </c>
      <c r="Q571" s="2">
        <f>발송처리!AC571</f>
        <v>0</v>
      </c>
    </row>
    <row r="572" spans="1:17">
      <c r="A572">
        <f>발송처리!A572</f>
        <v>0</v>
      </c>
      <c r="B572">
        <f>발송처리!M572</f>
        <v>0</v>
      </c>
      <c r="E572" t="e">
        <f>VLOOKUP(발송처리!V572,'상품DB(수정x)'!B:E,2,0)</f>
        <v>#N/A</v>
      </c>
      <c r="F572" s="13" t="e">
        <f>VLOOKUP(발송처리!V572,'상품DB(수정x)'!B:E,4,0)</f>
        <v>#N/A</v>
      </c>
      <c r="G572" s="8">
        <f>발송처리!X572</f>
        <v>0</v>
      </c>
      <c r="I572">
        <f>발송처리!AW572</f>
        <v>0</v>
      </c>
      <c r="K572" t="e">
        <f t="shared" si="10"/>
        <v>#N/A</v>
      </c>
      <c r="L572">
        <f>발송처리!AU572</f>
        <v>0</v>
      </c>
      <c r="M572">
        <f>발송처리!AP572</f>
        <v>0</v>
      </c>
      <c r="N572">
        <f>발송처리!AV572</f>
        <v>0</v>
      </c>
      <c r="O572">
        <f>발송처리!AR572</f>
        <v>0</v>
      </c>
      <c r="P572">
        <f>발송처리!K572</f>
        <v>0</v>
      </c>
      <c r="Q572" s="2">
        <f>발송처리!AC572</f>
        <v>0</v>
      </c>
    </row>
    <row r="573" spans="1:17">
      <c r="A573">
        <f>발송처리!A573</f>
        <v>0</v>
      </c>
      <c r="B573">
        <f>발송처리!M573</f>
        <v>0</v>
      </c>
      <c r="E573" t="e">
        <f>VLOOKUP(발송처리!V573,'상품DB(수정x)'!B:E,2,0)</f>
        <v>#N/A</v>
      </c>
      <c r="F573" s="13" t="e">
        <f>VLOOKUP(발송처리!V573,'상품DB(수정x)'!B:E,4,0)</f>
        <v>#N/A</v>
      </c>
      <c r="G573" s="8">
        <f>발송처리!X573</f>
        <v>0</v>
      </c>
      <c r="I573">
        <f>발송처리!AW573</f>
        <v>0</v>
      </c>
      <c r="K573" t="e">
        <f t="shared" si="10"/>
        <v>#N/A</v>
      </c>
      <c r="L573">
        <f>발송처리!AU573</f>
        <v>0</v>
      </c>
      <c r="M573">
        <f>발송처리!AP573</f>
        <v>0</v>
      </c>
      <c r="N573">
        <f>발송처리!AV573</f>
        <v>0</v>
      </c>
      <c r="O573">
        <f>발송처리!AR573</f>
        <v>0</v>
      </c>
      <c r="P573">
        <f>발송처리!K573</f>
        <v>0</v>
      </c>
      <c r="Q573" s="2">
        <f>발송처리!AC573</f>
        <v>0</v>
      </c>
    </row>
    <row r="574" spans="1:17">
      <c r="A574">
        <f>발송처리!A574</f>
        <v>0</v>
      </c>
      <c r="B574">
        <f>발송처리!M574</f>
        <v>0</v>
      </c>
      <c r="E574" t="e">
        <f>VLOOKUP(발송처리!V574,'상품DB(수정x)'!B:E,2,0)</f>
        <v>#N/A</v>
      </c>
      <c r="F574" s="13" t="e">
        <f>VLOOKUP(발송처리!V574,'상품DB(수정x)'!B:E,4,0)</f>
        <v>#N/A</v>
      </c>
      <c r="G574" s="8">
        <f>발송처리!X574</f>
        <v>0</v>
      </c>
      <c r="I574">
        <f>발송처리!AW574</f>
        <v>0</v>
      </c>
      <c r="K574" t="e">
        <f t="shared" si="10"/>
        <v>#N/A</v>
      </c>
      <c r="L574">
        <f>발송처리!AU574</f>
        <v>0</v>
      </c>
      <c r="M574">
        <f>발송처리!AP574</f>
        <v>0</v>
      </c>
      <c r="N574">
        <f>발송처리!AV574</f>
        <v>0</v>
      </c>
      <c r="O574">
        <f>발송처리!AR574</f>
        <v>0</v>
      </c>
      <c r="P574">
        <f>발송처리!K574</f>
        <v>0</v>
      </c>
      <c r="Q574" s="2">
        <f>발송처리!AC574</f>
        <v>0</v>
      </c>
    </row>
    <row r="575" spans="1:17">
      <c r="A575">
        <f>발송처리!A575</f>
        <v>0</v>
      </c>
      <c r="B575">
        <f>발송처리!M575</f>
        <v>0</v>
      </c>
      <c r="E575" t="e">
        <f>VLOOKUP(발송처리!V575,'상품DB(수정x)'!B:E,2,0)</f>
        <v>#N/A</v>
      </c>
      <c r="F575" s="13" t="e">
        <f>VLOOKUP(발송처리!V575,'상품DB(수정x)'!B:E,4,0)</f>
        <v>#N/A</v>
      </c>
      <c r="G575" s="8">
        <f>발송처리!X575</f>
        <v>0</v>
      </c>
      <c r="I575">
        <f>발송처리!AW575</f>
        <v>0</v>
      </c>
      <c r="K575" t="e">
        <f t="shared" si="10"/>
        <v>#N/A</v>
      </c>
      <c r="L575">
        <f>발송처리!AU575</f>
        <v>0</v>
      </c>
      <c r="M575">
        <f>발송처리!AP575</f>
        <v>0</v>
      </c>
      <c r="N575">
        <f>발송처리!AV575</f>
        <v>0</v>
      </c>
      <c r="O575">
        <f>발송처리!AR575</f>
        <v>0</v>
      </c>
      <c r="P575">
        <f>발송처리!K575</f>
        <v>0</v>
      </c>
      <c r="Q575" s="2">
        <f>발송처리!AC575</f>
        <v>0</v>
      </c>
    </row>
    <row r="576" spans="1:17">
      <c r="A576">
        <f>발송처리!A576</f>
        <v>0</v>
      </c>
      <c r="B576">
        <f>발송처리!M576</f>
        <v>0</v>
      </c>
      <c r="E576" t="e">
        <f>VLOOKUP(발송처리!V576,'상품DB(수정x)'!B:E,2,0)</f>
        <v>#N/A</v>
      </c>
      <c r="F576" s="13" t="e">
        <f>VLOOKUP(발송처리!V576,'상품DB(수정x)'!B:E,4,0)</f>
        <v>#N/A</v>
      </c>
      <c r="G576" s="8">
        <f>발송처리!X576</f>
        <v>0</v>
      </c>
      <c r="I576">
        <f>발송처리!AW576</f>
        <v>0</v>
      </c>
      <c r="K576" t="e">
        <f t="shared" si="10"/>
        <v>#N/A</v>
      </c>
      <c r="L576">
        <f>발송처리!AU576</f>
        <v>0</v>
      </c>
      <c r="M576">
        <f>발송처리!AP576</f>
        <v>0</v>
      </c>
      <c r="N576">
        <f>발송처리!AV576</f>
        <v>0</v>
      </c>
      <c r="O576">
        <f>발송처리!AR576</f>
        <v>0</v>
      </c>
      <c r="P576">
        <f>발송처리!K576</f>
        <v>0</v>
      </c>
      <c r="Q576" s="2">
        <f>발송처리!AC576</f>
        <v>0</v>
      </c>
    </row>
    <row r="577" spans="1:17">
      <c r="A577">
        <f>발송처리!A577</f>
        <v>0</v>
      </c>
      <c r="B577">
        <f>발송처리!M577</f>
        <v>0</v>
      </c>
      <c r="E577" t="e">
        <f>VLOOKUP(발송처리!V577,'상품DB(수정x)'!B:E,2,0)</f>
        <v>#N/A</v>
      </c>
      <c r="F577" s="13" t="e">
        <f>VLOOKUP(발송처리!V577,'상품DB(수정x)'!B:E,4,0)</f>
        <v>#N/A</v>
      </c>
      <c r="G577" s="8">
        <f>발송처리!X577</f>
        <v>0</v>
      </c>
      <c r="I577">
        <f>발송처리!AW577</f>
        <v>0</v>
      </c>
      <c r="K577" t="e">
        <f t="shared" si="10"/>
        <v>#N/A</v>
      </c>
      <c r="L577">
        <f>발송처리!AU577</f>
        <v>0</v>
      </c>
      <c r="M577">
        <f>발송처리!AP577</f>
        <v>0</v>
      </c>
      <c r="N577">
        <f>발송처리!AV577</f>
        <v>0</v>
      </c>
      <c r="O577">
        <f>발송처리!AR577</f>
        <v>0</v>
      </c>
      <c r="P577">
        <f>발송처리!K577</f>
        <v>0</v>
      </c>
      <c r="Q577" s="2">
        <f>발송처리!AC577</f>
        <v>0</v>
      </c>
    </row>
    <row r="578" spans="1:17">
      <c r="A578">
        <f>발송처리!A578</f>
        <v>0</v>
      </c>
      <c r="B578">
        <f>발송처리!M578</f>
        <v>0</v>
      </c>
      <c r="E578" t="e">
        <f>VLOOKUP(발송처리!V578,'상품DB(수정x)'!B:E,2,0)</f>
        <v>#N/A</v>
      </c>
      <c r="F578" s="13" t="e">
        <f>VLOOKUP(발송처리!V578,'상품DB(수정x)'!B:E,4,0)</f>
        <v>#N/A</v>
      </c>
      <c r="G578" s="8">
        <f>발송처리!X578</f>
        <v>0</v>
      </c>
      <c r="I578">
        <f>발송처리!AW578</f>
        <v>0</v>
      </c>
      <c r="K578" t="e">
        <f t="shared" si="10"/>
        <v>#N/A</v>
      </c>
      <c r="L578">
        <f>발송처리!AU578</f>
        <v>0</v>
      </c>
      <c r="M578">
        <f>발송처리!AP578</f>
        <v>0</v>
      </c>
      <c r="N578">
        <f>발송처리!AV578</f>
        <v>0</v>
      </c>
      <c r="O578">
        <f>발송처리!AR578</f>
        <v>0</v>
      </c>
      <c r="P578">
        <f>발송처리!K578</f>
        <v>0</v>
      </c>
      <c r="Q578" s="2">
        <f>발송처리!AC578</f>
        <v>0</v>
      </c>
    </row>
    <row r="579" spans="1:17">
      <c r="A579">
        <f>발송처리!A579</f>
        <v>0</v>
      </c>
      <c r="B579">
        <f>발송처리!M579</f>
        <v>0</v>
      </c>
      <c r="E579" t="e">
        <f>VLOOKUP(발송처리!V579,'상품DB(수정x)'!B:E,2,0)</f>
        <v>#N/A</v>
      </c>
      <c r="F579" s="13" t="e">
        <f>VLOOKUP(발송처리!V579,'상품DB(수정x)'!B:E,4,0)</f>
        <v>#N/A</v>
      </c>
      <c r="G579" s="8">
        <f>발송처리!X579</f>
        <v>0</v>
      </c>
      <c r="I579">
        <f>발송처리!AW579</f>
        <v>0</v>
      </c>
      <c r="K579" t="e">
        <f t="shared" ref="K579:K642" si="11">IF(LEFT(E579,1)="2","",IF(LEFT(E579,1)="4","",IF(Q579&gt;=500000,"★증정★테이프20mx2",IF(Q579&gt;=95000,"★증정★테이프20mx1",""))))</f>
        <v>#N/A</v>
      </c>
      <c r="L579">
        <f>발송처리!AU579</f>
        <v>0</v>
      </c>
      <c r="M579">
        <f>발송처리!AP579</f>
        <v>0</v>
      </c>
      <c r="N579">
        <f>발송처리!AV579</f>
        <v>0</v>
      </c>
      <c r="O579">
        <f>발송처리!AR579</f>
        <v>0</v>
      </c>
      <c r="P579">
        <f>발송처리!K579</f>
        <v>0</v>
      </c>
      <c r="Q579" s="2">
        <f>발송처리!AC579</f>
        <v>0</v>
      </c>
    </row>
    <row r="580" spans="1:17">
      <c r="A580">
        <f>발송처리!A580</f>
        <v>0</v>
      </c>
      <c r="B580">
        <f>발송처리!M580</f>
        <v>0</v>
      </c>
      <c r="E580" t="e">
        <f>VLOOKUP(발송처리!V580,'상품DB(수정x)'!B:E,2,0)</f>
        <v>#N/A</v>
      </c>
      <c r="F580" s="13" t="e">
        <f>VLOOKUP(발송처리!V580,'상품DB(수정x)'!B:E,4,0)</f>
        <v>#N/A</v>
      </c>
      <c r="G580" s="8">
        <f>발송처리!X580</f>
        <v>0</v>
      </c>
      <c r="I580">
        <f>발송처리!AW580</f>
        <v>0</v>
      </c>
      <c r="K580" t="e">
        <f t="shared" si="11"/>
        <v>#N/A</v>
      </c>
      <c r="L580">
        <f>발송처리!AU580</f>
        <v>0</v>
      </c>
      <c r="M580">
        <f>발송처리!AP580</f>
        <v>0</v>
      </c>
      <c r="N580">
        <f>발송처리!AV580</f>
        <v>0</v>
      </c>
      <c r="O580">
        <f>발송처리!AR580</f>
        <v>0</v>
      </c>
      <c r="P580">
        <f>발송처리!K580</f>
        <v>0</v>
      </c>
      <c r="Q580" s="2">
        <f>발송처리!AC580</f>
        <v>0</v>
      </c>
    </row>
    <row r="581" spans="1:17">
      <c r="A581">
        <f>발송처리!A581</f>
        <v>0</v>
      </c>
      <c r="B581">
        <f>발송처리!M581</f>
        <v>0</v>
      </c>
      <c r="E581" t="e">
        <f>VLOOKUP(발송처리!V581,'상품DB(수정x)'!B:E,2,0)</f>
        <v>#N/A</v>
      </c>
      <c r="F581" s="13" t="e">
        <f>VLOOKUP(발송처리!V581,'상품DB(수정x)'!B:E,4,0)</f>
        <v>#N/A</v>
      </c>
      <c r="G581" s="8">
        <f>발송처리!X581</f>
        <v>0</v>
      </c>
      <c r="I581">
        <f>발송처리!AW581</f>
        <v>0</v>
      </c>
      <c r="K581" t="e">
        <f t="shared" si="11"/>
        <v>#N/A</v>
      </c>
      <c r="L581">
        <f>발송처리!AU581</f>
        <v>0</v>
      </c>
      <c r="M581">
        <f>발송처리!AP581</f>
        <v>0</v>
      </c>
      <c r="N581">
        <f>발송처리!AV581</f>
        <v>0</v>
      </c>
      <c r="O581">
        <f>발송처리!AR581</f>
        <v>0</v>
      </c>
      <c r="P581">
        <f>발송처리!K581</f>
        <v>0</v>
      </c>
      <c r="Q581" s="2">
        <f>발송처리!AC581</f>
        <v>0</v>
      </c>
    </row>
    <row r="582" spans="1:17">
      <c r="A582">
        <f>발송처리!A582</f>
        <v>0</v>
      </c>
      <c r="B582">
        <f>발송처리!M582</f>
        <v>0</v>
      </c>
      <c r="E582" t="e">
        <f>VLOOKUP(발송처리!V582,'상품DB(수정x)'!B:E,2,0)</f>
        <v>#N/A</v>
      </c>
      <c r="F582" s="13" t="e">
        <f>VLOOKUP(발송처리!V582,'상품DB(수정x)'!B:E,4,0)</f>
        <v>#N/A</v>
      </c>
      <c r="G582" s="8">
        <f>발송처리!X582</f>
        <v>0</v>
      </c>
      <c r="I582">
        <f>발송처리!AW582</f>
        <v>0</v>
      </c>
      <c r="K582" t="e">
        <f t="shared" si="11"/>
        <v>#N/A</v>
      </c>
      <c r="L582">
        <f>발송처리!AU582</f>
        <v>0</v>
      </c>
      <c r="M582">
        <f>발송처리!AP582</f>
        <v>0</v>
      </c>
      <c r="N582">
        <f>발송처리!AV582</f>
        <v>0</v>
      </c>
      <c r="O582">
        <f>발송처리!AR582</f>
        <v>0</v>
      </c>
      <c r="P582">
        <f>발송처리!K582</f>
        <v>0</v>
      </c>
      <c r="Q582" s="2">
        <f>발송처리!AC582</f>
        <v>0</v>
      </c>
    </row>
    <row r="583" spans="1:17">
      <c r="A583">
        <f>발송처리!A583</f>
        <v>0</v>
      </c>
      <c r="B583">
        <f>발송처리!M583</f>
        <v>0</v>
      </c>
      <c r="E583" t="e">
        <f>VLOOKUP(발송처리!V583,'상품DB(수정x)'!B:E,2,0)</f>
        <v>#N/A</v>
      </c>
      <c r="F583" s="13" t="e">
        <f>VLOOKUP(발송처리!V583,'상품DB(수정x)'!B:E,4,0)</f>
        <v>#N/A</v>
      </c>
      <c r="G583" s="8">
        <f>발송처리!X583</f>
        <v>0</v>
      </c>
      <c r="I583">
        <f>발송처리!AW583</f>
        <v>0</v>
      </c>
      <c r="K583" t="e">
        <f t="shared" si="11"/>
        <v>#N/A</v>
      </c>
      <c r="L583">
        <f>발송처리!AU583</f>
        <v>0</v>
      </c>
      <c r="M583">
        <f>발송처리!AP583</f>
        <v>0</v>
      </c>
      <c r="N583">
        <f>발송처리!AV583</f>
        <v>0</v>
      </c>
      <c r="O583">
        <f>발송처리!AR583</f>
        <v>0</v>
      </c>
      <c r="P583">
        <f>발송처리!K583</f>
        <v>0</v>
      </c>
      <c r="Q583" s="2">
        <f>발송처리!AC583</f>
        <v>0</v>
      </c>
    </row>
    <row r="584" spans="1:17">
      <c r="A584">
        <f>발송처리!A584</f>
        <v>0</v>
      </c>
      <c r="B584">
        <f>발송처리!M584</f>
        <v>0</v>
      </c>
      <c r="E584" t="e">
        <f>VLOOKUP(발송처리!V584,'상품DB(수정x)'!B:E,2,0)</f>
        <v>#N/A</v>
      </c>
      <c r="F584" s="13" t="e">
        <f>VLOOKUP(발송처리!V584,'상품DB(수정x)'!B:E,4,0)</f>
        <v>#N/A</v>
      </c>
      <c r="G584" s="8">
        <f>발송처리!X584</f>
        <v>0</v>
      </c>
      <c r="I584">
        <f>발송처리!AW584</f>
        <v>0</v>
      </c>
      <c r="K584" t="e">
        <f t="shared" si="11"/>
        <v>#N/A</v>
      </c>
      <c r="L584">
        <f>발송처리!AU584</f>
        <v>0</v>
      </c>
      <c r="M584">
        <f>발송처리!AP584</f>
        <v>0</v>
      </c>
      <c r="N584">
        <f>발송처리!AV584</f>
        <v>0</v>
      </c>
      <c r="O584">
        <f>발송처리!AR584</f>
        <v>0</v>
      </c>
      <c r="P584">
        <f>발송처리!K584</f>
        <v>0</v>
      </c>
      <c r="Q584" s="2">
        <f>발송처리!AC584</f>
        <v>0</v>
      </c>
    </row>
    <row r="585" spans="1:17">
      <c r="A585">
        <f>발송처리!A585</f>
        <v>0</v>
      </c>
      <c r="B585">
        <f>발송처리!M585</f>
        <v>0</v>
      </c>
      <c r="E585" t="e">
        <f>VLOOKUP(발송처리!V585,'상품DB(수정x)'!B:E,2,0)</f>
        <v>#N/A</v>
      </c>
      <c r="F585" s="13" t="e">
        <f>VLOOKUP(발송처리!V585,'상품DB(수정x)'!B:E,4,0)</f>
        <v>#N/A</v>
      </c>
      <c r="G585" s="8">
        <f>발송처리!X585</f>
        <v>0</v>
      </c>
      <c r="I585">
        <f>발송처리!AW585</f>
        <v>0</v>
      </c>
      <c r="K585" t="e">
        <f t="shared" si="11"/>
        <v>#N/A</v>
      </c>
      <c r="L585">
        <f>발송처리!AU585</f>
        <v>0</v>
      </c>
      <c r="M585">
        <f>발송처리!AP585</f>
        <v>0</v>
      </c>
      <c r="N585">
        <f>발송처리!AV585</f>
        <v>0</v>
      </c>
      <c r="O585">
        <f>발송처리!AR585</f>
        <v>0</v>
      </c>
      <c r="P585">
        <f>발송처리!K585</f>
        <v>0</v>
      </c>
      <c r="Q585" s="2">
        <f>발송처리!AC585</f>
        <v>0</v>
      </c>
    </row>
    <row r="586" spans="1:17">
      <c r="A586">
        <f>발송처리!A586</f>
        <v>0</v>
      </c>
      <c r="B586">
        <f>발송처리!M586</f>
        <v>0</v>
      </c>
      <c r="E586" t="e">
        <f>VLOOKUP(발송처리!V586,'상품DB(수정x)'!B:E,2,0)</f>
        <v>#N/A</v>
      </c>
      <c r="F586" s="13" t="e">
        <f>VLOOKUP(발송처리!V586,'상품DB(수정x)'!B:E,4,0)</f>
        <v>#N/A</v>
      </c>
      <c r="G586" s="8">
        <f>발송처리!X586</f>
        <v>0</v>
      </c>
      <c r="I586">
        <f>발송처리!AW586</f>
        <v>0</v>
      </c>
      <c r="K586" t="e">
        <f t="shared" si="11"/>
        <v>#N/A</v>
      </c>
      <c r="L586">
        <f>발송처리!AU586</f>
        <v>0</v>
      </c>
      <c r="M586">
        <f>발송처리!AP586</f>
        <v>0</v>
      </c>
      <c r="N586">
        <f>발송처리!AV586</f>
        <v>0</v>
      </c>
      <c r="O586">
        <f>발송처리!AR586</f>
        <v>0</v>
      </c>
      <c r="P586">
        <f>발송처리!K586</f>
        <v>0</v>
      </c>
      <c r="Q586" s="2">
        <f>발송처리!AC586</f>
        <v>0</v>
      </c>
    </row>
    <row r="587" spans="1:17">
      <c r="A587">
        <f>발송처리!A587</f>
        <v>0</v>
      </c>
      <c r="B587">
        <f>발송처리!M587</f>
        <v>0</v>
      </c>
      <c r="E587" t="e">
        <f>VLOOKUP(발송처리!V587,'상품DB(수정x)'!B:E,2,0)</f>
        <v>#N/A</v>
      </c>
      <c r="F587" s="13" t="e">
        <f>VLOOKUP(발송처리!V587,'상품DB(수정x)'!B:E,4,0)</f>
        <v>#N/A</v>
      </c>
      <c r="G587" s="8">
        <f>발송처리!X587</f>
        <v>0</v>
      </c>
      <c r="I587">
        <f>발송처리!AW587</f>
        <v>0</v>
      </c>
      <c r="K587" t="e">
        <f t="shared" si="11"/>
        <v>#N/A</v>
      </c>
      <c r="L587">
        <f>발송처리!AU587</f>
        <v>0</v>
      </c>
      <c r="M587">
        <f>발송처리!AP587</f>
        <v>0</v>
      </c>
      <c r="N587">
        <f>발송처리!AV587</f>
        <v>0</v>
      </c>
      <c r="O587">
        <f>발송처리!AR587</f>
        <v>0</v>
      </c>
      <c r="P587">
        <f>발송처리!K587</f>
        <v>0</v>
      </c>
      <c r="Q587" s="2">
        <f>발송처리!AC587</f>
        <v>0</v>
      </c>
    </row>
    <row r="588" spans="1:17">
      <c r="A588">
        <f>발송처리!A588</f>
        <v>0</v>
      </c>
      <c r="B588">
        <f>발송처리!M588</f>
        <v>0</v>
      </c>
      <c r="E588" t="e">
        <f>VLOOKUP(발송처리!V588,'상품DB(수정x)'!B:E,2,0)</f>
        <v>#N/A</v>
      </c>
      <c r="F588" s="13" t="e">
        <f>VLOOKUP(발송처리!V588,'상품DB(수정x)'!B:E,4,0)</f>
        <v>#N/A</v>
      </c>
      <c r="G588" s="8">
        <f>발송처리!X588</f>
        <v>0</v>
      </c>
      <c r="I588">
        <f>발송처리!AW588</f>
        <v>0</v>
      </c>
      <c r="K588" t="e">
        <f t="shared" si="11"/>
        <v>#N/A</v>
      </c>
      <c r="L588">
        <f>발송처리!AU588</f>
        <v>0</v>
      </c>
      <c r="M588">
        <f>발송처리!AP588</f>
        <v>0</v>
      </c>
      <c r="N588">
        <f>발송처리!AV588</f>
        <v>0</v>
      </c>
      <c r="O588">
        <f>발송처리!AR588</f>
        <v>0</v>
      </c>
      <c r="P588">
        <f>발송처리!K588</f>
        <v>0</v>
      </c>
      <c r="Q588" s="2">
        <f>발송처리!AC588</f>
        <v>0</v>
      </c>
    </row>
    <row r="589" spans="1:17">
      <c r="A589">
        <f>발송처리!A589</f>
        <v>0</v>
      </c>
      <c r="B589">
        <f>발송처리!M589</f>
        <v>0</v>
      </c>
      <c r="E589" t="e">
        <f>VLOOKUP(발송처리!V589,'상품DB(수정x)'!B:E,2,0)</f>
        <v>#N/A</v>
      </c>
      <c r="F589" s="13" t="e">
        <f>VLOOKUP(발송처리!V589,'상품DB(수정x)'!B:E,4,0)</f>
        <v>#N/A</v>
      </c>
      <c r="G589" s="8">
        <f>발송처리!X589</f>
        <v>0</v>
      </c>
      <c r="I589">
        <f>발송처리!AW589</f>
        <v>0</v>
      </c>
      <c r="K589" t="e">
        <f t="shared" si="11"/>
        <v>#N/A</v>
      </c>
      <c r="L589">
        <f>발송처리!AU589</f>
        <v>0</v>
      </c>
      <c r="M589">
        <f>발송처리!AP589</f>
        <v>0</v>
      </c>
      <c r="N589">
        <f>발송처리!AV589</f>
        <v>0</v>
      </c>
      <c r="O589">
        <f>발송처리!AR589</f>
        <v>0</v>
      </c>
      <c r="P589">
        <f>발송처리!K589</f>
        <v>0</v>
      </c>
      <c r="Q589" s="2">
        <f>발송처리!AC589</f>
        <v>0</v>
      </c>
    </row>
    <row r="590" spans="1:17">
      <c r="A590">
        <f>발송처리!A590</f>
        <v>0</v>
      </c>
      <c r="B590">
        <f>발송처리!M590</f>
        <v>0</v>
      </c>
      <c r="E590" t="e">
        <f>VLOOKUP(발송처리!V590,'상품DB(수정x)'!B:E,2,0)</f>
        <v>#N/A</v>
      </c>
      <c r="F590" s="13" t="e">
        <f>VLOOKUP(발송처리!V590,'상품DB(수정x)'!B:E,4,0)</f>
        <v>#N/A</v>
      </c>
      <c r="G590" s="8">
        <f>발송처리!X590</f>
        <v>0</v>
      </c>
      <c r="I590">
        <f>발송처리!AW590</f>
        <v>0</v>
      </c>
      <c r="K590" t="e">
        <f t="shared" si="11"/>
        <v>#N/A</v>
      </c>
      <c r="L590">
        <f>발송처리!AU590</f>
        <v>0</v>
      </c>
      <c r="M590">
        <f>발송처리!AP590</f>
        <v>0</v>
      </c>
      <c r="N590">
        <f>발송처리!AV590</f>
        <v>0</v>
      </c>
      <c r="O590">
        <f>발송처리!AR590</f>
        <v>0</v>
      </c>
      <c r="P590">
        <f>발송처리!K590</f>
        <v>0</v>
      </c>
      <c r="Q590" s="2">
        <f>발송처리!AC590</f>
        <v>0</v>
      </c>
    </row>
    <row r="591" spans="1:17">
      <c r="A591">
        <f>발송처리!A591</f>
        <v>0</v>
      </c>
      <c r="B591">
        <f>발송처리!M591</f>
        <v>0</v>
      </c>
      <c r="E591" t="e">
        <f>VLOOKUP(발송처리!V591,'상품DB(수정x)'!B:E,2,0)</f>
        <v>#N/A</v>
      </c>
      <c r="F591" s="13" t="e">
        <f>VLOOKUP(발송처리!V591,'상품DB(수정x)'!B:E,4,0)</f>
        <v>#N/A</v>
      </c>
      <c r="G591" s="8">
        <f>발송처리!X591</f>
        <v>0</v>
      </c>
      <c r="I591">
        <f>발송처리!AW591</f>
        <v>0</v>
      </c>
      <c r="K591" t="e">
        <f t="shared" si="11"/>
        <v>#N/A</v>
      </c>
      <c r="L591">
        <f>발송처리!AU591</f>
        <v>0</v>
      </c>
      <c r="M591">
        <f>발송처리!AP591</f>
        <v>0</v>
      </c>
      <c r="N591">
        <f>발송처리!AV591</f>
        <v>0</v>
      </c>
      <c r="O591">
        <f>발송처리!AR591</f>
        <v>0</v>
      </c>
      <c r="P591">
        <f>발송처리!K591</f>
        <v>0</v>
      </c>
      <c r="Q591" s="2">
        <f>발송처리!AC591</f>
        <v>0</v>
      </c>
    </row>
    <row r="592" spans="1:17">
      <c r="A592">
        <f>발송처리!A592</f>
        <v>0</v>
      </c>
      <c r="B592">
        <f>발송처리!M592</f>
        <v>0</v>
      </c>
      <c r="E592" t="e">
        <f>VLOOKUP(발송처리!V592,'상품DB(수정x)'!B:E,2,0)</f>
        <v>#N/A</v>
      </c>
      <c r="F592" s="13" t="e">
        <f>VLOOKUP(발송처리!V592,'상품DB(수정x)'!B:E,4,0)</f>
        <v>#N/A</v>
      </c>
      <c r="G592" s="8">
        <f>발송처리!X592</f>
        <v>0</v>
      </c>
      <c r="I592">
        <f>발송처리!AW592</f>
        <v>0</v>
      </c>
      <c r="K592" t="e">
        <f t="shared" si="11"/>
        <v>#N/A</v>
      </c>
      <c r="L592">
        <f>발송처리!AU592</f>
        <v>0</v>
      </c>
      <c r="M592">
        <f>발송처리!AP592</f>
        <v>0</v>
      </c>
      <c r="N592">
        <f>발송처리!AV592</f>
        <v>0</v>
      </c>
      <c r="O592">
        <f>발송처리!AR592</f>
        <v>0</v>
      </c>
      <c r="P592">
        <f>발송처리!K592</f>
        <v>0</v>
      </c>
      <c r="Q592" s="2">
        <f>발송처리!AC592</f>
        <v>0</v>
      </c>
    </row>
    <row r="593" spans="1:17">
      <c r="A593">
        <f>발송처리!A593</f>
        <v>0</v>
      </c>
      <c r="B593">
        <f>발송처리!M593</f>
        <v>0</v>
      </c>
      <c r="E593" t="e">
        <f>VLOOKUP(발송처리!V593,'상품DB(수정x)'!B:E,2,0)</f>
        <v>#N/A</v>
      </c>
      <c r="F593" s="13" t="e">
        <f>VLOOKUP(발송처리!V593,'상품DB(수정x)'!B:E,4,0)</f>
        <v>#N/A</v>
      </c>
      <c r="G593" s="8">
        <f>발송처리!X593</f>
        <v>0</v>
      </c>
      <c r="I593">
        <f>발송처리!AW593</f>
        <v>0</v>
      </c>
      <c r="K593" t="e">
        <f t="shared" si="11"/>
        <v>#N/A</v>
      </c>
      <c r="L593">
        <f>발송처리!AU593</f>
        <v>0</v>
      </c>
      <c r="M593">
        <f>발송처리!AP593</f>
        <v>0</v>
      </c>
      <c r="N593">
        <f>발송처리!AV593</f>
        <v>0</v>
      </c>
      <c r="O593">
        <f>발송처리!AR593</f>
        <v>0</v>
      </c>
      <c r="P593">
        <f>발송처리!K593</f>
        <v>0</v>
      </c>
      <c r="Q593" s="2">
        <f>발송처리!AC593</f>
        <v>0</v>
      </c>
    </row>
    <row r="594" spans="1:17">
      <c r="A594">
        <f>발송처리!A594</f>
        <v>0</v>
      </c>
      <c r="B594">
        <f>발송처리!M594</f>
        <v>0</v>
      </c>
      <c r="E594" t="e">
        <f>VLOOKUP(발송처리!V594,'상품DB(수정x)'!B:E,2,0)</f>
        <v>#N/A</v>
      </c>
      <c r="F594" s="13" t="e">
        <f>VLOOKUP(발송처리!V594,'상품DB(수정x)'!B:E,4,0)</f>
        <v>#N/A</v>
      </c>
      <c r="G594" s="8">
        <f>발송처리!X594</f>
        <v>0</v>
      </c>
      <c r="I594">
        <f>발송처리!AW594</f>
        <v>0</v>
      </c>
      <c r="K594" t="e">
        <f t="shared" si="11"/>
        <v>#N/A</v>
      </c>
      <c r="L594">
        <f>발송처리!AU594</f>
        <v>0</v>
      </c>
      <c r="M594">
        <f>발송처리!AP594</f>
        <v>0</v>
      </c>
      <c r="N594">
        <f>발송처리!AV594</f>
        <v>0</v>
      </c>
      <c r="O594">
        <f>발송처리!AR594</f>
        <v>0</v>
      </c>
      <c r="P594">
        <f>발송처리!K594</f>
        <v>0</v>
      </c>
      <c r="Q594" s="2">
        <f>발송처리!AC594</f>
        <v>0</v>
      </c>
    </row>
    <row r="595" spans="1:17">
      <c r="A595">
        <f>발송처리!A595</f>
        <v>0</v>
      </c>
      <c r="B595">
        <f>발송처리!M595</f>
        <v>0</v>
      </c>
      <c r="E595" t="e">
        <f>VLOOKUP(발송처리!V595,'상품DB(수정x)'!B:E,2,0)</f>
        <v>#N/A</v>
      </c>
      <c r="F595" s="13" t="e">
        <f>VLOOKUP(발송처리!V595,'상품DB(수정x)'!B:E,4,0)</f>
        <v>#N/A</v>
      </c>
      <c r="G595" s="8">
        <f>발송처리!X595</f>
        <v>0</v>
      </c>
      <c r="I595">
        <f>발송처리!AW595</f>
        <v>0</v>
      </c>
      <c r="K595" t="e">
        <f t="shared" si="11"/>
        <v>#N/A</v>
      </c>
      <c r="L595">
        <f>발송처리!AU595</f>
        <v>0</v>
      </c>
      <c r="M595">
        <f>발송처리!AP595</f>
        <v>0</v>
      </c>
      <c r="N595">
        <f>발송처리!AV595</f>
        <v>0</v>
      </c>
      <c r="O595">
        <f>발송처리!AR595</f>
        <v>0</v>
      </c>
      <c r="P595">
        <f>발송처리!K595</f>
        <v>0</v>
      </c>
      <c r="Q595" s="2">
        <f>발송처리!AC595</f>
        <v>0</v>
      </c>
    </row>
    <row r="596" spans="1:17">
      <c r="A596">
        <f>발송처리!A596</f>
        <v>0</v>
      </c>
      <c r="B596">
        <f>발송처리!M596</f>
        <v>0</v>
      </c>
      <c r="E596" t="e">
        <f>VLOOKUP(발송처리!V596,'상품DB(수정x)'!B:E,2,0)</f>
        <v>#N/A</v>
      </c>
      <c r="F596" s="13" t="e">
        <f>VLOOKUP(발송처리!V596,'상품DB(수정x)'!B:E,4,0)</f>
        <v>#N/A</v>
      </c>
      <c r="G596" s="8">
        <f>발송처리!X596</f>
        <v>0</v>
      </c>
      <c r="I596">
        <f>발송처리!AW596</f>
        <v>0</v>
      </c>
      <c r="K596" t="e">
        <f t="shared" si="11"/>
        <v>#N/A</v>
      </c>
      <c r="L596">
        <f>발송처리!AU596</f>
        <v>0</v>
      </c>
      <c r="M596">
        <f>발송처리!AP596</f>
        <v>0</v>
      </c>
      <c r="N596">
        <f>발송처리!AV596</f>
        <v>0</v>
      </c>
      <c r="O596">
        <f>발송처리!AR596</f>
        <v>0</v>
      </c>
      <c r="P596">
        <f>발송처리!K596</f>
        <v>0</v>
      </c>
      <c r="Q596" s="2">
        <f>발송처리!AC596</f>
        <v>0</v>
      </c>
    </row>
    <row r="597" spans="1:17">
      <c r="A597">
        <f>발송처리!A597</f>
        <v>0</v>
      </c>
      <c r="B597">
        <f>발송처리!M597</f>
        <v>0</v>
      </c>
      <c r="E597" t="e">
        <f>VLOOKUP(발송처리!V597,'상품DB(수정x)'!B:E,2,0)</f>
        <v>#N/A</v>
      </c>
      <c r="F597" s="13" t="e">
        <f>VLOOKUP(발송처리!V597,'상품DB(수정x)'!B:E,4,0)</f>
        <v>#N/A</v>
      </c>
      <c r="G597" s="8">
        <f>발송처리!X597</f>
        <v>0</v>
      </c>
      <c r="I597">
        <f>발송처리!AW597</f>
        <v>0</v>
      </c>
      <c r="K597" t="e">
        <f t="shared" si="11"/>
        <v>#N/A</v>
      </c>
      <c r="L597">
        <f>발송처리!AU597</f>
        <v>0</v>
      </c>
      <c r="M597">
        <f>발송처리!AP597</f>
        <v>0</v>
      </c>
      <c r="N597">
        <f>발송처리!AV597</f>
        <v>0</v>
      </c>
      <c r="O597">
        <f>발송처리!AR597</f>
        <v>0</v>
      </c>
      <c r="P597">
        <f>발송처리!K597</f>
        <v>0</v>
      </c>
      <c r="Q597" s="2">
        <f>발송처리!AC597</f>
        <v>0</v>
      </c>
    </row>
    <row r="598" spans="1:17">
      <c r="A598">
        <f>발송처리!A598</f>
        <v>0</v>
      </c>
      <c r="B598">
        <f>발송처리!M598</f>
        <v>0</v>
      </c>
      <c r="E598" t="e">
        <f>VLOOKUP(발송처리!V598,'상품DB(수정x)'!B:E,2,0)</f>
        <v>#N/A</v>
      </c>
      <c r="F598" s="13" t="e">
        <f>VLOOKUP(발송처리!V598,'상품DB(수정x)'!B:E,4,0)</f>
        <v>#N/A</v>
      </c>
      <c r="G598" s="8">
        <f>발송처리!X598</f>
        <v>0</v>
      </c>
      <c r="I598">
        <f>발송처리!AW598</f>
        <v>0</v>
      </c>
      <c r="K598" t="e">
        <f t="shared" si="11"/>
        <v>#N/A</v>
      </c>
      <c r="L598">
        <f>발송처리!AU598</f>
        <v>0</v>
      </c>
      <c r="M598">
        <f>발송처리!AP598</f>
        <v>0</v>
      </c>
      <c r="N598">
        <f>발송처리!AV598</f>
        <v>0</v>
      </c>
      <c r="O598">
        <f>발송처리!AR598</f>
        <v>0</v>
      </c>
      <c r="P598">
        <f>발송처리!K598</f>
        <v>0</v>
      </c>
      <c r="Q598" s="2">
        <f>발송처리!AC598</f>
        <v>0</v>
      </c>
    </row>
    <row r="599" spans="1:17">
      <c r="A599">
        <f>발송처리!A599</f>
        <v>0</v>
      </c>
      <c r="B599">
        <f>발송처리!M599</f>
        <v>0</v>
      </c>
      <c r="E599" t="e">
        <f>VLOOKUP(발송처리!V599,'상품DB(수정x)'!B:E,2,0)</f>
        <v>#N/A</v>
      </c>
      <c r="F599" s="13" t="e">
        <f>VLOOKUP(발송처리!V599,'상품DB(수정x)'!B:E,4,0)</f>
        <v>#N/A</v>
      </c>
      <c r="G599" s="8">
        <f>발송처리!X599</f>
        <v>0</v>
      </c>
      <c r="I599">
        <f>발송처리!AW599</f>
        <v>0</v>
      </c>
      <c r="K599" t="e">
        <f t="shared" si="11"/>
        <v>#N/A</v>
      </c>
      <c r="L599">
        <f>발송처리!AU599</f>
        <v>0</v>
      </c>
      <c r="M599">
        <f>발송처리!AP599</f>
        <v>0</v>
      </c>
      <c r="N599">
        <f>발송처리!AV599</f>
        <v>0</v>
      </c>
      <c r="O599">
        <f>발송처리!AR599</f>
        <v>0</v>
      </c>
      <c r="P599">
        <f>발송처리!K599</f>
        <v>0</v>
      </c>
      <c r="Q599" s="2">
        <f>발송처리!AC599</f>
        <v>0</v>
      </c>
    </row>
    <row r="600" spans="1:17">
      <c r="A600">
        <f>발송처리!A600</f>
        <v>0</v>
      </c>
      <c r="B600">
        <f>발송처리!M600</f>
        <v>0</v>
      </c>
      <c r="E600" t="e">
        <f>VLOOKUP(발송처리!V600,'상품DB(수정x)'!B:E,2,0)</f>
        <v>#N/A</v>
      </c>
      <c r="F600" s="13" t="e">
        <f>VLOOKUP(발송처리!V600,'상품DB(수정x)'!B:E,4,0)</f>
        <v>#N/A</v>
      </c>
      <c r="G600" s="8">
        <f>발송처리!X600</f>
        <v>0</v>
      </c>
      <c r="I600">
        <f>발송처리!AW600</f>
        <v>0</v>
      </c>
      <c r="K600" t="e">
        <f t="shared" si="11"/>
        <v>#N/A</v>
      </c>
      <c r="L600">
        <f>발송처리!AU600</f>
        <v>0</v>
      </c>
      <c r="M600">
        <f>발송처리!AP600</f>
        <v>0</v>
      </c>
      <c r="N600">
        <f>발송처리!AV600</f>
        <v>0</v>
      </c>
      <c r="O600">
        <f>발송처리!AR600</f>
        <v>0</v>
      </c>
      <c r="P600">
        <f>발송처리!K600</f>
        <v>0</v>
      </c>
      <c r="Q600" s="2">
        <f>발송처리!AC600</f>
        <v>0</v>
      </c>
    </row>
    <row r="601" spans="1:17">
      <c r="A601">
        <f>발송처리!A601</f>
        <v>0</v>
      </c>
      <c r="B601">
        <f>발송처리!M601</f>
        <v>0</v>
      </c>
      <c r="E601" t="e">
        <f>VLOOKUP(발송처리!V601,'상품DB(수정x)'!B:E,2,0)</f>
        <v>#N/A</v>
      </c>
      <c r="F601" s="13" t="e">
        <f>VLOOKUP(발송처리!V601,'상품DB(수정x)'!B:E,4,0)</f>
        <v>#N/A</v>
      </c>
      <c r="G601" s="8">
        <f>발송처리!X601</f>
        <v>0</v>
      </c>
      <c r="I601">
        <f>발송처리!AW601</f>
        <v>0</v>
      </c>
      <c r="K601" t="e">
        <f t="shared" si="11"/>
        <v>#N/A</v>
      </c>
      <c r="L601">
        <f>발송처리!AU601</f>
        <v>0</v>
      </c>
      <c r="M601">
        <f>발송처리!AP601</f>
        <v>0</v>
      </c>
      <c r="N601">
        <f>발송처리!AV601</f>
        <v>0</v>
      </c>
      <c r="O601">
        <f>발송처리!AR601</f>
        <v>0</v>
      </c>
      <c r="P601">
        <f>발송처리!K601</f>
        <v>0</v>
      </c>
      <c r="Q601" s="2">
        <f>발송처리!AC601</f>
        <v>0</v>
      </c>
    </row>
    <row r="602" spans="1:17">
      <c r="A602">
        <f>발송처리!A602</f>
        <v>0</v>
      </c>
      <c r="B602">
        <f>발송처리!M602</f>
        <v>0</v>
      </c>
      <c r="E602" t="e">
        <f>VLOOKUP(발송처리!V602,'상품DB(수정x)'!B:E,2,0)</f>
        <v>#N/A</v>
      </c>
      <c r="F602" s="13" t="e">
        <f>VLOOKUP(발송처리!V602,'상품DB(수정x)'!B:E,4,0)</f>
        <v>#N/A</v>
      </c>
      <c r="G602" s="8">
        <f>발송처리!X602</f>
        <v>0</v>
      </c>
      <c r="I602">
        <f>발송처리!AW602</f>
        <v>0</v>
      </c>
      <c r="K602" t="e">
        <f t="shared" si="11"/>
        <v>#N/A</v>
      </c>
      <c r="L602">
        <f>발송처리!AU602</f>
        <v>0</v>
      </c>
      <c r="M602">
        <f>발송처리!AP602</f>
        <v>0</v>
      </c>
      <c r="N602">
        <f>발송처리!AV602</f>
        <v>0</v>
      </c>
      <c r="O602">
        <f>발송처리!AR602</f>
        <v>0</v>
      </c>
      <c r="P602">
        <f>발송처리!K602</f>
        <v>0</v>
      </c>
      <c r="Q602" s="2">
        <f>발송처리!AC602</f>
        <v>0</v>
      </c>
    </row>
    <row r="603" spans="1:17">
      <c r="A603">
        <f>발송처리!A603</f>
        <v>0</v>
      </c>
      <c r="B603">
        <f>발송처리!M603</f>
        <v>0</v>
      </c>
      <c r="E603" t="e">
        <f>VLOOKUP(발송처리!V603,'상품DB(수정x)'!B:E,2,0)</f>
        <v>#N/A</v>
      </c>
      <c r="F603" s="13" t="e">
        <f>VLOOKUP(발송처리!V603,'상품DB(수정x)'!B:E,4,0)</f>
        <v>#N/A</v>
      </c>
      <c r="G603" s="8">
        <f>발송처리!X603</f>
        <v>0</v>
      </c>
      <c r="I603">
        <f>발송처리!AW603</f>
        <v>0</v>
      </c>
      <c r="K603" t="e">
        <f t="shared" si="11"/>
        <v>#N/A</v>
      </c>
      <c r="L603">
        <f>발송처리!AU603</f>
        <v>0</v>
      </c>
      <c r="M603">
        <f>발송처리!AP603</f>
        <v>0</v>
      </c>
      <c r="N603">
        <f>발송처리!AV603</f>
        <v>0</v>
      </c>
      <c r="O603">
        <f>발송처리!AR603</f>
        <v>0</v>
      </c>
      <c r="P603">
        <f>발송처리!K603</f>
        <v>0</v>
      </c>
      <c r="Q603" s="2">
        <f>발송처리!AC603</f>
        <v>0</v>
      </c>
    </row>
    <row r="604" spans="1:17">
      <c r="A604">
        <f>발송처리!A604</f>
        <v>0</v>
      </c>
      <c r="B604">
        <f>발송처리!M604</f>
        <v>0</v>
      </c>
      <c r="E604" t="e">
        <f>VLOOKUP(발송처리!V604,'상품DB(수정x)'!B:E,2,0)</f>
        <v>#N/A</v>
      </c>
      <c r="F604" s="13" t="e">
        <f>VLOOKUP(발송처리!V604,'상품DB(수정x)'!B:E,4,0)</f>
        <v>#N/A</v>
      </c>
      <c r="G604" s="8">
        <f>발송처리!X604</f>
        <v>0</v>
      </c>
      <c r="I604">
        <f>발송처리!AW604</f>
        <v>0</v>
      </c>
      <c r="K604" t="e">
        <f t="shared" si="11"/>
        <v>#N/A</v>
      </c>
      <c r="L604">
        <f>발송처리!AU604</f>
        <v>0</v>
      </c>
      <c r="M604">
        <f>발송처리!AP604</f>
        <v>0</v>
      </c>
      <c r="N604">
        <f>발송처리!AV604</f>
        <v>0</v>
      </c>
      <c r="O604">
        <f>발송처리!AR604</f>
        <v>0</v>
      </c>
      <c r="P604">
        <f>발송처리!K604</f>
        <v>0</v>
      </c>
      <c r="Q604" s="2">
        <f>발송처리!AC604</f>
        <v>0</v>
      </c>
    </row>
    <row r="605" spans="1:17">
      <c r="A605">
        <f>발송처리!A605</f>
        <v>0</v>
      </c>
      <c r="B605">
        <f>발송처리!M605</f>
        <v>0</v>
      </c>
      <c r="E605" t="e">
        <f>VLOOKUP(발송처리!V605,'상품DB(수정x)'!B:E,2,0)</f>
        <v>#N/A</v>
      </c>
      <c r="F605" s="13" t="e">
        <f>VLOOKUP(발송처리!V605,'상품DB(수정x)'!B:E,4,0)</f>
        <v>#N/A</v>
      </c>
      <c r="G605" s="8">
        <f>발송처리!X605</f>
        <v>0</v>
      </c>
      <c r="I605">
        <f>발송처리!AW605</f>
        <v>0</v>
      </c>
      <c r="K605" t="e">
        <f t="shared" si="11"/>
        <v>#N/A</v>
      </c>
      <c r="L605">
        <f>발송처리!AU605</f>
        <v>0</v>
      </c>
      <c r="M605">
        <f>발송처리!AP605</f>
        <v>0</v>
      </c>
      <c r="N605">
        <f>발송처리!AV605</f>
        <v>0</v>
      </c>
      <c r="O605">
        <f>발송처리!AR605</f>
        <v>0</v>
      </c>
      <c r="P605">
        <f>발송처리!K605</f>
        <v>0</v>
      </c>
      <c r="Q605" s="2">
        <f>발송처리!AC605</f>
        <v>0</v>
      </c>
    </row>
    <row r="606" spans="1:17">
      <c r="A606">
        <f>발송처리!A606</f>
        <v>0</v>
      </c>
      <c r="B606">
        <f>발송처리!M606</f>
        <v>0</v>
      </c>
      <c r="E606" t="e">
        <f>VLOOKUP(발송처리!V606,'상품DB(수정x)'!B:E,2,0)</f>
        <v>#N/A</v>
      </c>
      <c r="F606" s="13" t="e">
        <f>VLOOKUP(발송처리!V606,'상품DB(수정x)'!B:E,4,0)</f>
        <v>#N/A</v>
      </c>
      <c r="G606" s="8">
        <f>발송처리!X606</f>
        <v>0</v>
      </c>
      <c r="I606">
        <f>발송처리!AW606</f>
        <v>0</v>
      </c>
      <c r="K606" t="e">
        <f t="shared" si="11"/>
        <v>#N/A</v>
      </c>
      <c r="L606">
        <f>발송처리!AU606</f>
        <v>0</v>
      </c>
      <c r="M606">
        <f>발송처리!AP606</f>
        <v>0</v>
      </c>
      <c r="N606">
        <f>발송처리!AV606</f>
        <v>0</v>
      </c>
      <c r="O606">
        <f>발송처리!AR606</f>
        <v>0</v>
      </c>
      <c r="P606">
        <f>발송처리!K606</f>
        <v>0</v>
      </c>
      <c r="Q606" s="2">
        <f>발송처리!AC606</f>
        <v>0</v>
      </c>
    </row>
    <row r="607" spans="1:17">
      <c r="A607">
        <f>발송처리!A607</f>
        <v>0</v>
      </c>
      <c r="B607">
        <f>발송처리!M607</f>
        <v>0</v>
      </c>
      <c r="E607" t="e">
        <f>VLOOKUP(발송처리!V607,'상품DB(수정x)'!B:E,2,0)</f>
        <v>#N/A</v>
      </c>
      <c r="F607" s="13" t="e">
        <f>VLOOKUP(발송처리!V607,'상품DB(수정x)'!B:E,4,0)</f>
        <v>#N/A</v>
      </c>
      <c r="G607" s="8">
        <f>발송처리!X607</f>
        <v>0</v>
      </c>
      <c r="I607">
        <f>발송처리!AW607</f>
        <v>0</v>
      </c>
      <c r="K607" t="e">
        <f t="shared" si="11"/>
        <v>#N/A</v>
      </c>
      <c r="L607">
        <f>발송처리!AU607</f>
        <v>0</v>
      </c>
      <c r="M607">
        <f>발송처리!AP607</f>
        <v>0</v>
      </c>
      <c r="N607">
        <f>발송처리!AV607</f>
        <v>0</v>
      </c>
      <c r="O607">
        <f>발송처리!AR607</f>
        <v>0</v>
      </c>
      <c r="P607">
        <f>발송처리!K607</f>
        <v>0</v>
      </c>
      <c r="Q607" s="2">
        <f>발송처리!AC607</f>
        <v>0</v>
      </c>
    </row>
    <row r="608" spans="1:17">
      <c r="A608">
        <f>발송처리!A608</f>
        <v>0</v>
      </c>
      <c r="B608">
        <f>발송처리!M608</f>
        <v>0</v>
      </c>
      <c r="E608" t="e">
        <f>VLOOKUP(발송처리!V608,'상품DB(수정x)'!B:E,2,0)</f>
        <v>#N/A</v>
      </c>
      <c r="F608" s="13" t="e">
        <f>VLOOKUP(발송처리!V608,'상품DB(수정x)'!B:E,4,0)</f>
        <v>#N/A</v>
      </c>
      <c r="G608" s="8">
        <f>발송처리!X608</f>
        <v>0</v>
      </c>
      <c r="I608">
        <f>발송처리!AW608</f>
        <v>0</v>
      </c>
      <c r="K608" t="e">
        <f t="shared" si="11"/>
        <v>#N/A</v>
      </c>
      <c r="L608">
        <f>발송처리!AU608</f>
        <v>0</v>
      </c>
      <c r="M608">
        <f>발송처리!AP608</f>
        <v>0</v>
      </c>
      <c r="N608">
        <f>발송처리!AV608</f>
        <v>0</v>
      </c>
      <c r="O608">
        <f>발송처리!AR608</f>
        <v>0</v>
      </c>
      <c r="P608">
        <f>발송처리!K608</f>
        <v>0</v>
      </c>
      <c r="Q608" s="2">
        <f>발송처리!AC608</f>
        <v>0</v>
      </c>
    </row>
    <row r="609" spans="1:17">
      <c r="A609">
        <f>발송처리!A609</f>
        <v>0</v>
      </c>
      <c r="B609">
        <f>발송처리!M609</f>
        <v>0</v>
      </c>
      <c r="E609" t="e">
        <f>VLOOKUP(발송처리!V609,'상품DB(수정x)'!B:E,2,0)</f>
        <v>#N/A</v>
      </c>
      <c r="F609" s="13" t="e">
        <f>VLOOKUP(발송처리!V609,'상품DB(수정x)'!B:E,4,0)</f>
        <v>#N/A</v>
      </c>
      <c r="G609" s="8">
        <f>발송처리!X609</f>
        <v>0</v>
      </c>
      <c r="I609">
        <f>발송처리!AW609</f>
        <v>0</v>
      </c>
      <c r="K609" t="e">
        <f t="shared" si="11"/>
        <v>#N/A</v>
      </c>
      <c r="L609">
        <f>발송처리!AU609</f>
        <v>0</v>
      </c>
      <c r="M609">
        <f>발송처리!AP609</f>
        <v>0</v>
      </c>
      <c r="N609">
        <f>발송처리!AV609</f>
        <v>0</v>
      </c>
      <c r="O609">
        <f>발송처리!AR609</f>
        <v>0</v>
      </c>
      <c r="P609">
        <f>발송처리!K609</f>
        <v>0</v>
      </c>
      <c r="Q609" s="2">
        <f>발송처리!AC609</f>
        <v>0</v>
      </c>
    </row>
    <row r="610" spans="1:17">
      <c r="A610">
        <f>발송처리!A610</f>
        <v>0</v>
      </c>
      <c r="B610">
        <f>발송처리!M610</f>
        <v>0</v>
      </c>
      <c r="E610" t="e">
        <f>VLOOKUP(발송처리!V610,'상품DB(수정x)'!B:E,2,0)</f>
        <v>#N/A</v>
      </c>
      <c r="F610" s="13" t="e">
        <f>VLOOKUP(발송처리!V610,'상품DB(수정x)'!B:E,4,0)</f>
        <v>#N/A</v>
      </c>
      <c r="G610" s="8">
        <f>발송처리!X610</f>
        <v>0</v>
      </c>
      <c r="I610">
        <f>발송처리!AW610</f>
        <v>0</v>
      </c>
      <c r="K610" t="e">
        <f t="shared" si="11"/>
        <v>#N/A</v>
      </c>
      <c r="L610">
        <f>발송처리!AU610</f>
        <v>0</v>
      </c>
      <c r="M610">
        <f>발송처리!AP610</f>
        <v>0</v>
      </c>
      <c r="N610">
        <f>발송처리!AV610</f>
        <v>0</v>
      </c>
      <c r="O610">
        <f>발송처리!AR610</f>
        <v>0</v>
      </c>
      <c r="P610">
        <f>발송처리!K610</f>
        <v>0</v>
      </c>
      <c r="Q610" s="2">
        <f>발송처리!AC610</f>
        <v>0</v>
      </c>
    </row>
    <row r="611" spans="1:17">
      <c r="A611">
        <f>발송처리!A611</f>
        <v>0</v>
      </c>
      <c r="B611">
        <f>발송처리!M611</f>
        <v>0</v>
      </c>
      <c r="E611" t="e">
        <f>VLOOKUP(발송처리!V611,'상품DB(수정x)'!B:E,2,0)</f>
        <v>#N/A</v>
      </c>
      <c r="F611" s="13" t="e">
        <f>VLOOKUP(발송처리!V611,'상품DB(수정x)'!B:E,4,0)</f>
        <v>#N/A</v>
      </c>
      <c r="G611" s="8">
        <f>발송처리!X611</f>
        <v>0</v>
      </c>
      <c r="I611">
        <f>발송처리!AW611</f>
        <v>0</v>
      </c>
      <c r="K611" t="e">
        <f t="shared" si="11"/>
        <v>#N/A</v>
      </c>
      <c r="L611">
        <f>발송처리!AU611</f>
        <v>0</v>
      </c>
      <c r="M611">
        <f>발송처리!AP611</f>
        <v>0</v>
      </c>
      <c r="N611">
        <f>발송처리!AV611</f>
        <v>0</v>
      </c>
      <c r="O611">
        <f>발송처리!AR611</f>
        <v>0</v>
      </c>
      <c r="P611">
        <f>발송처리!K611</f>
        <v>0</v>
      </c>
      <c r="Q611" s="2">
        <f>발송처리!AC611</f>
        <v>0</v>
      </c>
    </row>
    <row r="612" spans="1:17">
      <c r="A612">
        <f>발송처리!A612</f>
        <v>0</v>
      </c>
      <c r="B612">
        <f>발송처리!M612</f>
        <v>0</v>
      </c>
      <c r="E612" t="e">
        <f>VLOOKUP(발송처리!V612,'상품DB(수정x)'!B:E,2,0)</f>
        <v>#N/A</v>
      </c>
      <c r="F612" s="13" t="e">
        <f>VLOOKUP(발송처리!V612,'상품DB(수정x)'!B:E,4,0)</f>
        <v>#N/A</v>
      </c>
      <c r="G612" s="8">
        <f>발송처리!X612</f>
        <v>0</v>
      </c>
      <c r="I612">
        <f>발송처리!AW612</f>
        <v>0</v>
      </c>
      <c r="K612" t="e">
        <f t="shared" si="11"/>
        <v>#N/A</v>
      </c>
      <c r="L612">
        <f>발송처리!AU612</f>
        <v>0</v>
      </c>
      <c r="M612">
        <f>발송처리!AP612</f>
        <v>0</v>
      </c>
      <c r="N612">
        <f>발송처리!AV612</f>
        <v>0</v>
      </c>
      <c r="O612">
        <f>발송처리!AR612</f>
        <v>0</v>
      </c>
      <c r="P612">
        <f>발송처리!K612</f>
        <v>0</v>
      </c>
      <c r="Q612" s="2">
        <f>발송처리!AC612</f>
        <v>0</v>
      </c>
    </row>
    <row r="613" spans="1:17">
      <c r="A613">
        <f>발송처리!A613</f>
        <v>0</v>
      </c>
      <c r="B613">
        <f>발송처리!M613</f>
        <v>0</v>
      </c>
      <c r="E613" t="e">
        <f>VLOOKUP(발송처리!V613,'상품DB(수정x)'!B:E,2,0)</f>
        <v>#N/A</v>
      </c>
      <c r="F613" s="13" t="e">
        <f>VLOOKUP(발송처리!V613,'상품DB(수정x)'!B:E,4,0)</f>
        <v>#N/A</v>
      </c>
      <c r="G613" s="8">
        <f>발송처리!X613</f>
        <v>0</v>
      </c>
      <c r="I613">
        <f>발송처리!AW613</f>
        <v>0</v>
      </c>
      <c r="K613" t="e">
        <f t="shared" si="11"/>
        <v>#N/A</v>
      </c>
      <c r="L613">
        <f>발송처리!AU613</f>
        <v>0</v>
      </c>
      <c r="M613">
        <f>발송처리!AP613</f>
        <v>0</v>
      </c>
      <c r="N613">
        <f>발송처리!AV613</f>
        <v>0</v>
      </c>
      <c r="O613">
        <f>발송처리!AR613</f>
        <v>0</v>
      </c>
      <c r="P613">
        <f>발송처리!K613</f>
        <v>0</v>
      </c>
      <c r="Q613" s="2">
        <f>발송처리!AC613</f>
        <v>0</v>
      </c>
    </row>
    <row r="614" spans="1:17">
      <c r="A614">
        <f>발송처리!A614</f>
        <v>0</v>
      </c>
      <c r="B614">
        <f>발송처리!M614</f>
        <v>0</v>
      </c>
      <c r="E614" t="e">
        <f>VLOOKUP(발송처리!V614,'상품DB(수정x)'!B:E,2,0)</f>
        <v>#N/A</v>
      </c>
      <c r="F614" s="13" t="e">
        <f>VLOOKUP(발송처리!V614,'상품DB(수정x)'!B:E,4,0)</f>
        <v>#N/A</v>
      </c>
      <c r="G614" s="8">
        <f>발송처리!X614</f>
        <v>0</v>
      </c>
      <c r="I614">
        <f>발송처리!AW614</f>
        <v>0</v>
      </c>
      <c r="K614" t="e">
        <f t="shared" si="11"/>
        <v>#N/A</v>
      </c>
      <c r="L614">
        <f>발송처리!AU614</f>
        <v>0</v>
      </c>
      <c r="M614">
        <f>발송처리!AP614</f>
        <v>0</v>
      </c>
      <c r="N614">
        <f>발송처리!AV614</f>
        <v>0</v>
      </c>
      <c r="O614">
        <f>발송처리!AR614</f>
        <v>0</v>
      </c>
      <c r="P614">
        <f>발송처리!K614</f>
        <v>0</v>
      </c>
      <c r="Q614" s="2">
        <f>발송처리!AC614</f>
        <v>0</v>
      </c>
    </row>
    <row r="615" spans="1:17">
      <c r="A615">
        <f>발송처리!A615</f>
        <v>0</v>
      </c>
      <c r="B615">
        <f>발송처리!M615</f>
        <v>0</v>
      </c>
      <c r="E615" t="e">
        <f>VLOOKUP(발송처리!V615,'상품DB(수정x)'!B:E,2,0)</f>
        <v>#N/A</v>
      </c>
      <c r="F615" s="13" t="e">
        <f>VLOOKUP(발송처리!V615,'상품DB(수정x)'!B:E,4,0)</f>
        <v>#N/A</v>
      </c>
      <c r="G615" s="8">
        <f>발송처리!X615</f>
        <v>0</v>
      </c>
      <c r="I615">
        <f>발송처리!AW615</f>
        <v>0</v>
      </c>
      <c r="K615" t="e">
        <f t="shared" si="11"/>
        <v>#N/A</v>
      </c>
      <c r="L615">
        <f>발송처리!AU615</f>
        <v>0</v>
      </c>
      <c r="M615">
        <f>발송처리!AP615</f>
        <v>0</v>
      </c>
      <c r="N615">
        <f>발송처리!AV615</f>
        <v>0</v>
      </c>
      <c r="O615">
        <f>발송처리!AR615</f>
        <v>0</v>
      </c>
      <c r="P615">
        <f>발송처리!K615</f>
        <v>0</v>
      </c>
      <c r="Q615" s="2">
        <f>발송처리!AC615</f>
        <v>0</v>
      </c>
    </row>
    <row r="616" spans="1:17">
      <c r="A616">
        <f>발송처리!A616</f>
        <v>0</v>
      </c>
      <c r="B616">
        <f>발송처리!M616</f>
        <v>0</v>
      </c>
      <c r="E616" t="e">
        <f>VLOOKUP(발송처리!V616,'상품DB(수정x)'!B:E,2,0)</f>
        <v>#N/A</v>
      </c>
      <c r="F616" s="13" t="e">
        <f>VLOOKUP(발송처리!V616,'상품DB(수정x)'!B:E,4,0)</f>
        <v>#N/A</v>
      </c>
      <c r="G616" s="8">
        <f>발송처리!X616</f>
        <v>0</v>
      </c>
      <c r="I616">
        <f>발송처리!AW616</f>
        <v>0</v>
      </c>
      <c r="K616" t="e">
        <f t="shared" si="11"/>
        <v>#N/A</v>
      </c>
      <c r="L616">
        <f>발송처리!AU616</f>
        <v>0</v>
      </c>
      <c r="M616">
        <f>발송처리!AP616</f>
        <v>0</v>
      </c>
      <c r="N616">
        <f>발송처리!AV616</f>
        <v>0</v>
      </c>
      <c r="O616">
        <f>발송처리!AR616</f>
        <v>0</v>
      </c>
      <c r="P616">
        <f>발송처리!K616</f>
        <v>0</v>
      </c>
      <c r="Q616" s="2">
        <f>발송처리!AC616</f>
        <v>0</v>
      </c>
    </row>
    <row r="617" spans="1:17">
      <c r="A617">
        <f>발송처리!A617</f>
        <v>0</v>
      </c>
      <c r="B617">
        <f>발송처리!M617</f>
        <v>0</v>
      </c>
      <c r="E617" t="e">
        <f>VLOOKUP(발송처리!V617,'상품DB(수정x)'!B:E,2,0)</f>
        <v>#N/A</v>
      </c>
      <c r="F617" s="13" t="e">
        <f>VLOOKUP(발송처리!V617,'상품DB(수정x)'!B:E,4,0)</f>
        <v>#N/A</v>
      </c>
      <c r="G617" s="8">
        <f>발송처리!X617</f>
        <v>0</v>
      </c>
      <c r="I617">
        <f>발송처리!AW617</f>
        <v>0</v>
      </c>
      <c r="K617" t="e">
        <f t="shared" si="11"/>
        <v>#N/A</v>
      </c>
      <c r="L617">
        <f>발송처리!AU617</f>
        <v>0</v>
      </c>
      <c r="M617">
        <f>발송처리!AP617</f>
        <v>0</v>
      </c>
      <c r="N617">
        <f>발송처리!AV617</f>
        <v>0</v>
      </c>
      <c r="O617">
        <f>발송처리!AR617</f>
        <v>0</v>
      </c>
      <c r="P617">
        <f>발송처리!K617</f>
        <v>0</v>
      </c>
      <c r="Q617" s="2">
        <f>발송처리!AC617</f>
        <v>0</v>
      </c>
    </row>
    <row r="618" spans="1:17">
      <c r="A618">
        <f>발송처리!A618</f>
        <v>0</v>
      </c>
      <c r="B618">
        <f>발송처리!M618</f>
        <v>0</v>
      </c>
      <c r="E618" t="e">
        <f>VLOOKUP(발송처리!V618,'상품DB(수정x)'!B:E,2,0)</f>
        <v>#N/A</v>
      </c>
      <c r="F618" s="13" t="e">
        <f>VLOOKUP(발송처리!V618,'상품DB(수정x)'!B:E,4,0)</f>
        <v>#N/A</v>
      </c>
      <c r="G618" s="8">
        <f>발송처리!X618</f>
        <v>0</v>
      </c>
      <c r="I618">
        <f>발송처리!AW618</f>
        <v>0</v>
      </c>
      <c r="K618" t="e">
        <f t="shared" si="11"/>
        <v>#N/A</v>
      </c>
      <c r="L618">
        <f>발송처리!AU618</f>
        <v>0</v>
      </c>
      <c r="M618">
        <f>발송처리!AP618</f>
        <v>0</v>
      </c>
      <c r="N618">
        <f>발송처리!AV618</f>
        <v>0</v>
      </c>
      <c r="O618">
        <f>발송처리!AR618</f>
        <v>0</v>
      </c>
      <c r="P618">
        <f>발송처리!K618</f>
        <v>0</v>
      </c>
      <c r="Q618" s="2">
        <f>발송처리!AC618</f>
        <v>0</v>
      </c>
    </row>
    <row r="619" spans="1:17">
      <c r="A619">
        <f>발송처리!A619</f>
        <v>0</v>
      </c>
      <c r="B619">
        <f>발송처리!M619</f>
        <v>0</v>
      </c>
      <c r="E619" t="e">
        <f>VLOOKUP(발송처리!V619,'상품DB(수정x)'!B:E,2,0)</f>
        <v>#N/A</v>
      </c>
      <c r="F619" s="13" t="e">
        <f>VLOOKUP(발송처리!V619,'상품DB(수정x)'!B:E,4,0)</f>
        <v>#N/A</v>
      </c>
      <c r="G619" s="8">
        <f>발송처리!X619</f>
        <v>0</v>
      </c>
      <c r="I619">
        <f>발송처리!AW619</f>
        <v>0</v>
      </c>
      <c r="K619" t="e">
        <f t="shared" si="11"/>
        <v>#N/A</v>
      </c>
      <c r="L619">
        <f>발송처리!AU619</f>
        <v>0</v>
      </c>
      <c r="M619">
        <f>발송처리!AP619</f>
        <v>0</v>
      </c>
      <c r="N619">
        <f>발송처리!AV619</f>
        <v>0</v>
      </c>
      <c r="O619">
        <f>발송처리!AR619</f>
        <v>0</v>
      </c>
      <c r="P619">
        <f>발송처리!K619</f>
        <v>0</v>
      </c>
      <c r="Q619" s="2">
        <f>발송처리!AC619</f>
        <v>0</v>
      </c>
    </row>
    <row r="620" spans="1:17">
      <c r="A620">
        <f>발송처리!A620</f>
        <v>0</v>
      </c>
      <c r="B620">
        <f>발송처리!M620</f>
        <v>0</v>
      </c>
      <c r="E620" t="e">
        <f>VLOOKUP(발송처리!V620,'상품DB(수정x)'!B:E,2,0)</f>
        <v>#N/A</v>
      </c>
      <c r="F620" s="13" t="e">
        <f>VLOOKUP(발송처리!V620,'상품DB(수정x)'!B:E,4,0)</f>
        <v>#N/A</v>
      </c>
      <c r="G620" s="8">
        <f>발송처리!X620</f>
        <v>0</v>
      </c>
      <c r="I620">
        <f>발송처리!AW620</f>
        <v>0</v>
      </c>
      <c r="K620" t="e">
        <f t="shared" si="11"/>
        <v>#N/A</v>
      </c>
      <c r="L620">
        <f>발송처리!AU620</f>
        <v>0</v>
      </c>
      <c r="M620">
        <f>발송처리!AP620</f>
        <v>0</v>
      </c>
      <c r="N620">
        <f>발송처리!AV620</f>
        <v>0</v>
      </c>
      <c r="O620">
        <f>발송처리!AR620</f>
        <v>0</v>
      </c>
      <c r="P620">
        <f>발송처리!K620</f>
        <v>0</v>
      </c>
      <c r="Q620" s="2">
        <f>발송처리!AC620</f>
        <v>0</v>
      </c>
    </row>
    <row r="621" spans="1:17">
      <c r="A621">
        <f>발송처리!A621</f>
        <v>0</v>
      </c>
      <c r="B621">
        <f>발송처리!M621</f>
        <v>0</v>
      </c>
      <c r="E621" t="e">
        <f>VLOOKUP(발송처리!V621,'상품DB(수정x)'!B:E,2,0)</f>
        <v>#N/A</v>
      </c>
      <c r="F621" s="13" t="e">
        <f>VLOOKUP(발송처리!V621,'상품DB(수정x)'!B:E,4,0)</f>
        <v>#N/A</v>
      </c>
      <c r="G621" s="8">
        <f>발송처리!X621</f>
        <v>0</v>
      </c>
      <c r="I621">
        <f>발송처리!AW621</f>
        <v>0</v>
      </c>
      <c r="K621" t="e">
        <f t="shared" si="11"/>
        <v>#N/A</v>
      </c>
      <c r="L621">
        <f>발송처리!AU621</f>
        <v>0</v>
      </c>
      <c r="M621">
        <f>발송처리!AP621</f>
        <v>0</v>
      </c>
      <c r="N621">
        <f>발송처리!AV621</f>
        <v>0</v>
      </c>
      <c r="O621">
        <f>발송처리!AR621</f>
        <v>0</v>
      </c>
      <c r="P621">
        <f>발송처리!K621</f>
        <v>0</v>
      </c>
      <c r="Q621" s="2">
        <f>발송처리!AC621</f>
        <v>0</v>
      </c>
    </row>
    <row r="622" spans="1:17">
      <c r="A622">
        <f>발송처리!A622</f>
        <v>0</v>
      </c>
      <c r="B622">
        <f>발송처리!M622</f>
        <v>0</v>
      </c>
      <c r="E622" t="e">
        <f>VLOOKUP(발송처리!V622,'상품DB(수정x)'!B:E,2,0)</f>
        <v>#N/A</v>
      </c>
      <c r="F622" s="13" t="e">
        <f>VLOOKUP(발송처리!V622,'상품DB(수정x)'!B:E,4,0)</f>
        <v>#N/A</v>
      </c>
      <c r="G622" s="8">
        <f>발송처리!X622</f>
        <v>0</v>
      </c>
      <c r="I622">
        <f>발송처리!AW622</f>
        <v>0</v>
      </c>
      <c r="K622" t="e">
        <f t="shared" si="11"/>
        <v>#N/A</v>
      </c>
      <c r="L622">
        <f>발송처리!AU622</f>
        <v>0</v>
      </c>
      <c r="M622">
        <f>발송처리!AP622</f>
        <v>0</v>
      </c>
      <c r="N622">
        <f>발송처리!AV622</f>
        <v>0</v>
      </c>
      <c r="O622">
        <f>발송처리!AR622</f>
        <v>0</v>
      </c>
      <c r="P622">
        <f>발송처리!K622</f>
        <v>0</v>
      </c>
      <c r="Q622" s="2">
        <f>발송처리!AC622</f>
        <v>0</v>
      </c>
    </row>
    <row r="623" spans="1:17">
      <c r="A623">
        <f>발송처리!A623</f>
        <v>0</v>
      </c>
      <c r="B623">
        <f>발송처리!M623</f>
        <v>0</v>
      </c>
      <c r="E623" t="e">
        <f>VLOOKUP(발송처리!V623,'상품DB(수정x)'!B:E,2,0)</f>
        <v>#N/A</v>
      </c>
      <c r="F623" s="13" t="e">
        <f>VLOOKUP(발송처리!V623,'상품DB(수정x)'!B:E,4,0)</f>
        <v>#N/A</v>
      </c>
      <c r="G623" s="8">
        <f>발송처리!X623</f>
        <v>0</v>
      </c>
      <c r="I623">
        <f>발송처리!AW623</f>
        <v>0</v>
      </c>
      <c r="K623" t="e">
        <f t="shared" si="11"/>
        <v>#N/A</v>
      </c>
      <c r="L623">
        <f>발송처리!AU623</f>
        <v>0</v>
      </c>
      <c r="M623">
        <f>발송처리!AP623</f>
        <v>0</v>
      </c>
      <c r="N623">
        <f>발송처리!AV623</f>
        <v>0</v>
      </c>
      <c r="O623">
        <f>발송처리!AR623</f>
        <v>0</v>
      </c>
      <c r="P623">
        <f>발송처리!K623</f>
        <v>0</v>
      </c>
      <c r="Q623" s="2">
        <f>발송처리!AC623</f>
        <v>0</v>
      </c>
    </row>
    <row r="624" spans="1:17">
      <c r="A624">
        <f>발송처리!A624</f>
        <v>0</v>
      </c>
      <c r="B624">
        <f>발송처리!M624</f>
        <v>0</v>
      </c>
      <c r="E624" t="e">
        <f>VLOOKUP(발송처리!V624,'상품DB(수정x)'!B:E,2,0)</f>
        <v>#N/A</v>
      </c>
      <c r="F624" s="13" t="e">
        <f>VLOOKUP(발송처리!V624,'상품DB(수정x)'!B:E,4,0)</f>
        <v>#N/A</v>
      </c>
      <c r="G624" s="8">
        <f>발송처리!X624</f>
        <v>0</v>
      </c>
      <c r="I624">
        <f>발송처리!AW624</f>
        <v>0</v>
      </c>
      <c r="K624" t="e">
        <f t="shared" si="11"/>
        <v>#N/A</v>
      </c>
      <c r="L624">
        <f>발송처리!AU624</f>
        <v>0</v>
      </c>
      <c r="M624">
        <f>발송처리!AP624</f>
        <v>0</v>
      </c>
      <c r="N624">
        <f>발송처리!AV624</f>
        <v>0</v>
      </c>
      <c r="O624">
        <f>발송처리!AR624</f>
        <v>0</v>
      </c>
      <c r="P624">
        <f>발송처리!K624</f>
        <v>0</v>
      </c>
      <c r="Q624" s="2">
        <f>발송처리!AC624</f>
        <v>0</v>
      </c>
    </row>
    <row r="625" spans="1:17">
      <c r="A625">
        <f>발송처리!A625</f>
        <v>0</v>
      </c>
      <c r="B625">
        <f>발송처리!M625</f>
        <v>0</v>
      </c>
      <c r="E625" t="e">
        <f>VLOOKUP(발송처리!V625,'상품DB(수정x)'!B:E,2,0)</f>
        <v>#N/A</v>
      </c>
      <c r="F625" s="13" t="e">
        <f>VLOOKUP(발송처리!V625,'상품DB(수정x)'!B:E,4,0)</f>
        <v>#N/A</v>
      </c>
      <c r="G625" s="8">
        <f>발송처리!X625</f>
        <v>0</v>
      </c>
      <c r="I625">
        <f>발송처리!AW625</f>
        <v>0</v>
      </c>
      <c r="K625" t="e">
        <f t="shared" si="11"/>
        <v>#N/A</v>
      </c>
      <c r="L625">
        <f>발송처리!AU625</f>
        <v>0</v>
      </c>
      <c r="M625">
        <f>발송처리!AP625</f>
        <v>0</v>
      </c>
      <c r="N625">
        <f>발송처리!AV625</f>
        <v>0</v>
      </c>
      <c r="O625">
        <f>발송처리!AR625</f>
        <v>0</v>
      </c>
      <c r="P625">
        <f>발송처리!K625</f>
        <v>0</v>
      </c>
      <c r="Q625" s="2">
        <f>발송처리!AC625</f>
        <v>0</v>
      </c>
    </row>
    <row r="626" spans="1:17">
      <c r="A626">
        <f>발송처리!A626</f>
        <v>0</v>
      </c>
      <c r="B626">
        <f>발송처리!M626</f>
        <v>0</v>
      </c>
      <c r="E626" t="e">
        <f>VLOOKUP(발송처리!V626,'상품DB(수정x)'!B:E,2,0)</f>
        <v>#N/A</v>
      </c>
      <c r="F626" s="13" t="e">
        <f>VLOOKUP(발송처리!V626,'상품DB(수정x)'!B:E,4,0)</f>
        <v>#N/A</v>
      </c>
      <c r="G626" s="8">
        <f>발송처리!X626</f>
        <v>0</v>
      </c>
      <c r="I626">
        <f>발송처리!AW626</f>
        <v>0</v>
      </c>
      <c r="K626" t="e">
        <f t="shared" si="11"/>
        <v>#N/A</v>
      </c>
      <c r="L626">
        <f>발송처리!AU626</f>
        <v>0</v>
      </c>
      <c r="M626">
        <f>발송처리!AP626</f>
        <v>0</v>
      </c>
      <c r="N626">
        <f>발송처리!AV626</f>
        <v>0</v>
      </c>
      <c r="O626">
        <f>발송처리!AR626</f>
        <v>0</v>
      </c>
      <c r="P626">
        <f>발송처리!K626</f>
        <v>0</v>
      </c>
      <c r="Q626" s="2">
        <f>발송처리!AC626</f>
        <v>0</v>
      </c>
    </row>
    <row r="627" spans="1:17">
      <c r="A627">
        <f>발송처리!A627</f>
        <v>0</v>
      </c>
      <c r="B627">
        <f>발송처리!M627</f>
        <v>0</v>
      </c>
      <c r="E627" t="e">
        <f>VLOOKUP(발송처리!V627,'상품DB(수정x)'!B:E,2,0)</f>
        <v>#N/A</v>
      </c>
      <c r="F627" s="13" t="e">
        <f>VLOOKUP(발송처리!V627,'상품DB(수정x)'!B:E,4,0)</f>
        <v>#N/A</v>
      </c>
      <c r="G627" s="8">
        <f>발송처리!X627</f>
        <v>0</v>
      </c>
      <c r="I627">
        <f>발송처리!AW627</f>
        <v>0</v>
      </c>
      <c r="K627" t="e">
        <f t="shared" si="11"/>
        <v>#N/A</v>
      </c>
      <c r="L627">
        <f>발송처리!AU627</f>
        <v>0</v>
      </c>
      <c r="M627">
        <f>발송처리!AP627</f>
        <v>0</v>
      </c>
      <c r="N627">
        <f>발송처리!AV627</f>
        <v>0</v>
      </c>
      <c r="O627">
        <f>발송처리!AR627</f>
        <v>0</v>
      </c>
      <c r="P627">
        <f>발송처리!K627</f>
        <v>0</v>
      </c>
      <c r="Q627" s="2">
        <f>발송처리!AC627</f>
        <v>0</v>
      </c>
    </row>
    <row r="628" spans="1:17">
      <c r="A628">
        <f>발송처리!A628</f>
        <v>0</v>
      </c>
      <c r="B628">
        <f>발송처리!M628</f>
        <v>0</v>
      </c>
      <c r="E628" t="e">
        <f>VLOOKUP(발송처리!V628,'상품DB(수정x)'!B:E,2,0)</f>
        <v>#N/A</v>
      </c>
      <c r="F628" s="13" t="e">
        <f>VLOOKUP(발송처리!V628,'상품DB(수정x)'!B:E,4,0)</f>
        <v>#N/A</v>
      </c>
      <c r="G628" s="8">
        <f>발송처리!X628</f>
        <v>0</v>
      </c>
      <c r="I628">
        <f>발송처리!AW628</f>
        <v>0</v>
      </c>
      <c r="K628" t="e">
        <f t="shared" si="11"/>
        <v>#N/A</v>
      </c>
      <c r="L628">
        <f>발송처리!AU628</f>
        <v>0</v>
      </c>
      <c r="M628">
        <f>발송처리!AP628</f>
        <v>0</v>
      </c>
      <c r="N628">
        <f>발송처리!AV628</f>
        <v>0</v>
      </c>
      <c r="O628">
        <f>발송처리!AR628</f>
        <v>0</v>
      </c>
      <c r="P628">
        <f>발송처리!K628</f>
        <v>0</v>
      </c>
      <c r="Q628" s="2">
        <f>발송처리!AC628</f>
        <v>0</v>
      </c>
    </row>
    <row r="629" spans="1:17">
      <c r="A629">
        <f>발송처리!A629</f>
        <v>0</v>
      </c>
      <c r="B629">
        <f>발송처리!M629</f>
        <v>0</v>
      </c>
      <c r="E629" t="e">
        <f>VLOOKUP(발송처리!V629,'상품DB(수정x)'!B:E,2,0)</f>
        <v>#N/A</v>
      </c>
      <c r="F629" s="13" t="e">
        <f>VLOOKUP(발송처리!V629,'상품DB(수정x)'!B:E,4,0)</f>
        <v>#N/A</v>
      </c>
      <c r="G629" s="8">
        <f>발송처리!X629</f>
        <v>0</v>
      </c>
      <c r="I629">
        <f>발송처리!AW629</f>
        <v>0</v>
      </c>
      <c r="K629" t="e">
        <f t="shared" si="11"/>
        <v>#N/A</v>
      </c>
      <c r="L629">
        <f>발송처리!AU629</f>
        <v>0</v>
      </c>
      <c r="M629">
        <f>발송처리!AP629</f>
        <v>0</v>
      </c>
      <c r="N629">
        <f>발송처리!AV629</f>
        <v>0</v>
      </c>
      <c r="O629">
        <f>발송처리!AR629</f>
        <v>0</v>
      </c>
      <c r="P629">
        <f>발송처리!K629</f>
        <v>0</v>
      </c>
      <c r="Q629" s="2">
        <f>발송처리!AC629</f>
        <v>0</v>
      </c>
    </row>
    <row r="630" spans="1:17">
      <c r="A630">
        <f>발송처리!A630</f>
        <v>0</v>
      </c>
      <c r="B630">
        <f>발송처리!M630</f>
        <v>0</v>
      </c>
      <c r="E630" t="e">
        <f>VLOOKUP(발송처리!V630,'상품DB(수정x)'!B:E,2,0)</f>
        <v>#N/A</v>
      </c>
      <c r="F630" s="13" t="e">
        <f>VLOOKUP(발송처리!V630,'상품DB(수정x)'!B:E,4,0)</f>
        <v>#N/A</v>
      </c>
      <c r="G630" s="8">
        <f>발송처리!X630</f>
        <v>0</v>
      </c>
      <c r="I630">
        <f>발송처리!AW630</f>
        <v>0</v>
      </c>
      <c r="K630" t="e">
        <f t="shared" si="11"/>
        <v>#N/A</v>
      </c>
      <c r="L630">
        <f>발송처리!AU630</f>
        <v>0</v>
      </c>
      <c r="M630">
        <f>발송처리!AP630</f>
        <v>0</v>
      </c>
      <c r="N630">
        <f>발송처리!AV630</f>
        <v>0</v>
      </c>
      <c r="O630">
        <f>발송처리!AR630</f>
        <v>0</v>
      </c>
      <c r="P630">
        <f>발송처리!K630</f>
        <v>0</v>
      </c>
      <c r="Q630" s="2">
        <f>발송처리!AC630</f>
        <v>0</v>
      </c>
    </row>
    <row r="631" spans="1:17">
      <c r="A631">
        <f>발송처리!A631</f>
        <v>0</v>
      </c>
      <c r="B631">
        <f>발송처리!M631</f>
        <v>0</v>
      </c>
      <c r="E631" t="e">
        <f>VLOOKUP(발송처리!V631,'상품DB(수정x)'!B:E,2,0)</f>
        <v>#N/A</v>
      </c>
      <c r="F631" s="13" t="e">
        <f>VLOOKUP(발송처리!V631,'상품DB(수정x)'!B:E,4,0)</f>
        <v>#N/A</v>
      </c>
      <c r="G631" s="8">
        <f>발송처리!X631</f>
        <v>0</v>
      </c>
      <c r="I631">
        <f>발송처리!AW631</f>
        <v>0</v>
      </c>
      <c r="K631" t="e">
        <f t="shared" si="11"/>
        <v>#N/A</v>
      </c>
      <c r="L631">
        <f>발송처리!AU631</f>
        <v>0</v>
      </c>
      <c r="M631">
        <f>발송처리!AP631</f>
        <v>0</v>
      </c>
      <c r="N631">
        <f>발송처리!AV631</f>
        <v>0</v>
      </c>
      <c r="O631">
        <f>발송처리!AR631</f>
        <v>0</v>
      </c>
      <c r="P631">
        <f>발송처리!K631</f>
        <v>0</v>
      </c>
      <c r="Q631" s="2">
        <f>발송처리!AC631</f>
        <v>0</v>
      </c>
    </row>
    <row r="632" spans="1:17">
      <c r="A632">
        <f>발송처리!A632</f>
        <v>0</v>
      </c>
      <c r="B632">
        <f>발송처리!M632</f>
        <v>0</v>
      </c>
      <c r="E632" t="e">
        <f>VLOOKUP(발송처리!V632,'상품DB(수정x)'!B:E,2,0)</f>
        <v>#N/A</v>
      </c>
      <c r="F632" s="13" t="e">
        <f>VLOOKUP(발송처리!V632,'상품DB(수정x)'!B:E,4,0)</f>
        <v>#N/A</v>
      </c>
      <c r="G632" s="8">
        <f>발송처리!X632</f>
        <v>0</v>
      </c>
      <c r="I632">
        <f>발송처리!AW632</f>
        <v>0</v>
      </c>
      <c r="K632" t="e">
        <f t="shared" si="11"/>
        <v>#N/A</v>
      </c>
      <c r="L632">
        <f>발송처리!AU632</f>
        <v>0</v>
      </c>
      <c r="M632">
        <f>발송처리!AP632</f>
        <v>0</v>
      </c>
      <c r="N632">
        <f>발송처리!AV632</f>
        <v>0</v>
      </c>
      <c r="O632">
        <f>발송처리!AR632</f>
        <v>0</v>
      </c>
      <c r="P632">
        <f>발송처리!K632</f>
        <v>0</v>
      </c>
      <c r="Q632" s="2">
        <f>발송처리!AC632</f>
        <v>0</v>
      </c>
    </row>
    <row r="633" spans="1:17">
      <c r="A633">
        <f>발송처리!A633</f>
        <v>0</v>
      </c>
      <c r="B633">
        <f>발송처리!M633</f>
        <v>0</v>
      </c>
      <c r="E633" t="e">
        <f>VLOOKUP(발송처리!V633,'상품DB(수정x)'!B:E,2,0)</f>
        <v>#N/A</v>
      </c>
      <c r="F633" s="13" t="e">
        <f>VLOOKUP(발송처리!V633,'상품DB(수정x)'!B:E,4,0)</f>
        <v>#N/A</v>
      </c>
      <c r="G633" s="8">
        <f>발송처리!X633</f>
        <v>0</v>
      </c>
      <c r="I633">
        <f>발송처리!AW633</f>
        <v>0</v>
      </c>
      <c r="K633" t="e">
        <f t="shared" si="11"/>
        <v>#N/A</v>
      </c>
      <c r="L633">
        <f>발송처리!AU633</f>
        <v>0</v>
      </c>
      <c r="M633">
        <f>발송처리!AP633</f>
        <v>0</v>
      </c>
      <c r="N633">
        <f>발송처리!AV633</f>
        <v>0</v>
      </c>
      <c r="O633">
        <f>발송처리!AR633</f>
        <v>0</v>
      </c>
      <c r="P633">
        <f>발송처리!K633</f>
        <v>0</v>
      </c>
      <c r="Q633" s="2">
        <f>발송처리!AC633</f>
        <v>0</v>
      </c>
    </row>
    <row r="634" spans="1:17">
      <c r="A634">
        <f>발송처리!A634</f>
        <v>0</v>
      </c>
      <c r="B634">
        <f>발송처리!M634</f>
        <v>0</v>
      </c>
      <c r="E634" t="e">
        <f>VLOOKUP(발송처리!V634,'상품DB(수정x)'!B:E,2,0)</f>
        <v>#N/A</v>
      </c>
      <c r="F634" s="13" t="e">
        <f>VLOOKUP(발송처리!V634,'상품DB(수정x)'!B:E,4,0)</f>
        <v>#N/A</v>
      </c>
      <c r="G634" s="8">
        <f>발송처리!X634</f>
        <v>0</v>
      </c>
      <c r="I634">
        <f>발송처리!AW634</f>
        <v>0</v>
      </c>
      <c r="K634" t="e">
        <f t="shared" si="11"/>
        <v>#N/A</v>
      </c>
      <c r="L634">
        <f>발송처리!AU634</f>
        <v>0</v>
      </c>
      <c r="M634">
        <f>발송처리!AP634</f>
        <v>0</v>
      </c>
      <c r="N634">
        <f>발송처리!AV634</f>
        <v>0</v>
      </c>
      <c r="O634">
        <f>발송처리!AR634</f>
        <v>0</v>
      </c>
      <c r="P634">
        <f>발송처리!K634</f>
        <v>0</v>
      </c>
      <c r="Q634" s="2">
        <f>발송처리!AC634</f>
        <v>0</v>
      </c>
    </row>
    <row r="635" spans="1:17">
      <c r="A635">
        <f>발송처리!A635</f>
        <v>0</v>
      </c>
      <c r="B635">
        <f>발송처리!M635</f>
        <v>0</v>
      </c>
      <c r="E635" t="e">
        <f>VLOOKUP(발송처리!V635,'상품DB(수정x)'!B:E,2,0)</f>
        <v>#N/A</v>
      </c>
      <c r="F635" s="13" t="e">
        <f>VLOOKUP(발송처리!V635,'상품DB(수정x)'!B:E,4,0)</f>
        <v>#N/A</v>
      </c>
      <c r="G635" s="8">
        <f>발송처리!X635</f>
        <v>0</v>
      </c>
      <c r="I635">
        <f>발송처리!AW635</f>
        <v>0</v>
      </c>
      <c r="K635" t="e">
        <f t="shared" si="11"/>
        <v>#N/A</v>
      </c>
      <c r="L635">
        <f>발송처리!AU635</f>
        <v>0</v>
      </c>
      <c r="M635">
        <f>발송처리!AP635</f>
        <v>0</v>
      </c>
      <c r="N635">
        <f>발송처리!AV635</f>
        <v>0</v>
      </c>
      <c r="O635">
        <f>발송처리!AR635</f>
        <v>0</v>
      </c>
      <c r="P635">
        <f>발송처리!K635</f>
        <v>0</v>
      </c>
      <c r="Q635" s="2">
        <f>발송처리!AC635</f>
        <v>0</v>
      </c>
    </row>
    <row r="636" spans="1:17">
      <c r="A636">
        <f>발송처리!A636</f>
        <v>0</v>
      </c>
      <c r="B636">
        <f>발송처리!M636</f>
        <v>0</v>
      </c>
      <c r="E636" t="e">
        <f>VLOOKUP(발송처리!V636,'상품DB(수정x)'!B:E,2,0)</f>
        <v>#N/A</v>
      </c>
      <c r="F636" s="13" t="e">
        <f>VLOOKUP(발송처리!V636,'상품DB(수정x)'!B:E,4,0)</f>
        <v>#N/A</v>
      </c>
      <c r="G636" s="8">
        <f>발송처리!X636</f>
        <v>0</v>
      </c>
      <c r="I636">
        <f>발송처리!AW636</f>
        <v>0</v>
      </c>
      <c r="K636" t="e">
        <f t="shared" si="11"/>
        <v>#N/A</v>
      </c>
      <c r="L636">
        <f>발송처리!AU636</f>
        <v>0</v>
      </c>
      <c r="M636">
        <f>발송처리!AP636</f>
        <v>0</v>
      </c>
      <c r="N636">
        <f>발송처리!AV636</f>
        <v>0</v>
      </c>
      <c r="O636">
        <f>발송처리!AR636</f>
        <v>0</v>
      </c>
      <c r="P636">
        <f>발송처리!K636</f>
        <v>0</v>
      </c>
      <c r="Q636" s="2">
        <f>발송처리!AC636</f>
        <v>0</v>
      </c>
    </row>
    <row r="637" spans="1:17">
      <c r="A637">
        <f>발송처리!A637</f>
        <v>0</v>
      </c>
      <c r="B637">
        <f>발송처리!M637</f>
        <v>0</v>
      </c>
      <c r="E637" t="e">
        <f>VLOOKUP(발송처리!V637,'상품DB(수정x)'!B:E,2,0)</f>
        <v>#N/A</v>
      </c>
      <c r="F637" s="13" t="e">
        <f>VLOOKUP(발송처리!V637,'상품DB(수정x)'!B:E,4,0)</f>
        <v>#N/A</v>
      </c>
      <c r="G637" s="8">
        <f>발송처리!X637</f>
        <v>0</v>
      </c>
      <c r="I637">
        <f>발송처리!AW637</f>
        <v>0</v>
      </c>
      <c r="K637" t="e">
        <f t="shared" si="11"/>
        <v>#N/A</v>
      </c>
      <c r="L637">
        <f>발송처리!AU637</f>
        <v>0</v>
      </c>
      <c r="M637">
        <f>발송처리!AP637</f>
        <v>0</v>
      </c>
      <c r="N637">
        <f>발송처리!AV637</f>
        <v>0</v>
      </c>
      <c r="O637">
        <f>발송처리!AR637</f>
        <v>0</v>
      </c>
      <c r="P637">
        <f>발송처리!K637</f>
        <v>0</v>
      </c>
      <c r="Q637" s="2">
        <f>발송처리!AC637</f>
        <v>0</v>
      </c>
    </row>
    <row r="638" spans="1:17">
      <c r="A638">
        <f>발송처리!A638</f>
        <v>0</v>
      </c>
      <c r="B638">
        <f>발송처리!M638</f>
        <v>0</v>
      </c>
      <c r="E638" t="e">
        <f>VLOOKUP(발송처리!V638,'상품DB(수정x)'!B:E,2,0)</f>
        <v>#N/A</v>
      </c>
      <c r="F638" s="13" t="e">
        <f>VLOOKUP(발송처리!V638,'상품DB(수정x)'!B:E,4,0)</f>
        <v>#N/A</v>
      </c>
      <c r="G638" s="8">
        <f>발송처리!X638</f>
        <v>0</v>
      </c>
      <c r="I638">
        <f>발송처리!AW638</f>
        <v>0</v>
      </c>
      <c r="K638" t="e">
        <f t="shared" si="11"/>
        <v>#N/A</v>
      </c>
      <c r="L638">
        <f>발송처리!AU638</f>
        <v>0</v>
      </c>
      <c r="M638">
        <f>발송처리!AP638</f>
        <v>0</v>
      </c>
      <c r="N638">
        <f>발송처리!AV638</f>
        <v>0</v>
      </c>
      <c r="O638">
        <f>발송처리!AR638</f>
        <v>0</v>
      </c>
      <c r="P638">
        <f>발송처리!K638</f>
        <v>0</v>
      </c>
      <c r="Q638" s="2">
        <f>발송처리!AC638</f>
        <v>0</v>
      </c>
    </row>
    <row r="639" spans="1:17">
      <c r="A639">
        <f>발송처리!A639</f>
        <v>0</v>
      </c>
      <c r="B639">
        <f>발송처리!M639</f>
        <v>0</v>
      </c>
      <c r="E639" t="e">
        <f>VLOOKUP(발송처리!V639,'상품DB(수정x)'!B:E,2,0)</f>
        <v>#N/A</v>
      </c>
      <c r="F639" s="13" t="e">
        <f>VLOOKUP(발송처리!V639,'상품DB(수정x)'!B:E,4,0)</f>
        <v>#N/A</v>
      </c>
      <c r="G639" s="8">
        <f>발송처리!X639</f>
        <v>0</v>
      </c>
      <c r="I639">
        <f>발송처리!AW639</f>
        <v>0</v>
      </c>
      <c r="K639" t="e">
        <f t="shared" si="11"/>
        <v>#N/A</v>
      </c>
      <c r="L639">
        <f>발송처리!AU639</f>
        <v>0</v>
      </c>
      <c r="M639">
        <f>발송처리!AP639</f>
        <v>0</v>
      </c>
      <c r="N639">
        <f>발송처리!AV639</f>
        <v>0</v>
      </c>
      <c r="O639">
        <f>발송처리!AR639</f>
        <v>0</v>
      </c>
      <c r="P639">
        <f>발송처리!K639</f>
        <v>0</v>
      </c>
      <c r="Q639" s="2">
        <f>발송처리!AC639</f>
        <v>0</v>
      </c>
    </row>
    <row r="640" spans="1:17">
      <c r="A640">
        <f>발송처리!A640</f>
        <v>0</v>
      </c>
      <c r="B640">
        <f>발송처리!M640</f>
        <v>0</v>
      </c>
      <c r="E640" t="e">
        <f>VLOOKUP(발송처리!V640,'상품DB(수정x)'!B:E,2,0)</f>
        <v>#N/A</v>
      </c>
      <c r="F640" s="13" t="e">
        <f>VLOOKUP(발송처리!V640,'상품DB(수정x)'!B:E,4,0)</f>
        <v>#N/A</v>
      </c>
      <c r="G640" s="8">
        <f>발송처리!X640</f>
        <v>0</v>
      </c>
      <c r="I640">
        <f>발송처리!AW640</f>
        <v>0</v>
      </c>
      <c r="K640" t="e">
        <f t="shared" si="11"/>
        <v>#N/A</v>
      </c>
      <c r="L640">
        <f>발송처리!AU640</f>
        <v>0</v>
      </c>
      <c r="M640">
        <f>발송처리!AP640</f>
        <v>0</v>
      </c>
      <c r="N640">
        <f>발송처리!AV640</f>
        <v>0</v>
      </c>
      <c r="O640">
        <f>발송처리!AR640</f>
        <v>0</v>
      </c>
      <c r="P640">
        <f>발송처리!K640</f>
        <v>0</v>
      </c>
      <c r="Q640" s="2">
        <f>발송처리!AC640</f>
        <v>0</v>
      </c>
    </row>
    <row r="641" spans="1:17">
      <c r="A641">
        <f>발송처리!A641</f>
        <v>0</v>
      </c>
      <c r="B641">
        <f>발송처리!M641</f>
        <v>0</v>
      </c>
      <c r="E641" t="e">
        <f>VLOOKUP(발송처리!V641,'상품DB(수정x)'!B:E,2,0)</f>
        <v>#N/A</v>
      </c>
      <c r="F641" s="13" t="e">
        <f>VLOOKUP(발송처리!V641,'상품DB(수정x)'!B:E,4,0)</f>
        <v>#N/A</v>
      </c>
      <c r="G641" s="8">
        <f>발송처리!X641</f>
        <v>0</v>
      </c>
      <c r="I641">
        <f>발송처리!AW641</f>
        <v>0</v>
      </c>
      <c r="K641" t="e">
        <f t="shared" si="11"/>
        <v>#N/A</v>
      </c>
      <c r="L641">
        <f>발송처리!AU641</f>
        <v>0</v>
      </c>
      <c r="M641">
        <f>발송처리!AP641</f>
        <v>0</v>
      </c>
      <c r="N641">
        <f>발송처리!AV641</f>
        <v>0</v>
      </c>
      <c r="O641">
        <f>발송처리!AR641</f>
        <v>0</v>
      </c>
      <c r="P641">
        <f>발송처리!K641</f>
        <v>0</v>
      </c>
      <c r="Q641" s="2">
        <f>발송처리!AC641</f>
        <v>0</v>
      </c>
    </row>
    <row r="642" spans="1:17">
      <c r="A642">
        <f>발송처리!A642</f>
        <v>0</v>
      </c>
      <c r="B642">
        <f>발송처리!M642</f>
        <v>0</v>
      </c>
      <c r="E642" t="e">
        <f>VLOOKUP(발송처리!V642,'상품DB(수정x)'!B:E,2,0)</f>
        <v>#N/A</v>
      </c>
      <c r="F642" s="13" t="e">
        <f>VLOOKUP(발송처리!V642,'상품DB(수정x)'!B:E,4,0)</f>
        <v>#N/A</v>
      </c>
      <c r="G642" s="8">
        <f>발송처리!X642</f>
        <v>0</v>
      </c>
      <c r="I642">
        <f>발송처리!AW642</f>
        <v>0</v>
      </c>
      <c r="K642" t="e">
        <f t="shared" si="11"/>
        <v>#N/A</v>
      </c>
      <c r="L642">
        <f>발송처리!AU642</f>
        <v>0</v>
      </c>
      <c r="M642">
        <f>발송처리!AP642</f>
        <v>0</v>
      </c>
      <c r="N642">
        <f>발송처리!AV642</f>
        <v>0</v>
      </c>
      <c r="O642">
        <f>발송처리!AR642</f>
        <v>0</v>
      </c>
      <c r="P642">
        <f>발송처리!K642</f>
        <v>0</v>
      </c>
      <c r="Q642" s="2">
        <f>발송처리!AC642</f>
        <v>0</v>
      </c>
    </row>
    <row r="643" spans="1:17">
      <c r="A643">
        <f>발송처리!A643</f>
        <v>0</v>
      </c>
      <c r="B643">
        <f>발송처리!M643</f>
        <v>0</v>
      </c>
      <c r="E643" t="e">
        <f>VLOOKUP(발송처리!V643,'상품DB(수정x)'!B:E,2,0)</f>
        <v>#N/A</v>
      </c>
      <c r="F643" s="13" t="e">
        <f>VLOOKUP(발송처리!V643,'상품DB(수정x)'!B:E,4,0)</f>
        <v>#N/A</v>
      </c>
      <c r="G643" s="8">
        <f>발송처리!X643</f>
        <v>0</v>
      </c>
      <c r="I643">
        <f>발송처리!AW643</f>
        <v>0</v>
      </c>
      <c r="K643" t="e">
        <f t="shared" ref="K643:K706" si="12">IF(LEFT(E643,1)="2","",IF(LEFT(E643,1)="4","",IF(Q643&gt;=500000,"★증정★테이프20mx2",IF(Q643&gt;=95000,"★증정★테이프20mx1",""))))</f>
        <v>#N/A</v>
      </c>
      <c r="L643">
        <f>발송처리!AU643</f>
        <v>0</v>
      </c>
      <c r="M643">
        <f>발송처리!AP643</f>
        <v>0</v>
      </c>
      <c r="N643">
        <f>발송처리!AV643</f>
        <v>0</v>
      </c>
      <c r="O643">
        <f>발송처리!AR643</f>
        <v>0</v>
      </c>
      <c r="P643">
        <f>발송처리!K643</f>
        <v>0</v>
      </c>
      <c r="Q643" s="2">
        <f>발송처리!AC643</f>
        <v>0</v>
      </c>
    </row>
    <row r="644" spans="1:17">
      <c r="A644">
        <f>발송처리!A644</f>
        <v>0</v>
      </c>
      <c r="B644">
        <f>발송처리!M644</f>
        <v>0</v>
      </c>
      <c r="E644" t="e">
        <f>VLOOKUP(발송처리!V644,'상품DB(수정x)'!B:E,2,0)</f>
        <v>#N/A</v>
      </c>
      <c r="F644" s="13" t="e">
        <f>VLOOKUP(발송처리!V644,'상품DB(수정x)'!B:E,4,0)</f>
        <v>#N/A</v>
      </c>
      <c r="G644" s="8">
        <f>발송처리!X644</f>
        <v>0</v>
      </c>
      <c r="I644">
        <f>발송처리!AW644</f>
        <v>0</v>
      </c>
      <c r="K644" t="e">
        <f t="shared" si="12"/>
        <v>#N/A</v>
      </c>
      <c r="L644">
        <f>발송처리!AU644</f>
        <v>0</v>
      </c>
      <c r="M644">
        <f>발송처리!AP644</f>
        <v>0</v>
      </c>
      <c r="N644">
        <f>발송처리!AV644</f>
        <v>0</v>
      </c>
      <c r="O644">
        <f>발송처리!AR644</f>
        <v>0</v>
      </c>
      <c r="P644">
        <f>발송처리!K644</f>
        <v>0</v>
      </c>
      <c r="Q644" s="2">
        <f>발송처리!AC644</f>
        <v>0</v>
      </c>
    </row>
    <row r="645" spans="1:17">
      <c r="A645">
        <f>발송처리!A645</f>
        <v>0</v>
      </c>
      <c r="B645">
        <f>발송처리!M645</f>
        <v>0</v>
      </c>
      <c r="E645" t="e">
        <f>VLOOKUP(발송처리!V645,'상품DB(수정x)'!B:E,2,0)</f>
        <v>#N/A</v>
      </c>
      <c r="F645" s="13" t="e">
        <f>VLOOKUP(발송처리!V645,'상품DB(수정x)'!B:E,4,0)</f>
        <v>#N/A</v>
      </c>
      <c r="G645" s="8">
        <f>발송처리!X645</f>
        <v>0</v>
      </c>
      <c r="I645">
        <f>발송처리!AW645</f>
        <v>0</v>
      </c>
      <c r="K645" t="e">
        <f t="shared" si="12"/>
        <v>#N/A</v>
      </c>
      <c r="L645">
        <f>발송처리!AU645</f>
        <v>0</v>
      </c>
      <c r="M645">
        <f>발송처리!AP645</f>
        <v>0</v>
      </c>
      <c r="N645">
        <f>발송처리!AV645</f>
        <v>0</v>
      </c>
      <c r="O645">
        <f>발송처리!AR645</f>
        <v>0</v>
      </c>
      <c r="P645">
        <f>발송처리!K645</f>
        <v>0</v>
      </c>
      <c r="Q645" s="2">
        <f>발송처리!AC645</f>
        <v>0</v>
      </c>
    </row>
    <row r="646" spans="1:17">
      <c r="A646">
        <f>발송처리!A646</f>
        <v>0</v>
      </c>
      <c r="B646">
        <f>발송처리!M646</f>
        <v>0</v>
      </c>
      <c r="E646" t="e">
        <f>VLOOKUP(발송처리!V646,'상품DB(수정x)'!B:E,2,0)</f>
        <v>#N/A</v>
      </c>
      <c r="F646" s="13" t="e">
        <f>VLOOKUP(발송처리!V646,'상품DB(수정x)'!B:E,4,0)</f>
        <v>#N/A</v>
      </c>
      <c r="G646" s="8">
        <f>발송처리!X646</f>
        <v>0</v>
      </c>
      <c r="I646">
        <f>발송처리!AW646</f>
        <v>0</v>
      </c>
      <c r="K646" t="e">
        <f t="shared" si="12"/>
        <v>#N/A</v>
      </c>
      <c r="L646">
        <f>발송처리!AU646</f>
        <v>0</v>
      </c>
      <c r="M646">
        <f>발송처리!AP646</f>
        <v>0</v>
      </c>
      <c r="N646">
        <f>발송처리!AV646</f>
        <v>0</v>
      </c>
      <c r="O646">
        <f>발송처리!AR646</f>
        <v>0</v>
      </c>
      <c r="P646">
        <f>발송처리!K646</f>
        <v>0</v>
      </c>
      <c r="Q646" s="2">
        <f>발송처리!AC646</f>
        <v>0</v>
      </c>
    </row>
    <row r="647" spans="1:17">
      <c r="A647">
        <f>발송처리!A647</f>
        <v>0</v>
      </c>
      <c r="B647">
        <f>발송처리!M647</f>
        <v>0</v>
      </c>
      <c r="E647" t="e">
        <f>VLOOKUP(발송처리!V647,'상품DB(수정x)'!B:E,2,0)</f>
        <v>#N/A</v>
      </c>
      <c r="F647" s="13" t="e">
        <f>VLOOKUP(발송처리!V647,'상품DB(수정x)'!B:E,4,0)</f>
        <v>#N/A</v>
      </c>
      <c r="G647" s="8">
        <f>발송처리!X647</f>
        <v>0</v>
      </c>
      <c r="I647">
        <f>발송처리!AW647</f>
        <v>0</v>
      </c>
      <c r="K647" t="e">
        <f t="shared" si="12"/>
        <v>#N/A</v>
      </c>
      <c r="L647">
        <f>발송처리!AU647</f>
        <v>0</v>
      </c>
      <c r="M647">
        <f>발송처리!AP647</f>
        <v>0</v>
      </c>
      <c r="N647">
        <f>발송처리!AV647</f>
        <v>0</v>
      </c>
      <c r="O647">
        <f>발송처리!AR647</f>
        <v>0</v>
      </c>
      <c r="P647">
        <f>발송처리!K647</f>
        <v>0</v>
      </c>
      <c r="Q647" s="2">
        <f>발송처리!AC647</f>
        <v>0</v>
      </c>
    </row>
    <row r="648" spans="1:17">
      <c r="A648">
        <f>발송처리!A648</f>
        <v>0</v>
      </c>
      <c r="B648">
        <f>발송처리!M648</f>
        <v>0</v>
      </c>
      <c r="E648" t="e">
        <f>VLOOKUP(발송처리!V648,'상품DB(수정x)'!B:E,2,0)</f>
        <v>#N/A</v>
      </c>
      <c r="F648" s="13" t="e">
        <f>VLOOKUP(발송처리!V648,'상품DB(수정x)'!B:E,4,0)</f>
        <v>#N/A</v>
      </c>
      <c r="G648" s="8">
        <f>발송처리!X648</f>
        <v>0</v>
      </c>
      <c r="I648">
        <f>발송처리!AW648</f>
        <v>0</v>
      </c>
      <c r="K648" t="e">
        <f t="shared" si="12"/>
        <v>#N/A</v>
      </c>
      <c r="L648">
        <f>발송처리!AU648</f>
        <v>0</v>
      </c>
      <c r="M648">
        <f>발송처리!AP648</f>
        <v>0</v>
      </c>
      <c r="N648">
        <f>발송처리!AV648</f>
        <v>0</v>
      </c>
      <c r="O648">
        <f>발송처리!AR648</f>
        <v>0</v>
      </c>
      <c r="P648">
        <f>발송처리!K648</f>
        <v>0</v>
      </c>
      <c r="Q648" s="2">
        <f>발송처리!AC648</f>
        <v>0</v>
      </c>
    </row>
    <row r="649" spans="1:17">
      <c r="A649">
        <f>발송처리!A649</f>
        <v>0</v>
      </c>
      <c r="B649">
        <f>발송처리!M649</f>
        <v>0</v>
      </c>
      <c r="E649" t="e">
        <f>VLOOKUP(발송처리!V649,'상품DB(수정x)'!B:E,2,0)</f>
        <v>#N/A</v>
      </c>
      <c r="F649" s="13" t="e">
        <f>VLOOKUP(발송처리!V649,'상품DB(수정x)'!B:E,4,0)</f>
        <v>#N/A</v>
      </c>
      <c r="G649" s="8">
        <f>발송처리!X649</f>
        <v>0</v>
      </c>
      <c r="I649">
        <f>발송처리!AW649</f>
        <v>0</v>
      </c>
      <c r="K649" t="e">
        <f t="shared" si="12"/>
        <v>#N/A</v>
      </c>
      <c r="L649">
        <f>발송처리!AU649</f>
        <v>0</v>
      </c>
      <c r="M649">
        <f>발송처리!AP649</f>
        <v>0</v>
      </c>
      <c r="N649">
        <f>발송처리!AV649</f>
        <v>0</v>
      </c>
      <c r="O649">
        <f>발송처리!AR649</f>
        <v>0</v>
      </c>
      <c r="P649">
        <f>발송처리!K649</f>
        <v>0</v>
      </c>
      <c r="Q649" s="2">
        <f>발송처리!AC649</f>
        <v>0</v>
      </c>
    </row>
    <row r="650" spans="1:17">
      <c r="A650">
        <f>발송처리!A650</f>
        <v>0</v>
      </c>
      <c r="B650">
        <f>발송처리!M650</f>
        <v>0</v>
      </c>
      <c r="E650" t="e">
        <f>VLOOKUP(발송처리!V650,'상품DB(수정x)'!B:E,2,0)</f>
        <v>#N/A</v>
      </c>
      <c r="F650" s="13" t="e">
        <f>VLOOKUP(발송처리!V650,'상품DB(수정x)'!B:E,4,0)</f>
        <v>#N/A</v>
      </c>
      <c r="G650" s="8">
        <f>발송처리!X650</f>
        <v>0</v>
      </c>
      <c r="I650">
        <f>발송처리!AW650</f>
        <v>0</v>
      </c>
      <c r="K650" t="e">
        <f t="shared" si="12"/>
        <v>#N/A</v>
      </c>
      <c r="L650">
        <f>발송처리!AU650</f>
        <v>0</v>
      </c>
      <c r="M650">
        <f>발송처리!AP650</f>
        <v>0</v>
      </c>
      <c r="N650">
        <f>발송처리!AV650</f>
        <v>0</v>
      </c>
      <c r="O650">
        <f>발송처리!AR650</f>
        <v>0</v>
      </c>
      <c r="P650">
        <f>발송처리!K650</f>
        <v>0</v>
      </c>
      <c r="Q650" s="2">
        <f>발송처리!AC650</f>
        <v>0</v>
      </c>
    </row>
    <row r="651" spans="1:17">
      <c r="A651">
        <f>발송처리!A651</f>
        <v>0</v>
      </c>
      <c r="B651">
        <f>발송처리!M651</f>
        <v>0</v>
      </c>
      <c r="E651" t="e">
        <f>VLOOKUP(발송처리!V651,'상품DB(수정x)'!B:E,2,0)</f>
        <v>#N/A</v>
      </c>
      <c r="F651" s="13" t="e">
        <f>VLOOKUP(발송처리!V651,'상품DB(수정x)'!B:E,4,0)</f>
        <v>#N/A</v>
      </c>
      <c r="G651" s="8">
        <f>발송처리!X651</f>
        <v>0</v>
      </c>
      <c r="I651">
        <f>발송처리!AW651</f>
        <v>0</v>
      </c>
      <c r="K651" t="e">
        <f t="shared" si="12"/>
        <v>#N/A</v>
      </c>
      <c r="L651">
        <f>발송처리!AU651</f>
        <v>0</v>
      </c>
      <c r="M651">
        <f>발송처리!AP651</f>
        <v>0</v>
      </c>
      <c r="N651">
        <f>발송처리!AV651</f>
        <v>0</v>
      </c>
      <c r="O651">
        <f>발송처리!AR651</f>
        <v>0</v>
      </c>
      <c r="P651">
        <f>발송처리!K651</f>
        <v>0</v>
      </c>
      <c r="Q651" s="2">
        <f>발송처리!AC651</f>
        <v>0</v>
      </c>
    </row>
    <row r="652" spans="1:17">
      <c r="A652">
        <f>발송처리!A652</f>
        <v>0</v>
      </c>
      <c r="B652">
        <f>발송처리!M652</f>
        <v>0</v>
      </c>
      <c r="E652" t="e">
        <f>VLOOKUP(발송처리!V652,'상품DB(수정x)'!B:E,2,0)</f>
        <v>#N/A</v>
      </c>
      <c r="F652" s="13" t="e">
        <f>VLOOKUP(발송처리!V652,'상품DB(수정x)'!B:E,4,0)</f>
        <v>#N/A</v>
      </c>
      <c r="G652" s="8">
        <f>발송처리!X652</f>
        <v>0</v>
      </c>
      <c r="I652">
        <f>발송처리!AW652</f>
        <v>0</v>
      </c>
      <c r="K652" t="e">
        <f t="shared" si="12"/>
        <v>#N/A</v>
      </c>
      <c r="L652">
        <f>발송처리!AU652</f>
        <v>0</v>
      </c>
      <c r="M652">
        <f>발송처리!AP652</f>
        <v>0</v>
      </c>
      <c r="N652">
        <f>발송처리!AV652</f>
        <v>0</v>
      </c>
      <c r="O652">
        <f>발송처리!AR652</f>
        <v>0</v>
      </c>
      <c r="P652">
        <f>발송처리!K652</f>
        <v>0</v>
      </c>
      <c r="Q652" s="2">
        <f>발송처리!AC652</f>
        <v>0</v>
      </c>
    </row>
    <row r="653" spans="1:17">
      <c r="A653">
        <f>발송처리!A653</f>
        <v>0</v>
      </c>
      <c r="B653">
        <f>발송처리!M653</f>
        <v>0</v>
      </c>
      <c r="E653" t="e">
        <f>VLOOKUP(발송처리!V653,'상품DB(수정x)'!B:E,2,0)</f>
        <v>#N/A</v>
      </c>
      <c r="F653" s="13" t="e">
        <f>VLOOKUP(발송처리!V653,'상품DB(수정x)'!B:E,4,0)</f>
        <v>#N/A</v>
      </c>
      <c r="G653" s="8">
        <f>발송처리!X653</f>
        <v>0</v>
      </c>
      <c r="I653">
        <f>발송처리!AW653</f>
        <v>0</v>
      </c>
      <c r="K653" t="e">
        <f t="shared" si="12"/>
        <v>#N/A</v>
      </c>
      <c r="L653">
        <f>발송처리!AU653</f>
        <v>0</v>
      </c>
      <c r="M653">
        <f>발송처리!AP653</f>
        <v>0</v>
      </c>
      <c r="N653">
        <f>발송처리!AV653</f>
        <v>0</v>
      </c>
      <c r="O653">
        <f>발송처리!AR653</f>
        <v>0</v>
      </c>
      <c r="P653">
        <f>발송처리!K653</f>
        <v>0</v>
      </c>
      <c r="Q653" s="2">
        <f>발송처리!AC653</f>
        <v>0</v>
      </c>
    </row>
    <row r="654" spans="1:17">
      <c r="A654">
        <f>발송처리!A654</f>
        <v>0</v>
      </c>
      <c r="B654">
        <f>발송처리!M654</f>
        <v>0</v>
      </c>
      <c r="E654" t="e">
        <f>VLOOKUP(발송처리!V654,'상품DB(수정x)'!B:E,2,0)</f>
        <v>#N/A</v>
      </c>
      <c r="F654" s="13" t="e">
        <f>VLOOKUP(발송처리!V654,'상품DB(수정x)'!B:E,4,0)</f>
        <v>#N/A</v>
      </c>
      <c r="G654" s="8">
        <f>발송처리!X654</f>
        <v>0</v>
      </c>
      <c r="I654">
        <f>발송처리!AW654</f>
        <v>0</v>
      </c>
      <c r="K654" t="e">
        <f t="shared" si="12"/>
        <v>#N/A</v>
      </c>
      <c r="L654">
        <f>발송처리!AU654</f>
        <v>0</v>
      </c>
      <c r="M654">
        <f>발송처리!AP654</f>
        <v>0</v>
      </c>
      <c r="N654">
        <f>발송처리!AV654</f>
        <v>0</v>
      </c>
      <c r="O654">
        <f>발송처리!AR654</f>
        <v>0</v>
      </c>
      <c r="P654">
        <f>발송처리!K654</f>
        <v>0</v>
      </c>
      <c r="Q654" s="2">
        <f>발송처리!AC654</f>
        <v>0</v>
      </c>
    </row>
    <row r="655" spans="1:17">
      <c r="A655">
        <f>발송처리!A655</f>
        <v>0</v>
      </c>
      <c r="B655">
        <f>발송처리!M655</f>
        <v>0</v>
      </c>
      <c r="E655" t="e">
        <f>VLOOKUP(발송처리!V655,'상품DB(수정x)'!B:E,2,0)</f>
        <v>#N/A</v>
      </c>
      <c r="F655" s="13" t="e">
        <f>VLOOKUP(발송처리!V655,'상품DB(수정x)'!B:E,4,0)</f>
        <v>#N/A</v>
      </c>
      <c r="G655" s="8">
        <f>발송처리!X655</f>
        <v>0</v>
      </c>
      <c r="I655">
        <f>발송처리!AW655</f>
        <v>0</v>
      </c>
      <c r="K655" t="e">
        <f t="shared" si="12"/>
        <v>#N/A</v>
      </c>
      <c r="L655">
        <f>발송처리!AU655</f>
        <v>0</v>
      </c>
      <c r="M655">
        <f>발송처리!AP655</f>
        <v>0</v>
      </c>
      <c r="N655">
        <f>발송처리!AV655</f>
        <v>0</v>
      </c>
      <c r="O655">
        <f>발송처리!AR655</f>
        <v>0</v>
      </c>
      <c r="P655">
        <f>발송처리!K655</f>
        <v>0</v>
      </c>
      <c r="Q655" s="2">
        <f>발송처리!AC655</f>
        <v>0</v>
      </c>
    </row>
    <row r="656" spans="1:17">
      <c r="A656">
        <f>발송처리!A656</f>
        <v>0</v>
      </c>
      <c r="B656">
        <f>발송처리!M656</f>
        <v>0</v>
      </c>
      <c r="E656" t="e">
        <f>VLOOKUP(발송처리!V656,'상품DB(수정x)'!B:E,2,0)</f>
        <v>#N/A</v>
      </c>
      <c r="F656" s="13" t="e">
        <f>VLOOKUP(발송처리!V656,'상품DB(수정x)'!B:E,4,0)</f>
        <v>#N/A</v>
      </c>
      <c r="G656" s="8">
        <f>발송처리!X656</f>
        <v>0</v>
      </c>
      <c r="I656">
        <f>발송처리!AW656</f>
        <v>0</v>
      </c>
      <c r="K656" t="e">
        <f t="shared" si="12"/>
        <v>#N/A</v>
      </c>
      <c r="L656">
        <f>발송처리!AU656</f>
        <v>0</v>
      </c>
      <c r="M656">
        <f>발송처리!AP656</f>
        <v>0</v>
      </c>
      <c r="N656">
        <f>발송처리!AV656</f>
        <v>0</v>
      </c>
      <c r="O656">
        <f>발송처리!AR656</f>
        <v>0</v>
      </c>
      <c r="P656">
        <f>발송처리!K656</f>
        <v>0</v>
      </c>
      <c r="Q656" s="2">
        <f>발송처리!AC656</f>
        <v>0</v>
      </c>
    </row>
    <row r="657" spans="1:17">
      <c r="A657">
        <f>발송처리!A657</f>
        <v>0</v>
      </c>
      <c r="B657">
        <f>발송처리!M657</f>
        <v>0</v>
      </c>
      <c r="E657" t="e">
        <f>VLOOKUP(발송처리!V657,'상품DB(수정x)'!B:E,2,0)</f>
        <v>#N/A</v>
      </c>
      <c r="F657" s="13" t="e">
        <f>VLOOKUP(발송처리!V657,'상품DB(수정x)'!B:E,4,0)</f>
        <v>#N/A</v>
      </c>
      <c r="G657" s="8">
        <f>발송처리!X657</f>
        <v>0</v>
      </c>
      <c r="I657">
        <f>발송처리!AW657</f>
        <v>0</v>
      </c>
      <c r="K657" t="e">
        <f t="shared" si="12"/>
        <v>#N/A</v>
      </c>
      <c r="L657">
        <f>발송처리!AU657</f>
        <v>0</v>
      </c>
      <c r="M657">
        <f>발송처리!AP657</f>
        <v>0</v>
      </c>
      <c r="N657">
        <f>발송처리!AV657</f>
        <v>0</v>
      </c>
      <c r="O657">
        <f>발송처리!AR657</f>
        <v>0</v>
      </c>
      <c r="P657">
        <f>발송처리!K657</f>
        <v>0</v>
      </c>
      <c r="Q657" s="2">
        <f>발송처리!AC657</f>
        <v>0</v>
      </c>
    </row>
    <row r="658" spans="1:17">
      <c r="A658">
        <f>발송처리!A658</f>
        <v>0</v>
      </c>
      <c r="B658">
        <f>발송처리!M658</f>
        <v>0</v>
      </c>
      <c r="E658" t="e">
        <f>VLOOKUP(발송처리!V658,'상품DB(수정x)'!B:E,2,0)</f>
        <v>#N/A</v>
      </c>
      <c r="F658" s="13" t="e">
        <f>VLOOKUP(발송처리!V658,'상품DB(수정x)'!B:E,4,0)</f>
        <v>#N/A</v>
      </c>
      <c r="G658" s="8">
        <f>발송처리!X658</f>
        <v>0</v>
      </c>
      <c r="I658">
        <f>발송처리!AW658</f>
        <v>0</v>
      </c>
      <c r="K658" t="e">
        <f t="shared" si="12"/>
        <v>#N/A</v>
      </c>
      <c r="L658">
        <f>발송처리!AU658</f>
        <v>0</v>
      </c>
      <c r="M658">
        <f>발송처리!AP658</f>
        <v>0</v>
      </c>
      <c r="N658">
        <f>발송처리!AV658</f>
        <v>0</v>
      </c>
      <c r="O658">
        <f>발송처리!AR658</f>
        <v>0</v>
      </c>
      <c r="P658">
        <f>발송처리!K658</f>
        <v>0</v>
      </c>
      <c r="Q658" s="2">
        <f>발송처리!AC658</f>
        <v>0</v>
      </c>
    </row>
    <row r="659" spans="1:17">
      <c r="A659">
        <f>발송처리!A659</f>
        <v>0</v>
      </c>
      <c r="B659">
        <f>발송처리!M659</f>
        <v>0</v>
      </c>
      <c r="E659" t="e">
        <f>VLOOKUP(발송처리!V659,'상품DB(수정x)'!B:E,2,0)</f>
        <v>#N/A</v>
      </c>
      <c r="F659" s="13" t="e">
        <f>VLOOKUP(발송처리!V659,'상품DB(수정x)'!B:E,4,0)</f>
        <v>#N/A</v>
      </c>
      <c r="G659" s="8">
        <f>발송처리!X659</f>
        <v>0</v>
      </c>
      <c r="I659">
        <f>발송처리!AW659</f>
        <v>0</v>
      </c>
      <c r="K659" t="e">
        <f t="shared" si="12"/>
        <v>#N/A</v>
      </c>
      <c r="L659">
        <f>발송처리!AU659</f>
        <v>0</v>
      </c>
      <c r="M659">
        <f>발송처리!AP659</f>
        <v>0</v>
      </c>
      <c r="N659">
        <f>발송처리!AV659</f>
        <v>0</v>
      </c>
      <c r="O659">
        <f>발송처리!AR659</f>
        <v>0</v>
      </c>
      <c r="P659">
        <f>발송처리!K659</f>
        <v>0</v>
      </c>
      <c r="Q659" s="2">
        <f>발송처리!AC659</f>
        <v>0</v>
      </c>
    </row>
    <row r="660" spans="1:17">
      <c r="A660">
        <f>발송처리!A660</f>
        <v>0</v>
      </c>
      <c r="B660">
        <f>발송처리!M660</f>
        <v>0</v>
      </c>
      <c r="E660" t="e">
        <f>VLOOKUP(발송처리!V660,'상품DB(수정x)'!B:E,2,0)</f>
        <v>#N/A</v>
      </c>
      <c r="F660" s="13" t="e">
        <f>VLOOKUP(발송처리!V660,'상품DB(수정x)'!B:E,4,0)</f>
        <v>#N/A</v>
      </c>
      <c r="G660" s="8">
        <f>발송처리!X660</f>
        <v>0</v>
      </c>
      <c r="I660">
        <f>발송처리!AW660</f>
        <v>0</v>
      </c>
      <c r="K660" t="e">
        <f t="shared" si="12"/>
        <v>#N/A</v>
      </c>
      <c r="L660">
        <f>발송처리!AU660</f>
        <v>0</v>
      </c>
      <c r="M660">
        <f>발송처리!AP660</f>
        <v>0</v>
      </c>
      <c r="N660">
        <f>발송처리!AV660</f>
        <v>0</v>
      </c>
      <c r="O660">
        <f>발송처리!AR660</f>
        <v>0</v>
      </c>
      <c r="P660">
        <f>발송처리!K660</f>
        <v>0</v>
      </c>
      <c r="Q660" s="2">
        <f>발송처리!AC660</f>
        <v>0</v>
      </c>
    </row>
    <row r="661" spans="1:17">
      <c r="A661">
        <f>발송처리!A661</f>
        <v>0</v>
      </c>
      <c r="B661">
        <f>발송처리!M661</f>
        <v>0</v>
      </c>
      <c r="E661" t="e">
        <f>VLOOKUP(발송처리!V661,'상품DB(수정x)'!B:E,2,0)</f>
        <v>#N/A</v>
      </c>
      <c r="F661" s="13" t="e">
        <f>VLOOKUP(발송처리!V661,'상품DB(수정x)'!B:E,4,0)</f>
        <v>#N/A</v>
      </c>
      <c r="G661" s="8">
        <f>발송처리!X661</f>
        <v>0</v>
      </c>
      <c r="I661">
        <f>발송처리!AW661</f>
        <v>0</v>
      </c>
      <c r="K661" t="e">
        <f t="shared" si="12"/>
        <v>#N/A</v>
      </c>
      <c r="L661">
        <f>발송처리!AU661</f>
        <v>0</v>
      </c>
      <c r="M661">
        <f>발송처리!AP661</f>
        <v>0</v>
      </c>
      <c r="N661">
        <f>발송처리!AV661</f>
        <v>0</v>
      </c>
      <c r="O661">
        <f>발송처리!AR661</f>
        <v>0</v>
      </c>
      <c r="P661">
        <f>발송처리!K661</f>
        <v>0</v>
      </c>
      <c r="Q661" s="2">
        <f>발송처리!AC661</f>
        <v>0</v>
      </c>
    </row>
    <row r="662" spans="1:17">
      <c r="A662">
        <f>발송처리!A662</f>
        <v>0</v>
      </c>
      <c r="B662">
        <f>발송처리!M662</f>
        <v>0</v>
      </c>
      <c r="E662" t="e">
        <f>VLOOKUP(발송처리!V662,'상품DB(수정x)'!B:E,2,0)</f>
        <v>#N/A</v>
      </c>
      <c r="F662" s="13" t="e">
        <f>VLOOKUP(발송처리!V662,'상품DB(수정x)'!B:E,4,0)</f>
        <v>#N/A</v>
      </c>
      <c r="G662" s="8">
        <f>발송처리!X662</f>
        <v>0</v>
      </c>
      <c r="I662">
        <f>발송처리!AW662</f>
        <v>0</v>
      </c>
      <c r="K662" t="e">
        <f t="shared" si="12"/>
        <v>#N/A</v>
      </c>
      <c r="L662">
        <f>발송처리!AU662</f>
        <v>0</v>
      </c>
      <c r="M662">
        <f>발송처리!AP662</f>
        <v>0</v>
      </c>
      <c r="N662">
        <f>발송처리!AV662</f>
        <v>0</v>
      </c>
      <c r="O662">
        <f>발송처리!AR662</f>
        <v>0</v>
      </c>
      <c r="P662">
        <f>발송처리!K662</f>
        <v>0</v>
      </c>
      <c r="Q662" s="2">
        <f>발송처리!AC662</f>
        <v>0</v>
      </c>
    </row>
    <row r="663" spans="1:17">
      <c r="A663">
        <f>발송처리!A663</f>
        <v>0</v>
      </c>
      <c r="B663">
        <f>발송처리!M663</f>
        <v>0</v>
      </c>
      <c r="E663" t="e">
        <f>VLOOKUP(발송처리!V663,'상품DB(수정x)'!B:E,2,0)</f>
        <v>#N/A</v>
      </c>
      <c r="F663" s="13" t="e">
        <f>VLOOKUP(발송처리!V663,'상품DB(수정x)'!B:E,4,0)</f>
        <v>#N/A</v>
      </c>
      <c r="G663" s="8">
        <f>발송처리!X663</f>
        <v>0</v>
      </c>
      <c r="I663">
        <f>발송처리!AW663</f>
        <v>0</v>
      </c>
      <c r="K663" t="e">
        <f t="shared" si="12"/>
        <v>#N/A</v>
      </c>
      <c r="L663">
        <f>발송처리!AU663</f>
        <v>0</v>
      </c>
      <c r="M663">
        <f>발송처리!AP663</f>
        <v>0</v>
      </c>
      <c r="N663">
        <f>발송처리!AV663</f>
        <v>0</v>
      </c>
      <c r="O663">
        <f>발송처리!AR663</f>
        <v>0</v>
      </c>
      <c r="P663">
        <f>발송처리!K663</f>
        <v>0</v>
      </c>
      <c r="Q663" s="2">
        <f>발송처리!AC663</f>
        <v>0</v>
      </c>
    </row>
    <row r="664" spans="1:17">
      <c r="A664">
        <f>발송처리!A664</f>
        <v>0</v>
      </c>
      <c r="B664">
        <f>발송처리!M664</f>
        <v>0</v>
      </c>
      <c r="E664" t="e">
        <f>VLOOKUP(발송처리!V664,'상품DB(수정x)'!B:E,2,0)</f>
        <v>#N/A</v>
      </c>
      <c r="F664" s="13" t="e">
        <f>VLOOKUP(발송처리!V664,'상품DB(수정x)'!B:E,4,0)</f>
        <v>#N/A</v>
      </c>
      <c r="G664" s="8">
        <f>발송처리!X664</f>
        <v>0</v>
      </c>
      <c r="I664">
        <f>발송처리!AW664</f>
        <v>0</v>
      </c>
      <c r="K664" t="e">
        <f t="shared" si="12"/>
        <v>#N/A</v>
      </c>
      <c r="L664">
        <f>발송처리!AU664</f>
        <v>0</v>
      </c>
      <c r="M664">
        <f>발송처리!AP664</f>
        <v>0</v>
      </c>
      <c r="N664">
        <f>발송처리!AV664</f>
        <v>0</v>
      </c>
      <c r="O664">
        <f>발송처리!AR664</f>
        <v>0</v>
      </c>
      <c r="P664">
        <f>발송처리!K664</f>
        <v>0</v>
      </c>
      <c r="Q664" s="2">
        <f>발송처리!AC664</f>
        <v>0</v>
      </c>
    </row>
    <row r="665" spans="1:17">
      <c r="A665">
        <f>발송처리!A665</f>
        <v>0</v>
      </c>
      <c r="B665">
        <f>발송처리!M665</f>
        <v>0</v>
      </c>
      <c r="E665" t="e">
        <f>VLOOKUP(발송처리!V665,'상품DB(수정x)'!B:E,2,0)</f>
        <v>#N/A</v>
      </c>
      <c r="F665" s="13" t="e">
        <f>VLOOKUP(발송처리!V665,'상품DB(수정x)'!B:E,4,0)</f>
        <v>#N/A</v>
      </c>
      <c r="G665" s="8">
        <f>발송처리!X665</f>
        <v>0</v>
      </c>
      <c r="I665">
        <f>발송처리!AW665</f>
        <v>0</v>
      </c>
      <c r="K665" t="e">
        <f t="shared" si="12"/>
        <v>#N/A</v>
      </c>
      <c r="L665">
        <f>발송처리!AU665</f>
        <v>0</v>
      </c>
      <c r="M665">
        <f>발송처리!AP665</f>
        <v>0</v>
      </c>
      <c r="N665">
        <f>발송처리!AV665</f>
        <v>0</v>
      </c>
      <c r="O665">
        <f>발송처리!AR665</f>
        <v>0</v>
      </c>
      <c r="P665">
        <f>발송처리!K665</f>
        <v>0</v>
      </c>
      <c r="Q665" s="2">
        <f>발송처리!AC665</f>
        <v>0</v>
      </c>
    </row>
    <row r="666" spans="1:17">
      <c r="A666">
        <f>발송처리!A666</f>
        <v>0</v>
      </c>
      <c r="B666">
        <f>발송처리!M666</f>
        <v>0</v>
      </c>
      <c r="E666" t="e">
        <f>VLOOKUP(발송처리!V666,'상품DB(수정x)'!B:E,2,0)</f>
        <v>#N/A</v>
      </c>
      <c r="F666" s="13" t="e">
        <f>VLOOKUP(발송처리!V666,'상품DB(수정x)'!B:E,4,0)</f>
        <v>#N/A</v>
      </c>
      <c r="G666" s="8">
        <f>발송처리!X666</f>
        <v>0</v>
      </c>
      <c r="I666">
        <f>발송처리!AW666</f>
        <v>0</v>
      </c>
      <c r="K666" t="e">
        <f t="shared" si="12"/>
        <v>#N/A</v>
      </c>
      <c r="L666">
        <f>발송처리!AU666</f>
        <v>0</v>
      </c>
      <c r="M666">
        <f>발송처리!AP666</f>
        <v>0</v>
      </c>
      <c r="N666">
        <f>발송처리!AV666</f>
        <v>0</v>
      </c>
      <c r="O666">
        <f>발송처리!AR666</f>
        <v>0</v>
      </c>
      <c r="P666">
        <f>발송처리!K666</f>
        <v>0</v>
      </c>
      <c r="Q666" s="2">
        <f>발송처리!AC666</f>
        <v>0</v>
      </c>
    </row>
    <row r="667" spans="1:17">
      <c r="A667">
        <f>발송처리!A667</f>
        <v>0</v>
      </c>
      <c r="B667">
        <f>발송처리!M667</f>
        <v>0</v>
      </c>
      <c r="E667" t="e">
        <f>VLOOKUP(발송처리!V667,'상품DB(수정x)'!B:E,2,0)</f>
        <v>#N/A</v>
      </c>
      <c r="F667" s="13" t="e">
        <f>VLOOKUP(발송처리!V667,'상품DB(수정x)'!B:E,4,0)</f>
        <v>#N/A</v>
      </c>
      <c r="G667" s="8">
        <f>발송처리!X667</f>
        <v>0</v>
      </c>
      <c r="I667">
        <f>발송처리!AW667</f>
        <v>0</v>
      </c>
      <c r="K667" t="e">
        <f t="shared" si="12"/>
        <v>#N/A</v>
      </c>
      <c r="L667">
        <f>발송처리!AU667</f>
        <v>0</v>
      </c>
      <c r="M667">
        <f>발송처리!AP667</f>
        <v>0</v>
      </c>
      <c r="N667">
        <f>발송처리!AV667</f>
        <v>0</v>
      </c>
      <c r="O667">
        <f>발송처리!AR667</f>
        <v>0</v>
      </c>
      <c r="P667">
        <f>발송처리!K667</f>
        <v>0</v>
      </c>
      <c r="Q667" s="2">
        <f>발송처리!AC667</f>
        <v>0</v>
      </c>
    </row>
    <row r="668" spans="1:17">
      <c r="A668">
        <f>발송처리!A668</f>
        <v>0</v>
      </c>
      <c r="B668">
        <f>발송처리!M668</f>
        <v>0</v>
      </c>
      <c r="E668" t="e">
        <f>VLOOKUP(발송처리!V668,'상품DB(수정x)'!B:E,2,0)</f>
        <v>#N/A</v>
      </c>
      <c r="F668" s="13" t="e">
        <f>VLOOKUP(발송처리!V668,'상품DB(수정x)'!B:E,4,0)</f>
        <v>#N/A</v>
      </c>
      <c r="G668" s="8">
        <f>발송처리!X668</f>
        <v>0</v>
      </c>
      <c r="I668">
        <f>발송처리!AW668</f>
        <v>0</v>
      </c>
      <c r="K668" t="e">
        <f t="shared" si="12"/>
        <v>#N/A</v>
      </c>
      <c r="L668">
        <f>발송처리!AU668</f>
        <v>0</v>
      </c>
      <c r="M668">
        <f>발송처리!AP668</f>
        <v>0</v>
      </c>
      <c r="N668">
        <f>발송처리!AV668</f>
        <v>0</v>
      </c>
      <c r="O668">
        <f>발송처리!AR668</f>
        <v>0</v>
      </c>
      <c r="P668">
        <f>발송처리!K668</f>
        <v>0</v>
      </c>
      <c r="Q668" s="2">
        <f>발송처리!AC668</f>
        <v>0</v>
      </c>
    </row>
    <row r="669" spans="1:17">
      <c r="A669">
        <f>발송처리!A669</f>
        <v>0</v>
      </c>
      <c r="B669">
        <f>발송처리!M669</f>
        <v>0</v>
      </c>
      <c r="E669" t="e">
        <f>VLOOKUP(발송처리!V669,'상품DB(수정x)'!B:E,2,0)</f>
        <v>#N/A</v>
      </c>
      <c r="F669" s="13" t="e">
        <f>VLOOKUP(발송처리!V669,'상품DB(수정x)'!B:E,4,0)</f>
        <v>#N/A</v>
      </c>
      <c r="G669" s="8">
        <f>발송처리!X669</f>
        <v>0</v>
      </c>
      <c r="I669">
        <f>발송처리!AW669</f>
        <v>0</v>
      </c>
      <c r="K669" t="e">
        <f t="shared" si="12"/>
        <v>#N/A</v>
      </c>
      <c r="L669">
        <f>발송처리!AU669</f>
        <v>0</v>
      </c>
      <c r="M669">
        <f>발송처리!AP669</f>
        <v>0</v>
      </c>
      <c r="N669">
        <f>발송처리!AV669</f>
        <v>0</v>
      </c>
      <c r="O669">
        <f>발송처리!AR669</f>
        <v>0</v>
      </c>
      <c r="P669">
        <f>발송처리!K669</f>
        <v>0</v>
      </c>
      <c r="Q669" s="2">
        <f>발송처리!AC669</f>
        <v>0</v>
      </c>
    </row>
    <row r="670" spans="1:17">
      <c r="A670">
        <f>발송처리!A670</f>
        <v>0</v>
      </c>
      <c r="B670">
        <f>발송처리!M670</f>
        <v>0</v>
      </c>
      <c r="E670" t="e">
        <f>VLOOKUP(발송처리!V670,'상품DB(수정x)'!B:E,2,0)</f>
        <v>#N/A</v>
      </c>
      <c r="F670" s="13" t="e">
        <f>VLOOKUP(발송처리!V670,'상품DB(수정x)'!B:E,4,0)</f>
        <v>#N/A</v>
      </c>
      <c r="G670" s="8">
        <f>발송처리!X670</f>
        <v>0</v>
      </c>
      <c r="I670">
        <f>발송처리!AW670</f>
        <v>0</v>
      </c>
      <c r="K670" t="e">
        <f t="shared" si="12"/>
        <v>#N/A</v>
      </c>
      <c r="L670">
        <f>발송처리!AU670</f>
        <v>0</v>
      </c>
      <c r="M670">
        <f>발송처리!AP670</f>
        <v>0</v>
      </c>
      <c r="N670">
        <f>발송처리!AV670</f>
        <v>0</v>
      </c>
      <c r="O670">
        <f>발송처리!AR670</f>
        <v>0</v>
      </c>
      <c r="P670">
        <f>발송처리!K670</f>
        <v>0</v>
      </c>
      <c r="Q670" s="2">
        <f>발송처리!AC670</f>
        <v>0</v>
      </c>
    </row>
    <row r="671" spans="1:17">
      <c r="A671">
        <f>발송처리!A671</f>
        <v>0</v>
      </c>
      <c r="B671">
        <f>발송처리!M671</f>
        <v>0</v>
      </c>
      <c r="E671" t="e">
        <f>VLOOKUP(발송처리!V671,'상품DB(수정x)'!B:E,2,0)</f>
        <v>#N/A</v>
      </c>
      <c r="F671" s="13" t="e">
        <f>VLOOKUP(발송처리!V671,'상품DB(수정x)'!B:E,4,0)</f>
        <v>#N/A</v>
      </c>
      <c r="G671" s="8">
        <f>발송처리!X671</f>
        <v>0</v>
      </c>
      <c r="I671">
        <f>발송처리!AW671</f>
        <v>0</v>
      </c>
      <c r="K671" t="e">
        <f t="shared" si="12"/>
        <v>#N/A</v>
      </c>
      <c r="L671">
        <f>발송처리!AU671</f>
        <v>0</v>
      </c>
      <c r="M671">
        <f>발송처리!AP671</f>
        <v>0</v>
      </c>
      <c r="N671">
        <f>발송처리!AV671</f>
        <v>0</v>
      </c>
      <c r="O671">
        <f>발송처리!AR671</f>
        <v>0</v>
      </c>
      <c r="P671">
        <f>발송처리!K671</f>
        <v>0</v>
      </c>
      <c r="Q671" s="2">
        <f>발송처리!AC671</f>
        <v>0</v>
      </c>
    </row>
    <row r="672" spans="1:17">
      <c r="A672">
        <f>발송처리!A672</f>
        <v>0</v>
      </c>
      <c r="B672">
        <f>발송처리!M672</f>
        <v>0</v>
      </c>
      <c r="E672" t="e">
        <f>VLOOKUP(발송처리!V672,'상품DB(수정x)'!B:E,2,0)</f>
        <v>#N/A</v>
      </c>
      <c r="F672" s="13" t="e">
        <f>VLOOKUP(발송처리!V672,'상품DB(수정x)'!B:E,4,0)</f>
        <v>#N/A</v>
      </c>
      <c r="G672" s="8">
        <f>발송처리!X672</f>
        <v>0</v>
      </c>
      <c r="I672">
        <f>발송처리!AW672</f>
        <v>0</v>
      </c>
      <c r="K672" t="e">
        <f t="shared" si="12"/>
        <v>#N/A</v>
      </c>
      <c r="L672">
        <f>발송처리!AU672</f>
        <v>0</v>
      </c>
      <c r="M672">
        <f>발송처리!AP672</f>
        <v>0</v>
      </c>
      <c r="N672">
        <f>발송처리!AV672</f>
        <v>0</v>
      </c>
      <c r="O672">
        <f>발송처리!AR672</f>
        <v>0</v>
      </c>
      <c r="P672">
        <f>발송처리!K672</f>
        <v>0</v>
      </c>
      <c r="Q672" s="2">
        <f>발송처리!AC672</f>
        <v>0</v>
      </c>
    </row>
    <row r="673" spans="1:17">
      <c r="A673">
        <f>발송처리!A673</f>
        <v>0</v>
      </c>
      <c r="B673">
        <f>발송처리!M673</f>
        <v>0</v>
      </c>
      <c r="E673" t="e">
        <f>VLOOKUP(발송처리!V673,'상품DB(수정x)'!B:E,2,0)</f>
        <v>#N/A</v>
      </c>
      <c r="F673" s="13" t="e">
        <f>VLOOKUP(발송처리!V673,'상품DB(수정x)'!B:E,4,0)</f>
        <v>#N/A</v>
      </c>
      <c r="G673" s="8">
        <f>발송처리!X673</f>
        <v>0</v>
      </c>
      <c r="I673">
        <f>발송처리!AW673</f>
        <v>0</v>
      </c>
      <c r="K673" t="e">
        <f t="shared" si="12"/>
        <v>#N/A</v>
      </c>
      <c r="L673">
        <f>발송처리!AU673</f>
        <v>0</v>
      </c>
      <c r="M673">
        <f>발송처리!AP673</f>
        <v>0</v>
      </c>
      <c r="N673">
        <f>발송처리!AV673</f>
        <v>0</v>
      </c>
      <c r="O673">
        <f>발송처리!AR673</f>
        <v>0</v>
      </c>
      <c r="P673">
        <f>발송처리!K673</f>
        <v>0</v>
      </c>
      <c r="Q673" s="2">
        <f>발송처리!AC673</f>
        <v>0</v>
      </c>
    </row>
    <row r="674" spans="1:17">
      <c r="A674">
        <f>발송처리!A674</f>
        <v>0</v>
      </c>
      <c r="B674">
        <f>발송처리!M674</f>
        <v>0</v>
      </c>
      <c r="E674" t="e">
        <f>VLOOKUP(발송처리!V674,'상품DB(수정x)'!B:E,2,0)</f>
        <v>#N/A</v>
      </c>
      <c r="F674" s="13" t="e">
        <f>VLOOKUP(발송처리!V674,'상품DB(수정x)'!B:E,4,0)</f>
        <v>#N/A</v>
      </c>
      <c r="G674" s="8">
        <f>발송처리!X674</f>
        <v>0</v>
      </c>
      <c r="I674">
        <f>발송처리!AW674</f>
        <v>0</v>
      </c>
      <c r="K674" t="e">
        <f t="shared" si="12"/>
        <v>#N/A</v>
      </c>
      <c r="L674">
        <f>발송처리!AU674</f>
        <v>0</v>
      </c>
      <c r="M674">
        <f>발송처리!AP674</f>
        <v>0</v>
      </c>
      <c r="N674">
        <f>발송처리!AV674</f>
        <v>0</v>
      </c>
      <c r="O674">
        <f>발송처리!AR674</f>
        <v>0</v>
      </c>
      <c r="P674">
        <f>발송처리!K674</f>
        <v>0</v>
      </c>
      <c r="Q674" s="2">
        <f>발송처리!AC674</f>
        <v>0</v>
      </c>
    </row>
    <row r="675" spans="1:17">
      <c r="A675">
        <f>발송처리!A675</f>
        <v>0</v>
      </c>
      <c r="B675">
        <f>발송처리!M675</f>
        <v>0</v>
      </c>
      <c r="E675" t="e">
        <f>VLOOKUP(발송처리!V675,'상품DB(수정x)'!B:E,2,0)</f>
        <v>#N/A</v>
      </c>
      <c r="F675" s="13" t="e">
        <f>VLOOKUP(발송처리!V675,'상품DB(수정x)'!B:E,4,0)</f>
        <v>#N/A</v>
      </c>
      <c r="G675" s="8">
        <f>발송처리!X675</f>
        <v>0</v>
      </c>
      <c r="I675">
        <f>발송처리!AW675</f>
        <v>0</v>
      </c>
      <c r="K675" t="e">
        <f t="shared" si="12"/>
        <v>#N/A</v>
      </c>
      <c r="L675">
        <f>발송처리!AU675</f>
        <v>0</v>
      </c>
      <c r="M675">
        <f>발송처리!AP675</f>
        <v>0</v>
      </c>
      <c r="N675">
        <f>발송처리!AV675</f>
        <v>0</v>
      </c>
      <c r="O675">
        <f>발송처리!AR675</f>
        <v>0</v>
      </c>
      <c r="P675">
        <f>발송처리!K675</f>
        <v>0</v>
      </c>
      <c r="Q675" s="2">
        <f>발송처리!AC675</f>
        <v>0</v>
      </c>
    </row>
    <row r="676" spans="1:17">
      <c r="A676">
        <f>발송처리!A676</f>
        <v>0</v>
      </c>
      <c r="B676">
        <f>발송처리!M676</f>
        <v>0</v>
      </c>
      <c r="E676" t="e">
        <f>VLOOKUP(발송처리!V676,'상품DB(수정x)'!B:E,2,0)</f>
        <v>#N/A</v>
      </c>
      <c r="F676" s="13" t="e">
        <f>VLOOKUP(발송처리!V676,'상품DB(수정x)'!B:E,4,0)</f>
        <v>#N/A</v>
      </c>
      <c r="G676" s="8">
        <f>발송처리!X676</f>
        <v>0</v>
      </c>
      <c r="I676">
        <f>발송처리!AW676</f>
        <v>0</v>
      </c>
      <c r="K676" t="e">
        <f t="shared" si="12"/>
        <v>#N/A</v>
      </c>
      <c r="L676">
        <f>발송처리!AU676</f>
        <v>0</v>
      </c>
      <c r="M676">
        <f>발송처리!AP676</f>
        <v>0</v>
      </c>
      <c r="N676">
        <f>발송처리!AV676</f>
        <v>0</v>
      </c>
      <c r="O676">
        <f>발송처리!AR676</f>
        <v>0</v>
      </c>
      <c r="P676">
        <f>발송처리!K676</f>
        <v>0</v>
      </c>
      <c r="Q676" s="2">
        <f>발송처리!AC676</f>
        <v>0</v>
      </c>
    </row>
    <row r="677" spans="1:17">
      <c r="A677">
        <f>발송처리!A677</f>
        <v>0</v>
      </c>
      <c r="B677">
        <f>발송처리!M677</f>
        <v>0</v>
      </c>
      <c r="E677" t="e">
        <f>VLOOKUP(발송처리!V677,'상품DB(수정x)'!B:E,2,0)</f>
        <v>#N/A</v>
      </c>
      <c r="F677" s="13" t="e">
        <f>VLOOKUP(발송처리!V677,'상품DB(수정x)'!B:E,4,0)</f>
        <v>#N/A</v>
      </c>
      <c r="G677" s="8">
        <f>발송처리!X677</f>
        <v>0</v>
      </c>
      <c r="I677">
        <f>발송처리!AW677</f>
        <v>0</v>
      </c>
      <c r="K677" t="e">
        <f t="shared" si="12"/>
        <v>#N/A</v>
      </c>
      <c r="L677">
        <f>발송처리!AU677</f>
        <v>0</v>
      </c>
      <c r="M677">
        <f>발송처리!AP677</f>
        <v>0</v>
      </c>
      <c r="N677">
        <f>발송처리!AV677</f>
        <v>0</v>
      </c>
      <c r="O677">
        <f>발송처리!AR677</f>
        <v>0</v>
      </c>
      <c r="P677">
        <f>발송처리!K677</f>
        <v>0</v>
      </c>
      <c r="Q677" s="2">
        <f>발송처리!AC677</f>
        <v>0</v>
      </c>
    </row>
    <row r="678" spans="1:17">
      <c r="A678">
        <f>발송처리!A678</f>
        <v>0</v>
      </c>
      <c r="B678">
        <f>발송처리!M678</f>
        <v>0</v>
      </c>
      <c r="E678" t="e">
        <f>VLOOKUP(발송처리!V678,'상품DB(수정x)'!B:E,2,0)</f>
        <v>#N/A</v>
      </c>
      <c r="F678" s="13" t="e">
        <f>VLOOKUP(발송처리!V678,'상품DB(수정x)'!B:E,4,0)</f>
        <v>#N/A</v>
      </c>
      <c r="G678" s="8">
        <f>발송처리!X678</f>
        <v>0</v>
      </c>
      <c r="I678">
        <f>발송처리!AW678</f>
        <v>0</v>
      </c>
      <c r="K678" t="e">
        <f t="shared" si="12"/>
        <v>#N/A</v>
      </c>
      <c r="L678">
        <f>발송처리!AU678</f>
        <v>0</v>
      </c>
      <c r="M678">
        <f>발송처리!AP678</f>
        <v>0</v>
      </c>
      <c r="N678">
        <f>발송처리!AV678</f>
        <v>0</v>
      </c>
      <c r="O678">
        <f>발송처리!AR678</f>
        <v>0</v>
      </c>
      <c r="P678">
        <f>발송처리!K678</f>
        <v>0</v>
      </c>
      <c r="Q678" s="2">
        <f>발송처리!AC678</f>
        <v>0</v>
      </c>
    </row>
    <row r="679" spans="1:17">
      <c r="A679">
        <f>발송처리!A679</f>
        <v>0</v>
      </c>
      <c r="B679">
        <f>발송처리!M679</f>
        <v>0</v>
      </c>
      <c r="E679" t="e">
        <f>VLOOKUP(발송처리!V679,'상품DB(수정x)'!B:E,2,0)</f>
        <v>#N/A</v>
      </c>
      <c r="F679" s="13" t="e">
        <f>VLOOKUP(발송처리!V679,'상품DB(수정x)'!B:E,4,0)</f>
        <v>#N/A</v>
      </c>
      <c r="G679" s="8">
        <f>발송처리!X679</f>
        <v>0</v>
      </c>
      <c r="I679">
        <f>발송처리!AW679</f>
        <v>0</v>
      </c>
      <c r="K679" t="e">
        <f t="shared" si="12"/>
        <v>#N/A</v>
      </c>
      <c r="L679">
        <f>발송처리!AU679</f>
        <v>0</v>
      </c>
      <c r="M679">
        <f>발송처리!AP679</f>
        <v>0</v>
      </c>
      <c r="N679">
        <f>발송처리!AV679</f>
        <v>0</v>
      </c>
      <c r="O679">
        <f>발송처리!AR679</f>
        <v>0</v>
      </c>
      <c r="P679">
        <f>발송처리!K679</f>
        <v>0</v>
      </c>
      <c r="Q679" s="2">
        <f>발송처리!AC679</f>
        <v>0</v>
      </c>
    </row>
    <row r="680" spans="1:17">
      <c r="A680">
        <f>발송처리!A680</f>
        <v>0</v>
      </c>
      <c r="B680">
        <f>발송처리!M680</f>
        <v>0</v>
      </c>
      <c r="E680" t="e">
        <f>VLOOKUP(발송처리!V680,'상품DB(수정x)'!B:E,2,0)</f>
        <v>#N/A</v>
      </c>
      <c r="F680" s="13" t="e">
        <f>VLOOKUP(발송처리!V680,'상품DB(수정x)'!B:E,4,0)</f>
        <v>#N/A</v>
      </c>
      <c r="G680" s="8">
        <f>발송처리!X680</f>
        <v>0</v>
      </c>
      <c r="I680">
        <f>발송처리!AW680</f>
        <v>0</v>
      </c>
      <c r="K680" t="e">
        <f t="shared" si="12"/>
        <v>#N/A</v>
      </c>
      <c r="L680">
        <f>발송처리!AU680</f>
        <v>0</v>
      </c>
      <c r="M680">
        <f>발송처리!AP680</f>
        <v>0</v>
      </c>
      <c r="N680">
        <f>발송처리!AV680</f>
        <v>0</v>
      </c>
      <c r="O680">
        <f>발송처리!AR680</f>
        <v>0</v>
      </c>
      <c r="P680">
        <f>발송처리!K680</f>
        <v>0</v>
      </c>
      <c r="Q680" s="2">
        <f>발송처리!AC680</f>
        <v>0</v>
      </c>
    </row>
    <row r="681" spans="1:17">
      <c r="A681">
        <f>발송처리!A681</f>
        <v>0</v>
      </c>
      <c r="B681">
        <f>발송처리!M681</f>
        <v>0</v>
      </c>
      <c r="E681" t="e">
        <f>VLOOKUP(발송처리!V681,'상품DB(수정x)'!B:E,2,0)</f>
        <v>#N/A</v>
      </c>
      <c r="F681" s="13" t="e">
        <f>VLOOKUP(발송처리!V681,'상품DB(수정x)'!B:E,4,0)</f>
        <v>#N/A</v>
      </c>
      <c r="G681" s="8">
        <f>발송처리!X681</f>
        <v>0</v>
      </c>
      <c r="I681">
        <f>발송처리!AW681</f>
        <v>0</v>
      </c>
      <c r="K681" t="e">
        <f t="shared" si="12"/>
        <v>#N/A</v>
      </c>
      <c r="L681">
        <f>발송처리!AU681</f>
        <v>0</v>
      </c>
      <c r="M681">
        <f>발송처리!AP681</f>
        <v>0</v>
      </c>
      <c r="N681">
        <f>발송처리!AV681</f>
        <v>0</v>
      </c>
      <c r="O681">
        <f>발송처리!AR681</f>
        <v>0</v>
      </c>
      <c r="P681">
        <f>발송처리!K681</f>
        <v>0</v>
      </c>
      <c r="Q681" s="2">
        <f>발송처리!AC681</f>
        <v>0</v>
      </c>
    </row>
    <row r="682" spans="1:17">
      <c r="A682">
        <f>발송처리!A682</f>
        <v>0</v>
      </c>
      <c r="B682">
        <f>발송처리!M682</f>
        <v>0</v>
      </c>
      <c r="E682" t="e">
        <f>VLOOKUP(발송처리!V682,'상품DB(수정x)'!B:E,2,0)</f>
        <v>#N/A</v>
      </c>
      <c r="F682" s="13" t="e">
        <f>VLOOKUP(발송처리!V682,'상품DB(수정x)'!B:E,4,0)</f>
        <v>#N/A</v>
      </c>
      <c r="G682" s="8">
        <f>발송처리!X682</f>
        <v>0</v>
      </c>
      <c r="I682">
        <f>발송처리!AW682</f>
        <v>0</v>
      </c>
      <c r="K682" t="e">
        <f t="shared" si="12"/>
        <v>#N/A</v>
      </c>
      <c r="L682">
        <f>발송처리!AU682</f>
        <v>0</v>
      </c>
      <c r="M682">
        <f>발송처리!AP682</f>
        <v>0</v>
      </c>
      <c r="N682">
        <f>발송처리!AV682</f>
        <v>0</v>
      </c>
      <c r="O682">
        <f>발송처리!AR682</f>
        <v>0</v>
      </c>
      <c r="P682">
        <f>발송처리!K682</f>
        <v>0</v>
      </c>
      <c r="Q682" s="2">
        <f>발송처리!AC682</f>
        <v>0</v>
      </c>
    </row>
    <row r="683" spans="1:17">
      <c r="A683">
        <f>발송처리!A683</f>
        <v>0</v>
      </c>
      <c r="B683">
        <f>발송처리!M683</f>
        <v>0</v>
      </c>
      <c r="E683" t="e">
        <f>VLOOKUP(발송처리!V683,'상품DB(수정x)'!B:E,2,0)</f>
        <v>#N/A</v>
      </c>
      <c r="F683" s="13" t="e">
        <f>VLOOKUP(발송처리!V683,'상품DB(수정x)'!B:E,4,0)</f>
        <v>#N/A</v>
      </c>
      <c r="G683" s="8">
        <f>발송처리!X683</f>
        <v>0</v>
      </c>
      <c r="I683">
        <f>발송처리!AW683</f>
        <v>0</v>
      </c>
      <c r="K683" t="e">
        <f t="shared" si="12"/>
        <v>#N/A</v>
      </c>
      <c r="L683">
        <f>발송처리!AU683</f>
        <v>0</v>
      </c>
      <c r="M683">
        <f>발송처리!AP683</f>
        <v>0</v>
      </c>
      <c r="N683">
        <f>발송처리!AV683</f>
        <v>0</v>
      </c>
      <c r="O683">
        <f>발송처리!AR683</f>
        <v>0</v>
      </c>
      <c r="P683">
        <f>발송처리!K683</f>
        <v>0</v>
      </c>
      <c r="Q683" s="2">
        <f>발송처리!AC683</f>
        <v>0</v>
      </c>
    </row>
    <row r="684" spans="1:17">
      <c r="A684">
        <f>발송처리!A684</f>
        <v>0</v>
      </c>
      <c r="B684">
        <f>발송처리!M684</f>
        <v>0</v>
      </c>
      <c r="E684" t="e">
        <f>VLOOKUP(발송처리!V684,'상품DB(수정x)'!B:E,2,0)</f>
        <v>#N/A</v>
      </c>
      <c r="F684" s="13" t="e">
        <f>VLOOKUP(발송처리!V684,'상품DB(수정x)'!B:E,4,0)</f>
        <v>#N/A</v>
      </c>
      <c r="G684" s="8">
        <f>발송처리!X684</f>
        <v>0</v>
      </c>
      <c r="I684">
        <f>발송처리!AW684</f>
        <v>0</v>
      </c>
      <c r="K684" t="e">
        <f t="shared" si="12"/>
        <v>#N/A</v>
      </c>
      <c r="L684">
        <f>발송처리!AU684</f>
        <v>0</v>
      </c>
      <c r="M684">
        <f>발송처리!AP684</f>
        <v>0</v>
      </c>
      <c r="N684">
        <f>발송처리!AV684</f>
        <v>0</v>
      </c>
      <c r="O684">
        <f>발송처리!AR684</f>
        <v>0</v>
      </c>
      <c r="P684">
        <f>발송처리!K684</f>
        <v>0</v>
      </c>
      <c r="Q684" s="2">
        <f>발송처리!AC684</f>
        <v>0</v>
      </c>
    </row>
    <row r="685" spans="1:17">
      <c r="A685">
        <f>발송처리!A685</f>
        <v>0</v>
      </c>
      <c r="B685">
        <f>발송처리!M685</f>
        <v>0</v>
      </c>
      <c r="E685" t="e">
        <f>VLOOKUP(발송처리!V685,'상품DB(수정x)'!B:E,2,0)</f>
        <v>#N/A</v>
      </c>
      <c r="F685" s="13" t="e">
        <f>VLOOKUP(발송처리!V685,'상품DB(수정x)'!B:E,4,0)</f>
        <v>#N/A</v>
      </c>
      <c r="G685" s="8">
        <f>발송처리!X685</f>
        <v>0</v>
      </c>
      <c r="I685">
        <f>발송처리!AW685</f>
        <v>0</v>
      </c>
      <c r="K685" t="e">
        <f t="shared" si="12"/>
        <v>#N/A</v>
      </c>
      <c r="L685">
        <f>발송처리!AU685</f>
        <v>0</v>
      </c>
      <c r="M685">
        <f>발송처리!AP685</f>
        <v>0</v>
      </c>
      <c r="N685">
        <f>발송처리!AV685</f>
        <v>0</v>
      </c>
      <c r="O685">
        <f>발송처리!AR685</f>
        <v>0</v>
      </c>
      <c r="P685">
        <f>발송처리!K685</f>
        <v>0</v>
      </c>
      <c r="Q685" s="2">
        <f>발송처리!AC685</f>
        <v>0</v>
      </c>
    </row>
    <row r="686" spans="1:17">
      <c r="A686">
        <f>발송처리!A686</f>
        <v>0</v>
      </c>
      <c r="B686">
        <f>발송처리!M686</f>
        <v>0</v>
      </c>
      <c r="E686" t="e">
        <f>VLOOKUP(발송처리!V686,'상품DB(수정x)'!B:E,2,0)</f>
        <v>#N/A</v>
      </c>
      <c r="F686" s="13" t="e">
        <f>VLOOKUP(발송처리!V686,'상품DB(수정x)'!B:E,4,0)</f>
        <v>#N/A</v>
      </c>
      <c r="G686" s="8">
        <f>발송처리!X686</f>
        <v>0</v>
      </c>
      <c r="I686">
        <f>발송처리!AW686</f>
        <v>0</v>
      </c>
      <c r="K686" t="e">
        <f t="shared" si="12"/>
        <v>#N/A</v>
      </c>
      <c r="L686">
        <f>발송처리!AU686</f>
        <v>0</v>
      </c>
      <c r="M686">
        <f>발송처리!AP686</f>
        <v>0</v>
      </c>
      <c r="N686">
        <f>발송처리!AV686</f>
        <v>0</v>
      </c>
      <c r="O686">
        <f>발송처리!AR686</f>
        <v>0</v>
      </c>
      <c r="P686">
        <f>발송처리!K686</f>
        <v>0</v>
      </c>
      <c r="Q686" s="2">
        <f>발송처리!AC686</f>
        <v>0</v>
      </c>
    </row>
    <row r="687" spans="1:17">
      <c r="A687">
        <f>발송처리!A687</f>
        <v>0</v>
      </c>
      <c r="B687">
        <f>발송처리!M687</f>
        <v>0</v>
      </c>
      <c r="E687" t="e">
        <f>VLOOKUP(발송처리!V687,'상품DB(수정x)'!B:E,2,0)</f>
        <v>#N/A</v>
      </c>
      <c r="F687" s="13" t="e">
        <f>VLOOKUP(발송처리!V687,'상품DB(수정x)'!B:E,4,0)</f>
        <v>#N/A</v>
      </c>
      <c r="G687" s="8">
        <f>발송처리!X687</f>
        <v>0</v>
      </c>
      <c r="I687">
        <f>발송처리!AW687</f>
        <v>0</v>
      </c>
      <c r="K687" t="e">
        <f t="shared" si="12"/>
        <v>#N/A</v>
      </c>
      <c r="L687">
        <f>발송처리!AU687</f>
        <v>0</v>
      </c>
      <c r="M687">
        <f>발송처리!AP687</f>
        <v>0</v>
      </c>
      <c r="N687">
        <f>발송처리!AV687</f>
        <v>0</v>
      </c>
      <c r="O687">
        <f>발송처리!AR687</f>
        <v>0</v>
      </c>
      <c r="P687">
        <f>발송처리!K687</f>
        <v>0</v>
      </c>
      <c r="Q687" s="2">
        <f>발송처리!AC687</f>
        <v>0</v>
      </c>
    </row>
    <row r="688" spans="1:17">
      <c r="A688">
        <f>발송처리!A688</f>
        <v>0</v>
      </c>
      <c r="B688">
        <f>발송처리!M688</f>
        <v>0</v>
      </c>
      <c r="E688" t="e">
        <f>VLOOKUP(발송처리!V688,'상품DB(수정x)'!B:E,2,0)</f>
        <v>#N/A</v>
      </c>
      <c r="F688" s="13" t="e">
        <f>VLOOKUP(발송처리!V688,'상품DB(수정x)'!B:E,4,0)</f>
        <v>#N/A</v>
      </c>
      <c r="G688" s="8">
        <f>발송처리!X688</f>
        <v>0</v>
      </c>
      <c r="I688">
        <f>발송처리!AW688</f>
        <v>0</v>
      </c>
      <c r="K688" t="e">
        <f t="shared" si="12"/>
        <v>#N/A</v>
      </c>
      <c r="L688">
        <f>발송처리!AU688</f>
        <v>0</v>
      </c>
      <c r="M688">
        <f>발송처리!AP688</f>
        <v>0</v>
      </c>
      <c r="N688">
        <f>발송처리!AV688</f>
        <v>0</v>
      </c>
      <c r="O688">
        <f>발송처리!AR688</f>
        <v>0</v>
      </c>
      <c r="P688">
        <f>발송처리!K688</f>
        <v>0</v>
      </c>
      <c r="Q688" s="2">
        <f>발송처리!AC688</f>
        <v>0</v>
      </c>
    </row>
    <row r="689" spans="1:17">
      <c r="A689">
        <f>발송처리!A689</f>
        <v>0</v>
      </c>
      <c r="B689">
        <f>발송처리!M689</f>
        <v>0</v>
      </c>
      <c r="E689" t="e">
        <f>VLOOKUP(발송처리!V689,'상품DB(수정x)'!B:E,2,0)</f>
        <v>#N/A</v>
      </c>
      <c r="F689" s="13" t="e">
        <f>VLOOKUP(발송처리!V689,'상품DB(수정x)'!B:E,4,0)</f>
        <v>#N/A</v>
      </c>
      <c r="G689" s="8">
        <f>발송처리!X689</f>
        <v>0</v>
      </c>
      <c r="I689">
        <f>발송처리!AW689</f>
        <v>0</v>
      </c>
      <c r="K689" t="e">
        <f t="shared" si="12"/>
        <v>#N/A</v>
      </c>
      <c r="L689">
        <f>발송처리!AU689</f>
        <v>0</v>
      </c>
      <c r="M689">
        <f>발송처리!AP689</f>
        <v>0</v>
      </c>
      <c r="N689">
        <f>발송처리!AV689</f>
        <v>0</v>
      </c>
      <c r="O689">
        <f>발송처리!AR689</f>
        <v>0</v>
      </c>
      <c r="P689">
        <f>발송처리!K689</f>
        <v>0</v>
      </c>
      <c r="Q689" s="2">
        <f>발송처리!AC689</f>
        <v>0</v>
      </c>
    </row>
    <row r="690" spans="1:17">
      <c r="A690">
        <f>발송처리!A690</f>
        <v>0</v>
      </c>
      <c r="B690">
        <f>발송처리!M690</f>
        <v>0</v>
      </c>
      <c r="E690" t="e">
        <f>VLOOKUP(발송처리!V690,'상품DB(수정x)'!B:E,2,0)</f>
        <v>#N/A</v>
      </c>
      <c r="F690" s="13" t="e">
        <f>VLOOKUP(발송처리!V690,'상품DB(수정x)'!B:E,4,0)</f>
        <v>#N/A</v>
      </c>
      <c r="G690" s="8">
        <f>발송처리!X690</f>
        <v>0</v>
      </c>
      <c r="I690">
        <f>발송처리!AW690</f>
        <v>0</v>
      </c>
      <c r="K690" t="e">
        <f t="shared" si="12"/>
        <v>#N/A</v>
      </c>
      <c r="L690">
        <f>발송처리!AU690</f>
        <v>0</v>
      </c>
      <c r="M690">
        <f>발송처리!AP690</f>
        <v>0</v>
      </c>
      <c r="N690">
        <f>발송처리!AV690</f>
        <v>0</v>
      </c>
      <c r="O690">
        <f>발송처리!AR690</f>
        <v>0</v>
      </c>
      <c r="P690">
        <f>발송처리!K690</f>
        <v>0</v>
      </c>
      <c r="Q690" s="2">
        <f>발송처리!AC690</f>
        <v>0</v>
      </c>
    </row>
    <row r="691" spans="1:17">
      <c r="A691">
        <f>발송처리!A691</f>
        <v>0</v>
      </c>
      <c r="B691">
        <f>발송처리!M691</f>
        <v>0</v>
      </c>
      <c r="E691" t="e">
        <f>VLOOKUP(발송처리!V691,'상품DB(수정x)'!B:E,2,0)</f>
        <v>#N/A</v>
      </c>
      <c r="F691" s="13" t="e">
        <f>VLOOKUP(발송처리!V691,'상품DB(수정x)'!B:E,4,0)</f>
        <v>#N/A</v>
      </c>
      <c r="G691" s="8">
        <f>발송처리!X691</f>
        <v>0</v>
      </c>
      <c r="I691">
        <f>발송처리!AW691</f>
        <v>0</v>
      </c>
      <c r="K691" t="e">
        <f t="shared" si="12"/>
        <v>#N/A</v>
      </c>
      <c r="L691">
        <f>발송처리!AU691</f>
        <v>0</v>
      </c>
      <c r="M691">
        <f>발송처리!AP691</f>
        <v>0</v>
      </c>
      <c r="N691">
        <f>발송처리!AV691</f>
        <v>0</v>
      </c>
      <c r="O691">
        <f>발송처리!AR691</f>
        <v>0</v>
      </c>
      <c r="P691">
        <f>발송처리!K691</f>
        <v>0</v>
      </c>
      <c r="Q691" s="2">
        <f>발송처리!AC691</f>
        <v>0</v>
      </c>
    </row>
    <row r="692" spans="1:17">
      <c r="A692">
        <f>발송처리!A692</f>
        <v>0</v>
      </c>
      <c r="B692">
        <f>발송처리!M692</f>
        <v>0</v>
      </c>
      <c r="E692" t="e">
        <f>VLOOKUP(발송처리!V692,'상품DB(수정x)'!B:E,2,0)</f>
        <v>#N/A</v>
      </c>
      <c r="F692" s="13" t="e">
        <f>VLOOKUP(발송처리!V692,'상품DB(수정x)'!B:E,4,0)</f>
        <v>#N/A</v>
      </c>
      <c r="G692" s="8">
        <f>발송처리!X692</f>
        <v>0</v>
      </c>
      <c r="I692">
        <f>발송처리!AW692</f>
        <v>0</v>
      </c>
      <c r="K692" t="e">
        <f t="shared" si="12"/>
        <v>#N/A</v>
      </c>
      <c r="L692">
        <f>발송처리!AU692</f>
        <v>0</v>
      </c>
      <c r="M692">
        <f>발송처리!AP692</f>
        <v>0</v>
      </c>
      <c r="N692">
        <f>발송처리!AV692</f>
        <v>0</v>
      </c>
      <c r="O692">
        <f>발송처리!AR692</f>
        <v>0</v>
      </c>
      <c r="P692">
        <f>발송처리!K692</f>
        <v>0</v>
      </c>
      <c r="Q692" s="2">
        <f>발송처리!AC692</f>
        <v>0</v>
      </c>
    </row>
    <row r="693" spans="1:17">
      <c r="A693">
        <f>발송처리!A693</f>
        <v>0</v>
      </c>
      <c r="B693">
        <f>발송처리!M693</f>
        <v>0</v>
      </c>
      <c r="E693" t="e">
        <f>VLOOKUP(발송처리!V693,'상품DB(수정x)'!B:E,2,0)</f>
        <v>#N/A</v>
      </c>
      <c r="F693" s="13" t="e">
        <f>VLOOKUP(발송처리!V693,'상품DB(수정x)'!B:E,4,0)</f>
        <v>#N/A</v>
      </c>
      <c r="G693" s="8">
        <f>발송처리!X693</f>
        <v>0</v>
      </c>
      <c r="I693">
        <f>발송처리!AW693</f>
        <v>0</v>
      </c>
      <c r="K693" t="e">
        <f t="shared" si="12"/>
        <v>#N/A</v>
      </c>
      <c r="L693">
        <f>발송처리!AU693</f>
        <v>0</v>
      </c>
      <c r="M693">
        <f>발송처리!AP693</f>
        <v>0</v>
      </c>
      <c r="N693">
        <f>발송처리!AV693</f>
        <v>0</v>
      </c>
      <c r="O693">
        <f>발송처리!AR693</f>
        <v>0</v>
      </c>
      <c r="P693">
        <f>발송처리!K693</f>
        <v>0</v>
      </c>
      <c r="Q693" s="2">
        <f>발송처리!AC693</f>
        <v>0</v>
      </c>
    </row>
    <row r="694" spans="1:17">
      <c r="A694">
        <f>발송처리!A694</f>
        <v>0</v>
      </c>
      <c r="B694">
        <f>발송처리!M694</f>
        <v>0</v>
      </c>
      <c r="E694" t="e">
        <f>VLOOKUP(발송처리!V694,'상품DB(수정x)'!B:E,2,0)</f>
        <v>#N/A</v>
      </c>
      <c r="F694" s="13" t="e">
        <f>VLOOKUP(발송처리!V694,'상품DB(수정x)'!B:E,4,0)</f>
        <v>#N/A</v>
      </c>
      <c r="G694" s="8">
        <f>발송처리!X694</f>
        <v>0</v>
      </c>
      <c r="I694">
        <f>발송처리!AW694</f>
        <v>0</v>
      </c>
      <c r="K694" t="e">
        <f t="shared" si="12"/>
        <v>#N/A</v>
      </c>
      <c r="L694">
        <f>발송처리!AU694</f>
        <v>0</v>
      </c>
      <c r="M694">
        <f>발송처리!AP694</f>
        <v>0</v>
      </c>
      <c r="N694">
        <f>발송처리!AV694</f>
        <v>0</v>
      </c>
      <c r="O694">
        <f>발송처리!AR694</f>
        <v>0</v>
      </c>
      <c r="P694">
        <f>발송처리!K694</f>
        <v>0</v>
      </c>
      <c r="Q694" s="2">
        <f>발송처리!AC694</f>
        <v>0</v>
      </c>
    </row>
    <row r="695" spans="1:17">
      <c r="A695">
        <f>발송처리!A695</f>
        <v>0</v>
      </c>
      <c r="B695">
        <f>발송처리!M695</f>
        <v>0</v>
      </c>
      <c r="E695" t="e">
        <f>VLOOKUP(발송처리!V695,'상품DB(수정x)'!B:E,2,0)</f>
        <v>#N/A</v>
      </c>
      <c r="F695" s="13" t="e">
        <f>VLOOKUP(발송처리!V695,'상품DB(수정x)'!B:E,4,0)</f>
        <v>#N/A</v>
      </c>
      <c r="G695" s="8">
        <f>발송처리!X695</f>
        <v>0</v>
      </c>
      <c r="I695">
        <f>발송처리!AW695</f>
        <v>0</v>
      </c>
      <c r="K695" t="e">
        <f t="shared" si="12"/>
        <v>#N/A</v>
      </c>
      <c r="L695">
        <f>발송처리!AU695</f>
        <v>0</v>
      </c>
      <c r="M695">
        <f>발송처리!AP695</f>
        <v>0</v>
      </c>
      <c r="N695">
        <f>발송처리!AV695</f>
        <v>0</v>
      </c>
      <c r="O695">
        <f>발송처리!AR695</f>
        <v>0</v>
      </c>
      <c r="P695">
        <f>발송처리!K695</f>
        <v>0</v>
      </c>
      <c r="Q695" s="2">
        <f>발송처리!AC695</f>
        <v>0</v>
      </c>
    </row>
    <row r="696" spans="1:17">
      <c r="A696">
        <f>발송처리!A696</f>
        <v>0</v>
      </c>
      <c r="B696">
        <f>발송처리!M696</f>
        <v>0</v>
      </c>
      <c r="E696" t="e">
        <f>VLOOKUP(발송처리!V696,'상품DB(수정x)'!B:E,2,0)</f>
        <v>#N/A</v>
      </c>
      <c r="F696" s="13" t="e">
        <f>VLOOKUP(발송처리!V696,'상품DB(수정x)'!B:E,4,0)</f>
        <v>#N/A</v>
      </c>
      <c r="G696" s="8">
        <f>발송처리!X696</f>
        <v>0</v>
      </c>
      <c r="I696">
        <f>발송처리!AW696</f>
        <v>0</v>
      </c>
      <c r="K696" t="e">
        <f t="shared" si="12"/>
        <v>#N/A</v>
      </c>
      <c r="L696">
        <f>발송처리!AU696</f>
        <v>0</v>
      </c>
      <c r="M696">
        <f>발송처리!AP696</f>
        <v>0</v>
      </c>
      <c r="N696">
        <f>발송처리!AV696</f>
        <v>0</v>
      </c>
      <c r="O696">
        <f>발송처리!AR696</f>
        <v>0</v>
      </c>
      <c r="P696">
        <f>발송처리!K696</f>
        <v>0</v>
      </c>
      <c r="Q696" s="2">
        <f>발송처리!AC696</f>
        <v>0</v>
      </c>
    </row>
    <row r="697" spans="1:17">
      <c r="A697">
        <f>발송처리!A697</f>
        <v>0</v>
      </c>
      <c r="B697">
        <f>발송처리!M697</f>
        <v>0</v>
      </c>
      <c r="E697" t="e">
        <f>VLOOKUP(발송처리!V697,'상품DB(수정x)'!B:E,2,0)</f>
        <v>#N/A</v>
      </c>
      <c r="F697" s="13" t="e">
        <f>VLOOKUP(발송처리!V697,'상품DB(수정x)'!B:E,4,0)</f>
        <v>#N/A</v>
      </c>
      <c r="G697" s="8">
        <f>발송처리!X697</f>
        <v>0</v>
      </c>
      <c r="I697">
        <f>발송처리!AW697</f>
        <v>0</v>
      </c>
      <c r="K697" t="e">
        <f t="shared" si="12"/>
        <v>#N/A</v>
      </c>
      <c r="L697">
        <f>발송처리!AU697</f>
        <v>0</v>
      </c>
      <c r="M697">
        <f>발송처리!AP697</f>
        <v>0</v>
      </c>
      <c r="N697">
        <f>발송처리!AV697</f>
        <v>0</v>
      </c>
      <c r="O697">
        <f>발송처리!AR697</f>
        <v>0</v>
      </c>
      <c r="P697">
        <f>발송처리!K697</f>
        <v>0</v>
      </c>
      <c r="Q697" s="2">
        <f>발송처리!AC697</f>
        <v>0</v>
      </c>
    </row>
    <row r="698" spans="1:17">
      <c r="A698">
        <f>발송처리!A698</f>
        <v>0</v>
      </c>
      <c r="B698">
        <f>발송처리!M698</f>
        <v>0</v>
      </c>
      <c r="E698" t="e">
        <f>VLOOKUP(발송처리!V698,'상품DB(수정x)'!B:E,2,0)</f>
        <v>#N/A</v>
      </c>
      <c r="F698" s="13" t="e">
        <f>VLOOKUP(발송처리!V698,'상품DB(수정x)'!B:E,4,0)</f>
        <v>#N/A</v>
      </c>
      <c r="G698" s="8">
        <f>발송처리!X698</f>
        <v>0</v>
      </c>
      <c r="I698">
        <f>발송처리!AW698</f>
        <v>0</v>
      </c>
      <c r="K698" t="e">
        <f t="shared" si="12"/>
        <v>#N/A</v>
      </c>
      <c r="L698">
        <f>발송처리!AU698</f>
        <v>0</v>
      </c>
      <c r="M698">
        <f>발송처리!AP698</f>
        <v>0</v>
      </c>
      <c r="N698">
        <f>발송처리!AV698</f>
        <v>0</v>
      </c>
      <c r="O698">
        <f>발송처리!AR698</f>
        <v>0</v>
      </c>
      <c r="P698">
        <f>발송처리!K698</f>
        <v>0</v>
      </c>
      <c r="Q698" s="2">
        <f>발송처리!AC698</f>
        <v>0</v>
      </c>
    </row>
    <row r="699" spans="1:17">
      <c r="A699">
        <f>발송처리!A699</f>
        <v>0</v>
      </c>
      <c r="B699">
        <f>발송처리!M699</f>
        <v>0</v>
      </c>
      <c r="E699" t="e">
        <f>VLOOKUP(발송처리!V699,'상품DB(수정x)'!B:E,2,0)</f>
        <v>#N/A</v>
      </c>
      <c r="F699" s="13" t="e">
        <f>VLOOKUP(발송처리!V699,'상품DB(수정x)'!B:E,4,0)</f>
        <v>#N/A</v>
      </c>
      <c r="G699" s="8">
        <f>발송처리!X699</f>
        <v>0</v>
      </c>
      <c r="I699">
        <f>발송처리!AW699</f>
        <v>0</v>
      </c>
      <c r="K699" t="e">
        <f t="shared" si="12"/>
        <v>#N/A</v>
      </c>
      <c r="L699">
        <f>발송처리!AU699</f>
        <v>0</v>
      </c>
      <c r="M699">
        <f>발송처리!AP699</f>
        <v>0</v>
      </c>
      <c r="N699">
        <f>발송처리!AV699</f>
        <v>0</v>
      </c>
      <c r="O699">
        <f>발송처리!AR699</f>
        <v>0</v>
      </c>
      <c r="P699">
        <f>발송처리!K699</f>
        <v>0</v>
      </c>
      <c r="Q699" s="2">
        <f>발송처리!AC699</f>
        <v>0</v>
      </c>
    </row>
    <row r="700" spans="1:17">
      <c r="A700">
        <f>발송처리!A700</f>
        <v>0</v>
      </c>
      <c r="B700">
        <f>발송처리!M700</f>
        <v>0</v>
      </c>
      <c r="E700" t="e">
        <f>VLOOKUP(발송처리!V700,'상품DB(수정x)'!B:E,2,0)</f>
        <v>#N/A</v>
      </c>
      <c r="F700" s="13" t="e">
        <f>VLOOKUP(발송처리!V700,'상품DB(수정x)'!B:E,4,0)</f>
        <v>#N/A</v>
      </c>
      <c r="G700" s="8">
        <f>발송처리!X700</f>
        <v>0</v>
      </c>
      <c r="I700">
        <f>발송처리!AW700</f>
        <v>0</v>
      </c>
      <c r="K700" t="e">
        <f t="shared" si="12"/>
        <v>#N/A</v>
      </c>
      <c r="L700">
        <f>발송처리!AU700</f>
        <v>0</v>
      </c>
      <c r="M700">
        <f>발송처리!AP700</f>
        <v>0</v>
      </c>
      <c r="N700">
        <f>발송처리!AV700</f>
        <v>0</v>
      </c>
      <c r="O700">
        <f>발송처리!AR700</f>
        <v>0</v>
      </c>
      <c r="P700">
        <f>발송처리!K700</f>
        <v>0</v>
      </c>
      <c r="Q700" s="2">
        <f>발송처리!AC700</f>
        <v>0</v>
      </c>
    </row>
    <row r="701" spans="1:17">
      <c r="A701">
        <f>발송처리!A701</f>
        <v>0</v>
      </c>
      <c r="B701">
        <f>발송처리!M701</f>
        <v>0</v>
      </c>
      <c r="E701" t="e">
        <f>VLOOKUP(발송처리!V701,'상품DB(수정x)'!B:E,2,0)</f>
        <v>#N/A</v>
      </c>
      <c r="F701" s="13" t="e">
        <f>VLOOKUP(발송처리!V701,'상품DB(수정x)'!B:E,4,0)</f>
        <v>#N/A</v>
      </c>
      <c r="G701" s="8">
        <f>발송처리!X701</f>
        <v>0</v>
      </c>
      <c r="I701">
        <f>발송처리!AW701</f>
        <v>0</v>
      </c>
      <c r="K701" t="e">
        <f t="shared" si="12"/>
        <v>#N/A</v>
      </c>
      <c r="L701">
        <f>발송처리!AU701</f>
        <v>0</v>
      </c>
      <c r="M701">
        <f>발송처리!AP701</f>
        <v>0</v>
      </c>
      <c r="N701">
        <f>발송처리!AV701</f>
        <v>0</v>
      </c>
      <c r="O701">
        <f>발송처리!AR701</f>
        <v>0</v>
      </c>
      <c r="P701">
        <f>발송처리!K701</f>
        <v>0</v>
      </c>
      <c r="Q701" s="2">
        <f>발송처리!AC701</f>
        <v>0</v>
      </c>
    </row>
    <row r="702" spans="1:17">
      <c r="A702">
        <f>발송처리!A702</f>
        <v>0</v>
      </c>
      <c r="B702">
        <f>발송처리!M702</f>
        <v>0</v>
      </c>
      <c r="E702" t="e">
        <f>VLOOKUP(발송처리!V702,'상품DB(수정x)'!B:E,2,0)</f>
        <v>#N/A</v>
      </c>
      <c r="F702" s="13" t="e">
        <f>VLOOKUP(발송처리!V702,'상품DB(수정x)'!B:E,4,0)</f>
        <v>#N/A</v>
      </c>
      <c r="G702" s="8">
        <f>발송처리!X702</f>
        <v>0</v>
      </c>
      <c r="I702">
        <f>발송처리!AW702</f>
        <v>0</v>
      </c>
      <c r="K702" t="e">
        <f t="shared" si="12"/>
        <v>#N/A</v>
      </c>
      <c r="L702">
        <f>발송처리!AU702</f>
        <v>0</v>
      </c>
      <c r="M702">
        <f>발송처리!AP702</f>
        <v>0</v>
      </c>
      <c r="N702">
        <f>발송처리!AV702</f>
        <v>0</v>
      </c>
      <c r="O702">
        <f>발송처리!AR702</f>
        <v>0</v>
      </c>
      <c r="P702">
        <f>발송처리!K702</f>
        <v>0</v>
      </c>
      <c r="Q702" s="2">
        <f>발송처리!AC702</f>
        <v>0</v>
      </c>
    </row>
    <row r="703" spans="1:17">
      <c r="A703">
        <f>발송처리!A703</f>
        <v>0</v>
      </c>
      <c r="B703">
        <f>발송처리!M703</f>
        <v>0</v>
      </c>
      <c r="E703" t="e">
        <f>VLOOKUP(발송처리!V703,'상품DB(수정x)'!B:E,2,0)</f>
        <v>#N/A</v>
      </c>
      <c r="F703" s="13" t="e">
        <f>VLOOKUP(발송처리!V703,'상품DB(수정x)'!B:E,4,0)</f>
        <v>#N/A</v>
      </c>
      <c r="G703" s="8">
        <f>발송처리!X703</f>
        <v>0</v>
      </c>
      <c r="I703">
        <f>발송처리!AW703</f>
        <v>0</v>
      </c>
      <c r="K703" t="e">
        <f t="shared" si="12"/>
        <v>#N/A</v>
      </c>
      <c r="L703">
        <f>발송처리!AU703</f>
        <v>0</v>
      </c>
      <c r="M703">
        <f>발송처리!AP703</f>
        <v>0</v>
      </c>
      <c r="N703">
        <f>발송처리!AV703</f>
        <v>0</v>
      </c>
      <c r="O703">
        <f>발송처리!AR703</f>
        <v>0</v>
      </c>
      <c r="P703">
        <f>발송처리!K703</f>
        <v>0</v>
      </c>
      <c r="Q703" s="2">
        <f>발송처리!AC703</f>
        <v>0</v>
      </c>
    </row>
    <row r="704" spans="1:17">
      <c r="A704">
        <f>발송처리!A704</f>
        <v>0</v>
      </c>
      <c r="B704">
        <f>발송처리!M704</f>
        <v>0</v>
      </c>
      <c r="E704" t="e">
        <f>VLOOKUP(발송처리!V704,'상품DB(수정x)'!B:E,2,0)</f>
        <v>#N/A</v>
      </c>
      <c r="F704" s="13" t="e">
        <f>VLOOKUP(발송처리!V704,'상품DB(수정x)'!B:E,4,0)</f>
        <v>#N/A</v>
      </c>
      <c r="G704" s="8">
        <f>발송처리!X704</f>
        <v>0</v>
      </c>
      <c r="I704">
        <f>발송처리!AW704</f>
        <v>0</v>
      </c>
      <c r="K704" t="e">
        <f t="shared" si="12"/>
        <v>#N/A</v>
      </c>
      <c r="L704">
        <f>발송처리!AU704</f>
        <v>0</v>
      </c>
      <c r="M704">
        <f>발송처리!AP704</f>
        <v>0</v>
      </c>
      <c r="N704">
        <f>발송처리!AV704</f>
        <v>0</v>
      </c>
      <c r="O704">
        <f>발송처리!AR704</f>
        <v>0</v>
      </c>
      <c r="P704">
        <f>발송처리!K704</f>
        <v>0</v>
      </c>
      <c r="Q704" s="2">
        <f>발송처리!AC704</f>
        <v>0</v>
      </c>
    </row>
    <row r="705" spans="1:17">
      <c r="A705">
        <f>발송처리!A705</f>
        <v>0</v>
      </c>
      <c r="B705">
        <f>발송처리!M705</f>
        <v>0</v>
      </c>
      <c r="E705" t="e">
        <f>VLOOKUP(발송처리!V705,'상품DB(수정x)'!B:E,2,0)</f>
        <v>#N/A</v>
      </c>
      <c r="F705" s="13" t="e">
        <f>VLOOKUP(발송처리!V705,'상품DB(수정x)'!B:E,4,0)</f>
        <v>#N/A</v>
      </c>
      <c r="G705" s="8">
        <f>발송처리!X705</f>
        <v>0</v>
      </c>
      <c r="I705">
        <f>발송처리!AW705</f>
        <v>0</v>
      </c>
      <c r="K705" t="e">
        <f t="shared" si="12"/>
        <v>#N/A</v>
      </c>
      <c r="L705">
        <f>발송처리!AU705</f>
        <v>0</v>
      </c>
      <c r="M705">
        <f>발송처리!AP705</f>
        <v>0</v>
      </c>
      <c r="N705">
        <f>발송처리!AV705</f>
        <v>0</v>
      </c>
      <c r="O705">
        <f>발송처리!AR705</f>
        <v>0</v>
      </c>
      <c r="P705">
        <f>발송처리!K705</f>
        <v>0</v>
      </c>
      <c r="Q705" s="2">
        <f>발송처리!AC705</f>
        <v>0</v>
      </c>
    </row>
    <row r="706" spans="1:17">
      <c r="A706">
        <f>발송처리!A706</f>
        <v>0</v>
      </c>
      <c r="B706">
        <f>발송처리!M706</f>
        <v>0</v>
      </c>
      <c r="E706" t="e">
        <f>VLOOKUP(발송처리!V706,'상품DB(수정x)'!B:E,2,0)</f>
        <v>#N/A</v>
      </c>
      <c r="F706" s="13" t="e">
        <f>VLOOKUP(발송처리!V706,'상품DB(수정x)'!B:E,4,0)</f>
        <v>#N/A</v>
      </c>
      <c r="G706" s="8">
        <f>발송처리!X706</f>
        <v>0</v>
      </c>
      <c r="I706">
        <f>발송처리!AW706</f>
        <v>0</v>
      </c>
      <c r="K706" t="e">
        <f t="shared" si="12"/>
        <v>#N/A</v>
      </c>
      <c r="L706">
        <f>발송처리!AU706</f>
        <v>0</v>
      </c>
      <c r="M706">
        <f>발송처리!AP706</f>
        <v>0</v>
      </c>
      <c r="N706">
        <f>발송처리!AV706</f>
        <v>0</v>
      </c>
      <c r="O706">
        <f>발송처리!AR706</f>
        <v>0</v>
      </c>
      <c r="P706">
        <f>발송처리!K706</f>
        <v>0</v>
      </c>
      <c r="Q706" s="2">
        <f>발송처리!AC706</f>
        <v>0</v>
      </c>
    </row>
    <row r="707" spans="1:17">
      <c r="A707">
        <f>발송처리!A707</f>
        <v>0</v>
      </c>
      <c r="B707">
        <f>발송처리!M707</f>
        <v>0</v>
      </c>
      <c r="E707" t="e">
        <f>VLOOKUP(발송처리!V707,'상품DB(수정x)'!B:E,2,0)</f>
        <v>#N/A</v>
      </c>
      <c r="F707" s="13" t="e">
        <f>VLOOKUP(발송처리!V707,'상품DB(수정x)'!B:E,4,0)</f>
        <v>#N/A</v>
      </c>
      <c r="G707" s="8">
        <f>발송처리!X707</f>
        <v>0</v>
      </c>
      <c r="I707">
        <f>발송처리!AW707</f>
        <v>0</v>
      </c>
      <c r="K707" t="e">
        <f t="shared" ref="K707:K770" si="13">IF(LEFT(E707,1)="2","",IF(LEFT(E707,1)="4","",IF(Q707&gt;=500000,"★증정★테이프20mx2",IF(Q707&gt;=95000,"★증정★테이프20mx1",""))))</f>
        <v>#N/A</v>
      </c>
      <c r="L707">
        <f>발송처리!AU707</f>
        <v>0</v>
      </c>
      <c r="M707">
        <f>발송처리!AP707</f>
        <v>0</v>
      </c>
      <c r="N707">
        <f>발송처리!AV707</f>
        <v>0</v>
      </c>
      <c r="O707">
        <f>발송처리!AR707</f>
        <v>0</v>
      </c>
      <c r="P707">
        <f>발송처리!K707</f>
        <v>0</v>
      </c>
      <c r="Q707" s="2">
        <f>발송처리!AC707</f>
        <v>0</v>
      </c>
    </row>
    <row r="708" spans="1:17">
      <c r="A708">
        <f>발송처리!A708</f>
        <v>0</v>
      </c>
      <c r="B708">
        <f>발송처리!M708</f>
        <v>0</v>
      </c>
      <c r="E708" t="e">
        <f>VLOOKUP(발송처리!V708,'상품DB(수정x)'!B:E,2,0)</f>
        <v>#N/A</v>
      </c>
      <c r="F708" s="13" t="e">
        <f>VLOOKUP(발송처리!V708,'상품DB(수정x)'!B:E,4,0)</f>
        <v>#N/A</v>
      </c>
      <c r="G708" s="8">
        <f>발송처리!X708</f>
        <v>0</v>
      </c>
      <c r="I708">
        <f>발송처리!AW708</f>
        <v>0</v>
      </c>
      <c r="K708" t="e">
        <f t="shared" si="13"/>
        <v>#N/A</v>
      </c>
      <c r="L708">
        <f>발송처리!AU708</f>
        <v>0</v>
      </c>
      <c r="M708">
        <f>발송처리!AP708</f>
        <v>0</v>
      </c>
      <c r="N708">
        <f>발송처리!AV708</f>
        <v>0</v>
      </c>
      <c r="O708">
        <f>발송처리!AR708</f>
        <v>0</v>
      </c>
      <c r="P708">
        <f>발송처리!K708</f>
        <v>0</v>
      </c>
      <c r="Q708" s="2">
        <f>발송처리!AC708</f>
        <v>0</v>
      </c>
    </row>
    <row r="709" spans="1:17">
      <c r="A709">
        <f>발송처리!A709</f>
        <v>0</v>
      </c>
      <c r="B709">
        <f>발송처리!M709</f>
        <v>0</v>
      </c>
      <c r="E709" t="e">
        <f>VLOOKUP(발송처리!V709,'상품DB(수정x)'!B:E,2,0)</f>
        <v>#N/A</v>
      </c>
      <c r="F709" s="13" t="e">
        <f>VLOOKUP(발송처리!V709,'상품DB(수정x)'!B:E,4,0)</f>
        <v>#N/A</v>
      </c>
      <c r="G709" s="8">
        <f>발송처리!X709</f>
        <v>0</v>
      </c>
      <c r="I709">
        <f>발송처리!AW709</f>
        <v>0</v>
      </c>
      <c r="K709" t="e">
        <f t="shared" si="13"/>
        <v>#N/A</v>
      </c>
      <c r="L709">
        <f>발송처리!AU709</f>
        <v>0</v>
      </c>
      <c r="M709">
        <f>발송처리!AP709</f>
        <v>0</v>
      </c>
      <c r="N709">
        <f>발송처리!AV709</f>
        <v>0</v>
      </c>
      <c r="O709">
        <f>발송처리!AR709</f>
        <v>0</v>
      </c>
      <c r="P709">
        <f>발송처리!K709</f>
        <v>0</v>
      </c>
      <c r="Q709" s="2">
        <f>발송처리!AC709</f>
        <v>0</v>
      </c>
    </row>
    <row r="710" spans="1:17">
      <c r="A710">
        <f>발송처리!A710</f>
        <v>0</v>
      </c>
      <c r="B710">
        <f>발송처리!M710</f>
        <v>0</v>
      </c>
      <c r="E710" t="e">
        <f>VLOOKUP(발송처리!V710,'상품DB(수정x)'!B:E,2,0)</f>
        <v>#N/A</v>
      </c>
      <c r="F710" s="13" t="e">
        <f>VLOOKUP(발송처리!V710,'상품DB(수정x)'!B:E,4,0)</f>
        <v>#N/A</v>
      </c>
      <c r="G710" s="8">
        <f>발송처리!X710</f>
        <v>0</v>
      </c>
      <c r="I710">
        <f>발송처리!AW710</f>
        <v>0</v>
      </c>
      <c r="K710" t="e">
        <f t="shared" si="13"/>
        <v>#N/A</v>
      </c>
      <c r="L710">
        <f>발송처리!AU710</f>
        <v>0</v>
      </c>
      <c r="M710">
        <f>발송처리!AP710</f>
        <v>0</v>
      </c>
      <c r="N710">
        <f>발송처리!AV710</f>
        <v>0</v>
      </c>
      <c r="O710">
        <f>발송처리!AR710</f>
        <v>0</v>
      </c>
      <c r="P710">
        <f>발송처리!K710</f>
        <v>0</v>
      </c>
      <c r="Q710" s="2">
        <f>발송처리!AC710</f>
        <v>0</v>
      </c>
    </row>
    <row r="711" spans="1:17">
      <c r="A711">
        <f>발송처리!A711</f>
        <v>0</v>
      </c>
      <c r="B711">
        <f>발송처리!M711</f>
        <v>0</v>
      </c>
      <c r="E711" t="e">
        <f>VLOOKUP(발송처리!V711,'상품DB(수정x)'!B:E,2,0)</f>
        <v>#N/A</v>
      </c>
      <c r="F711" s="13" t="e">
        <f>VLOOKUP(발송처리!V711,'상품DB(수정x)'!B:E,4,0)</f>
        <v>#N/A</v>
      </c>
      <c r="G711" s="8">
        <f>발송처리!X711</f>
        <v>0</v>
      </c>
      <c r="I711">
        <f>발송처리!AW711</f>
        <v>0</v>
      </c>
      <c r="K711" t="e">
        <f t="shared" si="13"/>
        <v>#N/A</v>
      </c>
      <c r="L711">
        <f>발송처리!AU711</f>
        <v>0</v>
      </c>
      <c r="M711">
        <f>발송처리!AP711</f>
        <v>0</v>
      </c>
      <c r="N711">
        <f>발송처리!AV711</f>
        <v>0</v>
      </c>
      <c r="O711">
        <f>발송처리!AR711</f>
        <v>0</v>
      </c>
      <c r="P711">
        <f>발송처리!K711</f>
        <v>0</v>
      </c>
      <c r="Q711" s="2">
        <f>발송처리!AC711</f>
        <v>0</v>
      </c>
    </row>
    <row r="712" spans="1:17">
      <c r="A712">
        <f>발송처리!A712</f>
        <v>0</v>
      </c>
      <c r="B712">
        <f>발송처리!M712</f>
        <v>0</v>
      </c>
      <c r="E712" t="e">
        <f>VLOOKUP(발송처리!V712,'상품DB(수정x)'!B:E,2,0)</f>
        <v>#N/A</v>
      </c>
      <c r="F712" s="13" t="e">
        <f>VLOOKUP(발송처리!V712,'상품DB(수정x)'!B:E,4,0)</f>
        <v>#N/A</v>
      </c>
      <c r="G712" s="8">
        <f>발송처리!X712</f>
        <v>0</v>
      </c>
      <c r="I712">
        <f>발송처리!AW712</f>
        <v>0</v>
      </c>
      <c r="K712" t="e">
        <f t="shared" si="13"/>
        <v>#N/A</v>
      </c>
      <c r="L712">
        <f>발송처리!AU712</f>
        <v>0</v>
      </c>
      <c r="M712">
        <f>발송처리!AP712</f>
        <v>0</v>
      </c>
      <c r="N712">
        <f>발송처리!AV712</f>
        <v>0</v>
      </c>
      <c r="O712">
        <f>발송처리!AR712</f>
        <v>0</v>
      </c>
      <c r="P712">
        <f>발송처리!K712</f>
        <v>0</v>
      </c>
      <c r="Q712" s="2">
        <f>발송처리!AC712</f>
        <v>0</v>
      </c>
    </row>
    <row r="713" spans="1:17">
      <c r="A713">
        <f>발송처리!A713</f>
        <v>0</v>
      </c>
      <c r="B713">
        <f>발송처리!M713</f>
        <v>0</v>
      </c>
      <c r="E713" t="e">
        <f>VLOOKUP(발송처리!V713,'상품DB(수정x)'!B:E,2,0)</f>
        <v>#N/A</v>
      </c>
      <c r="F713" s="13" t="e">
        <f>VLOOKUP(발송처리!V713,'상품DB(수정x)'!B:E,4,0)</f>
        <v>#N/A</v>
      </c>
      <c r="G713" s="8">
        <f>발송처리!X713</f>
        <v>0</v>
      </c>
      <c r="I713">
        <f>발송처리!AW713</f>
        <v>0</v>
      </c>
      <c r="K713" t="e">
        <f t="shared" si="13"/>
        <v>#N/A</v>
      </c>
      <c r="L713">
        <f>발송처리!AU713</f>
        <v>0</v>
      </c>
      <c r="M713">
        <f>발송처리!AP713</f>
        <v>0</v>
      </c>
      <c r="N713">
        <f>발송처리!AV713</f>
        <v>0</v>
      </c>
      <c r="O713">
        <f>발송처리!AR713</f>
        <v>0</v>
      </c>
      <c r="P713">
        <f>발송처리!K713</f>
        <v>0</v>
      </c>
      <c r="Q713" s="2">
        <f>발송처리!AC713</f>
        <v>0</v>
      </c>
    </row>
    <row r="714" spans="1:17">
      <c r="A714">
        <f>발송처리!A714</f>
        <v>0</v>
      </c>
      <c r="B714">
        <f>발송처리!M714</f>
        <v>0</v>
      </c>
      <c r="E714" t="e">
        <f>VLOOKUP(발송처리!V714,'상품DB(수정x)'!B:E,2,0)</f>
        <v>#N/A</v>
      </c>
      <c r="F714" s="13" t="e">
        <f>VLOOKUP(발송처리!V714,'상품DB(수정x)'!B:E,4,0)</f>
        <v>#N/A</v>
      </c>
      <c r="G714" s="8">
        <f>발송처리!X714</f>
        <v>0</v>
      </c>
      <c r="I714">
        <f>발송처리!AW714</f>
        <v>0</v>
      </c>
      <c r="K714" t="e">
        <f t="shared" si="13"/>
        <v>#N/A</v>
      </c>
      <c r="L714">
        <f>발송처리!AU714</f>
        <v>0</v>
      </c>
      <c r="M714">
        <f>발송처리!AP714</f>
        <v>0</v>
      </c>
      <c r="N714">
        <f>발송처리!AV714</f>
        <v>0</v>
      </c>
      <c r="O714">
        <f>발송처리!AR714</f>
        <v>0</v>
      </c>
      <c r="P714">
        <f>발송처리!K714</f>
        <v>0</v>
      </c>
      <c r="Q714" s="2">
        <f>발송처리!AC714</f>
        <v>0</v>
      </c>
    </row>
    <row r="715" spans="1:17">
      <c r="A715">
        <f>발송처리!A715</f>
        <v>0</v>
      </c>
      <c r="B715">
        <f>발송처리!M715</f>
        <v>0</v>
      </c>
      <c r="E715" t="e">
        <f>VLOOKUP(발송처리!V715,'상품DB(수정x)'!B:E,2,0)</f>
        <v>#N/A</v>
      </c>
      <c r="F715" s="13" t="e">
        <f>VLOOKUP(발송처리!V715,'상품DB(수정x)'!B:E,4,0)</f>
        <v>#N/A</v>
      </c>
      <c r="G715" s="8">
        <f>발송처리!X715</f>
        <v>0</v>
      </c>
      <c r="I715">
        <f>발송처리!AW715</f>
        <v>0</v>
      </c>
      <c r="K715" t="e">
        <f t="shared" si="13"/>
        <v>#N/A</v>
      </c>
      <c r="L715">
        <f>발송처리!AU715</f>
        <v>0</v>
      </c>
      <c r="M715">
        <f>발송처리!AP715</f>
        <v>0</v>
      </c>
      <c r="N715">
        <f>발송처리!AV715</f>
        <v>0</v>
      </c>
      <c r="O715">
        <f>발송처리!AR715</f>
        <v>0</v>
      </c>
      <c r="P715">
        <f>발송처리!K715</f>
        <v>0</v>
      </c>
      <c r="Q715" s="2">
        <f>발송처리!AC715</f>
        <v>0</v>
      </c>
    </row>
    <row r="716" spans="1:17">
      <c r="A716">
        <f>발송처리!A716</f>
        <v>0</v>
      </c>
      <c r="B716">
        <f>발송처리!M716</f>
        <v>0</v>
      </c>
      <c r="E716" t="e">
        <f>VLOOKUP(발송처리!V716,'상품DB(수정x)'!B:E,2,0)</f>
        <v>#N/A</v>
      </c>
      <c r="F716" s="13" t="e">
        <f>VLOOKUP(발송처리!V716,'상품DB(수정x)'!B:E,4,0)</f>
        <v>#N/A</v>
      </c>
      <c r="G716" s="8">
        <f>발송처리!X716</f>
        <v>0</v>
      </c>
      <c r="I716">
        <f>발송처리!AW716</f>
        <v>0</v>
      </c>
      <c r="K716" t="e">
        <f t="shared" si="13"/>
        <v>#N/A</v>
      </c>
      <c r="L716">
        <f>발송처리!AU716</f>
        <v>0</v>
      </c>
      <c r="M716">
        <f>발송처리!AP716</f>
        <v>0</v>
      </c>
      <c r="N716">
        <f>발송처리!AV716</f>
        <v>0</v>
      </c>
      <c r="O716">
        <f>발송처리!AR716</f>
        <v>0</v>
      </c>
      <c r="P716">
        <f>발송처리!K716</f>
        <v>0</v>
      </c>
      <c r="Q716" s="2">
        <f>발송처리!AC716</f>
        <v>0</v>
      </c>
    </row>
    <row r="717" spans="1:17">
      <c r="A717">
        <f>발송처리!A717</f>
        <v>0</v>
      </c>
      <c r="B717">
        <f>발송처리!M717</f>
        <v>0</v>
      </c>
      <c r="E717" t="e">
        <f>VLOOKUP(발송처리!V717,'상품DB(수정x)'!B:E,2,0)</f>
        <v>#N/A</v>
      </c>
      <c r="F717" s="13" t="e">
        <f>VLOOKUP(발송처리!V717,'상품DB(수정x)'!B:E,4,0)</f>
        <v>#N/A</v>
      </c>
      <c r="G717" s="8">
        <f>발송처리!X717</f>
        <v>0</v>
      </c>
      <c r="I717">
        <f>발송처리!AW717</f>
        <v>0</v>
      </c>
      <c r="K717" t="e">
        <f t="shared" si="13"/>
        <v>#N/A</v>
      </c>
      <c r="L717">
        <f>발송처리!AU717</f>
        <v>0</v>
      </c>
      <c r="M717">
        <f>발송처리!AP717</f>
        <v>0</v>
      </c>
      <c r="N717">
        <f>발송처리!AV717</f>
        <v>0</v>
      </c>
      <c r="O717">
        <f>발송처리!AR717</f>
        <v>0</v>
      </c>
      <c r="P717">
        <f>발송처리!K717</f>
        <v>0</v>
      </c>
      <c r="Q717" s="2">
        <f>발송처리!AC717</f>
        <v>0</v>
      </c>
    </row>
    <row r="718" spans="1:17">
      <c r="A718">
        <f>발송처리!A718</f>
        <v>0</v>
      </c>
      <c r="B718">
        <f>발송처리!M718</f>
        <v>0</v>
      </c>
      <c r="E718" t="e">
        <f>VLOOKUP(발송처리!V718,'상품DB(수정x)'!B:E,2,0)</f>
        <v>#N/A</v>
      </c>
      <c r="F718" s="13" t="e">
        <f>VLOOKUP(발송처리!V718,'상품DB(수정x)'!B:E,4,0)</f>
        <v>#N/A</v>
      </c>
      <c r="G718" s="8">
        <f>발송처리!X718</f>
        <v>0</v>
      </c>
      <c r="I718">
        <f>발송처리!AW718</f>
        <v>0</v>
      </c>
      <c r="K718" t="e">
        <f t="shared" si="13"/>
        <v>#N/A</v>
      </c>
      <c r="L718">
        <f>발송처리!AU718</f>
        <v>0</v>
      </c>
      <c r="M718">
        <f>발송처리!AP718</f>
        <v>0</v>
      </c>
      <c r="N718">
        <f>발송처리!AV718</f>
        <v>0</v>
      </c>
      <c r="O718">
        <f>발송처리!AR718</f>
        <v>0</v>
      </c>
      <c r="P718">
        <f>발송처리!K718</f>
        <v>0</v>
      </c>
      <c r="Q718" s="2">
        <f>발송처리!AC718</f>
        <v>0</v>
      </c>
    </row>
    <row r="719" spans="1:17">
      <c r="A719">
        <f>발송처리!A719</f>
        <v>0</v>
      </c>
      <c r="B719">
        <f>발송처리!M719</f>
        <v>0</v>
      </c>
      <c r="E719" t="e">
        <f>VLOOKUP(발송처리!V719,'상품DB(수정x)'!B:E,2,0)</f>
        <v>#N/A</v>
      </c>
      <c r="F719" s="13" t="e">
        <f>VLOOKUP(발송처리!V719,'상품DB(수정x)'!B:E,4,0)</f>
        <v>#N/A</v>
      </c>
      <c r="G719" s="8">
        <f>발송처리!X719</f>
        <v>0</v>
      </c>
      <c r="I719">
        <f>발송처리!AW719</f>
        <v>0</v>
      </c>
      <c r="K719" t="e">
        <f t="shared" si="13"/>
        <v>#N/A</v>
      </c>
      <c r="L719">
        <f>발송처리!AU719</f>
        <v>0</v>
      </c>
      <c r="M719">
        <f>발송처리!AP719</f>
        <v>0</v>
      </c>
      <c r="N719">
        <f>발송처리!AV719</f>
        <v>0</v>
      </c>
      <c r="O719">
        <f>발송처리!AR719</f>
        <v>0</v>
      </c>
      <c r="P719">
        <f>발송처리!K719</f>
        <v>0</v>
      </c>
      <c r="Q719" s="2">
        <f>발송처리!AC719</f>
        <v>0</v>
      </c>
    </row>
    <row r="720" spans="1:17">
      <c r="A720">
        <f>발송처리!A720</f>
        <v>0</v>
      </c>
      <c r="B720">
        <f>발송처리!M720</f>
        <v>0</v>
      </c>
      <c r="E720" t="e">
        <f>VLOOKUP(발송처리!V720,'상품DB(수정x)'!B:E,2,0)</f>
        <v>#N/A</v>
      </c>
      <c r="F720" s="13" t="e">
        <f>VLOOKUP(발송처리!V720,'상품DB(수정x)'!B:E,4,0)</f>
        <v>#N/A</v>
      </c>
      <c r="G720" s="8">
        <f>발송처리!X720</f>
        <v>0</v>
      </c>
      <c r="I720">
        <f>발송처리!AW720</f>
        <v>0</v>
      </c>
      <c r="K720" t="e">
        <f t="shared" si="13"/>
        <v>#N/A</v>
      </c>
      <c r="L720">
        <f>발송처리!AU720</f>
        <v>0</v>
      </c>
      <c r="M720">
        <f>발송처리!AP720</f>
        <v>0</v>
      </c>
      <c r="N720">
        <f>발송처리!AV720</f>
        <v>0</v>
      </c>
      <c r="O720">
        <f>발송처리!AR720</f>
        <v>0</v>
      </c>
      <c r="P720">
        <f>발송처리!K720</f>
        <v>0</v>
      </c>
      <c r="Q720" s="2">
        <f>발송처리!AC720</f>
        <v>0</v>
      </c>
    </row>
    <row r="721" spans="1:17">
      <c r="A721">
        <f>발송처리!A721</f>
        <v>0</v>
      </c>
      <c r="B721">
        <f>발송처리!M721</f>
        <v>0</v>
      </c>
      <c r="E721" t="e">
        <f>VLOOKUP(발송처리!V721,'상품DB(수정x)'!B:E,2,0)</f>
        <v>#N/A</v>
      </c>
      <c r="F721" s="13" t="e">
        <f>VLOOKUP(발송처리!V721,'상품DB(수정x)'!B:E,4,0)</f>
        <v>#N/A</v>
      </c>
      <c r="G721" s="8">
        <f>발송처리!X721</f>
        <v>0</v>
      </c>
      <c r="I721">
        <f>발송처리!AW721</f>
        <v>0</v>
      </c>
      <c r="K721" t="e">
        <f t="shared" si="13"/>
        <v>#N/A</v>
      </c>
      <c r="L721">
        <f>발송처리!AU721</f>
        <v>0</v>
      </c>
      <c r="M721">
        <f>발송처리!AP721</f>
        <v>0</v>
      </c>
      <c r="N721">
        <f>발송처리!AV721</f>
        <v>0</v>
      </c>
      <c r="O721">
        <f>발송처리!AR721</f>
        <v>0</v>
      </c>
      <c r="P721">
        <f>발송처리!K721</f>
        <v>0</v>
      </c>
      <c r="Q721" s="2">
        <f>발송처리!AC721</f>
        <v>0</v>
      </c>
    </row>
    <row r="722" spans="1:17">
      <c r="A722">
        <f>발송처리!A722</f>
        <v>0</v>
      </c>
      <c r="B722">
        <f>발송처리!M722</f>
        <v>0</v>
      </c>
      <c r="E722" t="e">
        <f>VLOOKUP(발송처리!V722,'상품DB(수정x)'!B:E,2,0)</f>
        <v>#N/A</v>
      </c>
      <c r="F722" s="13" t="e">
        <f>VLOOKUP(발송처리!V722,'상품DB(수정x)'!B:E,4,0)</f>
        <v>#N/A</v>
      </c>
      <c r="G722" s="8">
        <f>발송처리!X722</f>
        <v>0</v>
      </c>
      <c r="I722">
        <f>발송처리!AW722</f>
        <v>0</v>
      </c>
      <c r="K722" t="e">
        <f t="shared" si="13"/>
        <v>#N/A</v>
      </c>
      <c r="L722">
        <f>발송처리!AU722</f>
        <v>0</v>
      </c>
      <c r="M722">
        <f>발송처리!AP722</f>
        <v>0</v>
      </c>
      <c r="N722">
        <f>발송처리!AV722</f>
        <v>0</v>
      </c>
      <c r="O722">
        <f>발송처리!AR722</f>
        <v>0</v>
      </c>
      <c r="P722">
        <f>발송처리!K722</f>
        <v>0</v>
      </c>
      <c r="Q722" s="2">
        <f>발송처리!AC722</f>
        <v>0</v>
      </c>
    </row>
    <row r="723" spans="1:17">
      <c r="A723">
        <f>발송처리!A723</f>
        <v>0</v>
      </c>
      <c r="B723">
        <f>발송처리!M723</f>
        <v>0</v>
      </c>
      <c r="E723" t="e">
        <f>VLOOKUP(발송처리!V723,'상품DB(수정x)'!B:E,2,0)</f>
        <v>#N/A</v>
      </c>
      <c r="F723" s="13" t="e">
        <f>VLOOKUP(발송처리!V723,'상품DB(수정x)'!B:E,4,0)</f>
        <v>#N/A</v>
      </c>
      <c r="G723" s="8">
        <f>발송처리!X723</f>
        <v>0</v>
      </c>
      <c r="I723">
        <f>발송처리!AW723</f>
        <v>0</v>
      </c>
      <c r="K723" t="e">
        <f t="shared" si="13"/>
        <v>#N/A</v>
      </c>
      <c r="L723">
        <f>발송처리!AU723</f>
        <v>0</v>
      </c>
      <c r="M723">
        <f>발송처리!AP723</f>
        <v>0</v>
      </c>
      <c r="N723">
        <f>발송처리!AV723</f>
        <v>0</v>
      </c>
      <c r="O723">
        <f>발송처리!AR723</f>
        <v>0</v>
      </c>
      <c r="P723">
        <f>발송처리!K723</f>
        <v>0</v>
      </c>
      <c r="Q723" s="2">
        <f>발송처리!AC723</f>
        <v>0</v>
      </c>
    </row>
    <row r="724" spans="1:17">
      <c r="A724">
        <f>발송처리!A724</f>
        <v>0</v>
      </c>
      <c r="B724">
        <f>발송처리!M724</f>
        <v>0</v>
      </c>
      <c r="E724" t="e">
        <f>VLOOKUP(발송처리!V724,'상품DB(수정x)'!B:E,2,0)</f>
        <v>#N/A</v>
      </c>
      <c r="F724" s="13" t="e">
        <f>VLOOKUP(발송처리!V724,'상품DB(수정x)'!B:E,4,0)</f>
        <v>#N/A</v>
      </c>
      <c r="G724" s="8">
        <f>발송처리!X724</f>
        <v>0</v>
      </c>
      <c r="I724">
        <f>발송처리!AW724</f>
        <v>0</v>
      </c>
      <c r="K724" t="e">
        <f t="shared" si="13"/>
        <v>#N/A</v>
      </c>
      <c r="L724">
        <f>발송처리!AU724</f>
        <v>0</v>
      </c>
      <c r="M724">
        <f>발송처리!AP724</f>
        <v>0</v>
      </c>
      <c r="N724">
        <f>발송처리!AV724</f>
        <v>0</v>
      </c>
      <c r="O724">
        <f>발송처리!AR724</f>
        <v>0</v>
      </c>
      <c r="P724">
        <f>발송처리!K724</f>
        <v>0</v>
      </c>
      <c r="Q724" s="2">
        <f>발송처리!AC724</f>
        <v>0</v>
      </c>
    </row>
    <row r="725" spans="1:17">
      <c r="A725">
        <f>발송처리!A725</f>
        <v>0</v>
      </c>
      <c r="B725">
        <f>발송처리!M725</f>
        <v>0</v>
      </c>
      <c r="E725" t="e">
        <f>VLOOKUP(발송처리!V725,'상품DB(수정x)'!B:E,2,0)</f>
        <v>#N/A</v>
      </c>
      <c r="F725" s="13" t="e">
        <f>VLOOKUP(발송처리!V725,'상품DB(수정x)'!B:E,4,0)</f>
        <v>#N/A</v>
      </c>
      <c r="G725" s="8">
        <f>발송처리!X725</f>
        <v>0</v>
      </c>
      <c r="I725">
        <f>발송처리!AW725</f>
        <v>0</v>
      </c>
      <c r="K725" t="e">
        <f t="shared" si="13"/>
        <v>#N/A</v>
      </c>
      <c r="L725">
        <f>발송처리!AU725</f>
        <v>0</v>
      </c>
      <c r="M725">
        <f>발송처리!AP725</f>
        <v>0</v>
      </c>
      <c r="N725">
        <f>발송처리!AV725</f>
        <v>0</v>
      </c>
      <c r="O725">
        <f>발송처리!AR725</f>
        <v>0</v>
      </c>
      <c r="P725">
        <f>발송처리!K725</f>
        <v>0</v>
      </c>
      <c r="Q725" s="2">
        <f>발송처리!AC725</f>
        <v>0</v>
      </c>
    </row>
    <row r="726" spans="1:17">
      <c r="A726">
        <f>발송처리!A726</f>
        <v>0</v>
      </c>
      <c r="B726">
        <f>발송처리!M726</f>
        <v>0</v>
      </c>
      <c r="E726" t="e">
        <f>VLOOKUP(발송처리!V726,'상품DB(수정x)'!B:E,2,0)</f>
        <v>#N/A</v>
      </c>
      <c r="F726" s="13" t="e">
        <f>VLOOKUP(발송처리!V726,'상품DB(수정x)'!B:E,4,0)</f>
        <v>#N/A</v>
      </c>
      <c r="G726" s="8">
        <f>발송처리!X726</f>
        <v>0</v>
      </c>
      <c r="I726">
        <f>발송처리!AW726</f>
        <v>0</v>
      </c>
      <c r="K726" t="e">
        <f t="shared" si="13"/>
        <v>#N/A</v>
      </c>
      <c r="L726">
        <f>발송처리!AU726</f>
        <v>0</v>
      </c>
      <c r="M726">
        <f>발송처리!AP726</f>
        <v>0</v>
      </c>
      <c r="N726">
        <f>발송처리!AV726</f>
        <v>0</v>
      </c>
      <c r="O726">
        <f>발송처리!AR726</f>
        <v>0</v>
      </c>
      <c r="P726">
        <f>발송처리!K726</f>
        <v>0</v>
      </c>
      <c r="Q726" s="2">
        <f>발송처리!AC726</f>
        <v>0</v>
      </c>
    </row>
    <row r="727" spans="1:17">
      <c r="A727">
        <f>발송처리!A727</f>
        <v>0</v>
      </c>
      <c r="B727">
        <f>발송처리!M727</f>
        <v>0</v>
      </c>
      <c r="E727" t="e">
        <f>VLOOKUP(발송처리!V727,'상품DB(수정x)'!B:E,2,0)</f>
        <v>#N/A</v>
      </c>
      <c r="F727" s="13" t="e">
        <f>VLOOKUP(발송처리!V727,'상품DB(수정x)'!B:E,4,0)</f>
        <v>#N/A</v>
      </c>
      <c r="G727" s="8">
        <f>발송처리!X727</f>
        <v>0</v>
      </c>
      <c r="I727">
        <f>발송처리!AW727</f>
        <v>0</v>
      </c>
      <c r="K727" t="e">
        <f t="shared" si="13"/>
        <v>#N/A</v>
      </c>
      <c r="L727">
        <f>발송처리!AU727</f>
        <v>0</v>
      </c>
      <c r="M727">
        <f>발송처리!AP727</f>
        <v>0</v>
      </c>
      <c r="N727">
        <f>발송처리!AV727</f>
        <v>0</v>
      </c>
      <c r="O727">
        <f>발송처리!AR727</f>
        <v>0</v>
      </c>
      <c r="P727">
        <f>발송처리!K727</f>
        <v>0</v>
      </c>
      <c r="Q727" s="2">
        <f>발송처리!AC727</f>
        <v>0</v>
      </c>
    </row>
    <row r="728" spans="1:17">
      <c r="A728">
        <f>발송처리!A728</f>
        <v>0</v>
      </c>
      <c r="B728">
        <f>발송처리!M728</f>
        <v>0</v>
      </c>
      <c r="E728" t="e">
        <f>VLOOKUP(발송처리!V728,'상품DB(수정x)'!B:E,2,0)</f>
        <v>#N/A</v>
      </c>
      <c r="F728" s="13" t="e">
        <f>VLOOKUP(발송처리!V728,'상품DB(수정x)'!B:E,4,0)</f>
        <v>#N/A</v>
      </c>
      <c r="G728" s="8">
        <f>발송처리!X728</f>
        <v>0</v>
      </c>
      <c r="I728">
        <f>발송처리!AW728</f>
        <v>0</v>
      </c>
      <c r="K728" t="e">
        <f t="shared" si="13"/>
        <v>#N/A</v>
      </c>
      <c r="L728">
        <f>발송처리!AU728</f>
        <v>0</v>
      </c>
      <c r="M728">
        <f>발송처리!AP728</f>
        <v>0</v>
      </c>
      <c r="N728">
        <f>발송처리!AV728</f>
        <v>0</v>
      </c>
      <c r="O728">
        <f>발송처리!AR728</f>
        <v>0</v>
      </c>
      <c r="P728">
        <f>발송처리!K728</f>
        <v>0</v>
      </c>
      <c r="Q728" s="2">
        <f>발송처리!AC728</f>
        <v>0</v>
      </c>
    </row>
    <row r="729" spans="1:17">
      <c r="A729">
        <f>발송처리!A729</f>
        <v>0</v>
      </c>
      <c r="B729">
        <f>발송처리!M729</f>
        <v>0</v>
      </c>
      <c r="E729" t="e">
        <f>VLOOKUP(발송처리!V729,'상품DB(수정x)'!B:E,2,0)</f>
        <v>#N/A</v>
      </c>
      <c r="F729" s="13" t="e">
        <f>VLOOKUP(발송처리!V729,'상품DB(수정x)'!B:E,4,0)</f>
        <v>#N/A</v>
      </c>
      <c r="G729" s="8">
        <f>발송처리!X729</f>
        <v>0</v>
      </c>
      <c r="I729">
        <f>발송처리!AW729</f>
        <v>0</v>
      </c>
      <c r="K729" t="e">
        <f t="shared" si="13"/>
        <v>#N/A</v>
      </c>
      <c r="L729">
        <f>발송처리!AU729</f>
        <v>0</v>
      </c>
      <c r="M729">
        <f>발송처리!AP729</f>
        <v>0</v>
      </c>
      <c r="N729">
        <f>발송처리!AV729</f>
        <v>0</v>
      </c>
      <c r="O729">
        <f>발송처리!AR729</f>
        <v>0</v>
      </c>
      <c r="P729">
        <f>발송처리!K729</f>
        <v>0</v>
      </c>
      <c r="Q729" s="2">
        <f>발송처리!AC729</f>
        <v>0</v>
      </c>
    </row>
    <row r="730" spans="1:17">
      <c r="A730">
        <f>발송처리!A730</f>
        <v>0</v>
      </c>
      <c r="B730">
        <f>발송처리!M730</f>
        <v>0</v>
      </c>
      <c r="E730" t="e">
        <f>VLOOKUP(발송처리!V730,'상품DB(수정x)'!B:E,2,0)</f>
        <v>#N/A</v>
      </c>
      <c r="F730" s="13" t="e">
        <f>VLOOKUP(발송처리!V730,'상품DB(수정x)'!B:E,4,0)</f>
        <v>#N/A</v>
      </c>
      <c r="G730" s="8">
        <f>발송처리!X730</f>
        <v>0</v>
      </c>
      <c r="I730">
        <f>발송처리!AW730</f>
        <v>0</v>
      </c>
      <c r="K730" t="e">
        <f t="shared" si="13"/>
        <v>#N/A</v>
      </c>
      <c r="L730">
        <f>발송처리!AU730</f>
        <v>0</v>
      </c>
      <c r="M730">
        <f>발송처리!AP730</f>
        <v>0</v>
      </c>
      <c r="N730">
        <f>발송처리!AV730</f>
        <v>0</v>
      </c>
      <c r="O730">
        <f>발송처리!AR730</f>
        <v>0</v>
      </c>
      <c r="P730">
        <f>발송처리!K730</f>
        <v>0</v>
      </c>
      <c r="Q730" s="2">
        <f>발송처리!AC730</f>
        <v>0</v>
      </c>
    </row>
    <row r="731" spans="1:17">
      <c r="A731">
        <f>발송처리!A731</f>
        <v>0</v>
      </c>
      <c r="B731">
        <f>발송처리!M731</f>
        <v>0</v>
      </c>
      <c r="E731" t="e">
        <f>VLOOKUP(발송처리!V731,'상품DB(수정x)'!B:E,2,0)</f>
        <v>#N/A</v>
      </c>
      <c r="F731" s="13" t="e">
        <f>VLOOKUP(발송처리!V731,'상품DB(수정x)'!B:E,4,0)</f>
        <v>#N/A</v>
      </c>
      <c r="G731" s="8">
        <f>발송처리!X731</f>
        <v>0</v>
      </c>
      <c r="I731">
        <f>발송처리!AW731</f>
        <v>0</v>
      </c>
      <c r="K731" t="e">
        <f t="shared" si="13"/>
        <v>#N/A</v>
      </c>
      <c r="L731">
        <f>발송처리!AU731</f>
        <v>0</v>
      </c>
      <c r="M731">
        <f>발송처리!AP731</f>
        <v>0</v>
      </c>
      <c r="N731">
        <f>발송처리!AV731</f>
        <v>0</v>
      </c>
      <c r="O731">
        <f>발송처리!AR731</f>
        <v>0</v>
      </c>
      <c r="P731">
        <f>발송처리!K731</f>
        <v>0</v>
      </c>
      <c r="Q731" s="2">
        <f>발송처리!AC731</f>
        <v>0</v>
      </c>
    </row>
    <row r="732" spans="1:17">
      <c r="A732">
        <f>발송처리!A732</f>
        <v>0</v>
      </c>
      <c r="B732">
        <f>발송처리!M732</f>
        <v>0</v>
      </c>
      <c r="E732" t="e">
        <f>VLOOKUP(발송처리!V732,'상품DB(수정x)'!B:E,2,0)</f>
        <v>#N/A</v>
      </c>
      <c r="F732" s="13" t="e">
        <f>VLOOKUP(발송처리!V732,'상품DB(수정x)'!B:E,4,0)</f>
        <v>#N/A</v>
      </c>
      <c r="G732" s="8">
        <f>발송처리!X732</f>
        <v>0</v>
      </c>
      <c r="I732">
        <f>발송처리!AW732</f>
        <v>0</v>
      </c>
      <c r="K732" t="e">
        <f t="shared" si="13"/>
        <v>#N/A</v>
      </c>
      <c r="L732">
        <f>발송처리!AU732</f>
        <v>0</v>
      </c>
      <c r="M732">
        <f>발송처리!AP732</f>
        <v>0</v>
      </c>
      <c r="N732">
        <f>발송처리!AV732</f>
        <v>0</v>
      </c>
      <c r="O732">
        <f>발송처리!AR732</f>
        <v>0</v>
      </c>
      <c r="P732">
        <f>발송처리!K732</f>
        <v>0</v>
      </c>
      <c r="Q732" s="2">
        <f>발송처리!AC732</f>
        <v>0</v>
      </c>
    </row>
    <row r="733" spans="1:17">
      <c r="A733">
        <f>발송처리!A733</f>
        <v>0</v>
      </c>
      <c r="B733">
        <f>발송처리!M733</f>
        <v>0</v>
      </c>
      <c r="E733" t="e">
        <f>VLOOKUP(발송처리!V733,'상품DB(수정x)'!B:E,2,0)</f>
        <v>#N/A</v>
      </c>
      <c r="F733" s="13" t="e">
        <f>VLOOKUP(발송처리!V733,'상품DB(수정x)'!B:E,4,0)</f>
        <v>#N/A</v>
      </c>
      <c r="G733" s="8">
        <f>발송처리!X733</f>
        <v>0</v>
      </c>
      <c r="I733">
        <f>발송처리!AW733</f>
        <v>0</v>
      </c>
      <c r="K733" t="e">
        <f t="shared" si="13"/>
        <v>#N/A</v>
      </c>
      <c r="L733">
        <f>발송처리!AU733</f>
        <v>0</v>
      </c>
      <c r="M733">
        <f>발송처리!AP733</f>
        <v>0</v>
      </c>
      <c r="N733">
        <f>발송처리!AV733</f>
        <v>0</v>
      </c>
      <c r="O733">
        <f>발송처리!AR733</f>
        <v>0</v>
      </c>
      <c r="P733">
        <f>발송처리!K733</f>
        <v>0</v>
      </c>
      <c r="Q733" s="2">
        <f>발송처리!AC733</f>
        <v>0</v>
      </c>
    </row>
    <row r="734" spans="1:17">
      <c r="A734">
        <f>발송처리!A734</f>
        <v>0</v>
      </c>
      <c r="B734">
        <f>발송처리!M734</f>
        <v>0</v>
      </c>
      <c r="E734" t="e">
        <f>VLOOKUP(발송처리!V734,'상품DB(수정x)'!B:E,2,0)</f>
        <v>#N/A</v>
      </c>
      <c r="F734" s="13" t="e">
        <f>VLOOKUP(발송처리!V734,'상품DB(수정x)'!B:E,4,0)</f>
        <v>#N/A</v>
      </c>
      <c r="G734" s="8">
        <f>발송처리!X734</f>
        <v>0</v>
      </c>
      <c r="I734">
        <f>발송처리!AW734</f>
        <v>0</v>
      </c>
      <c r="K734" t="e">
        <f t="shared" si="13"/>
        <v>#N/A</v>
      </c>
      <c r="L734">
        <f>발송처리!AU734</f>
        <v>0</v>
      </c>
      <c r="M734">
        <f>발송처리!AP734</f>
        <v>0</v>
      </c>
      <c r="N734">
        <f>발송처리!AV734</f>
        <v>0</v>
      </c>
      <c r="O734">
        <f>발송처리!AR734</f>
        <v>0</v>
      </c>
      <c r="P734">
        <f>발송처리!K734</f>
        <v>0</v>
      </c>
      <c r="Q734" s="2">
        <f>발송처리!AC734</f>
        <v>0</v>
      </c>
    </row>
    <row r="735" spans="1:17">
      <c r="A735">
        <f>발송처리!A735</f>
        <v>0</v>
      </c>
      <c r="B735">
        <f>발송처리!M735</f>
        <v>0</v>
      </c>
      <c r="E735" t="e">
        <f>VLOOKUP(발송처리!V735,'상품DB(수정x)'!B:E,2,0)</f>
        <v>#N/A</v>
      </c>
      <c r="F735" s="13" t="e">
        <f>VLOOKUP(발송처리!V735,'상품DB(수정x)'!B:E,4,0)</f>
        <v>#N/A</v>
      </c>
      <c r="G735" s="8">
        <f>발송처리!X735</f>
        <v>0</v>
      </c>
      <c r="I735">
        <f>발송처리!AW735</f>
        <v>0</v>
      </c>
      <c r="K735" t="e">
        <f t="shared" si="13"/>
        <v>#N/A</v>
      </c>
      <c r="L735">
        <f>발송처리!AU735</f>
        <v>0</v>
      </c>
      <c r="M735">
        <f>발송처리!AP735</f>
        <v>0</v>
      </c>
      <c r="N735">
        <f>발송처리!AV735</f>
        <v>0</v>
      </c>
      <c r="O735">
        <f>발송처리!AR735</f>
        <v>0</v>
      </c>
      <c r="P735">
        <f>발송처리!K735</f>
        <v>0</v>
      </c>
      <c r="Q735" s="2">
        <f>발송처리!AC735</f>
        <v>0</v>
      </c>
    </row>
    <row r="736" spans="1:17">
      <c r="A736">
        <f>발송처리!A736</f>
        <v>0</v>
      </c>
      <c r="B736">
        <f>발송처리!M736</f>
        <v>0</v>
      </c>
      <c r="E736" t="e">
        <f>VLOOKUP(발송처리!V736,'상품DB(수정x)'!B:E,2,0)</f>
        <v>#N/A</v>
      </c>
      <c r="F736" s="13" t="e">
        <f>VLOOKUP(발송처리!V736,'상품DB(수정x)'!B:E,4,0)</f>
        <v>#N/A</v>
      </c>
      <c r="G736" s="8">
        <f>발송처리!X736</f>
        <v>0</v>
      </c>
      <c r="I736">
        <f>발송처리!AW736</f>
        <v>0</v>
      </c>
      <c r="K736" t="e">
        <f t="shared" si="13"/>
        <v>#N/A</v>
      </c>
      <c r="L736">
        <f>발송처리!AU736</f>
        <v>0</v>
      </c>
      <c r="M736">
        <f>발송처리!AP736</f>
        <v>0</v>
      </c>
      <c r="N736">
        <f>발송처리!AV736</f>
        <v>0</v>
      </c>
      <c r="O736">
        <f>발송처리!AR736</f>
        <v>0</v>
      </c>
      <c r="P736">
        <f>발송처리!K736</f>
        <v>0</v>
      </c>
      <c r="Q736" s="2">
        <f>발송처리!AC736</f>
        <v>0</v>
      </c>
    </row>
    <row r="737" spans="1:17">
      <c r="A737">
        <f>발송처리!A737</f>
        <v>0</v>
      </c>
      <c r="B737">
        <f>발송처리!M737</f>
        <v>0</v>
      </c>
      <c r="E737" t="e">
        <f>VLOOKUP(발송처리!V737,'상품DB(수정x)'!B:E,2,0)</f>
        <v>#N/A</v>
      </c>
      <c r="F737" s="13" t="e">
        <f>VLOOKUP(발송처리!V737,'상품DB(수정x)'!B:E,4,0)</f>
        <v>#N/A</v>
      </c>
      <c r="G737" s="8">
        <f>발송처리!X737</f>
        <v>0</v>
      </c>
      <c r="I737">
        <f>발송처리!AW737</f>
        <v>0</v>
      </c>
      <c r="K737" t="e">
        <f t="shared" si="13"/>
        <v>#N/A</v>
      </c>
      <c r="L737">
        <f>발송처리!AU737</f>
        <v>0</v>
      </c>
      <c r="M737">
        <f>발송처리!AP737</f>
        <v>0</v>
      </c>
      <c r="N737">
        <f>발송처리!AV737</f>
        <v>0</v>
      </c>
      <c r="O737">
        <f>발송처리!AR737</f>
        <v>0</v>
      </c>
      <c r="P737">
        <f>발송처리!K737</f>
        <v>0</v>
      </c>
      <c r="Q737" s="2">
        <f>발송처리!AC737</f>
        <v>0</v>
      </c>
    </row>
    <row r="738" spans="1:17">
      <c r="A738">
        <f>발송처리!A738</f>
        <v>0</v>
      </c>
      <c r="B738">
        <f>발송처리!M738</f>
        <v>0</v>
      </c>
      <c r="E738" t="e">
        <f>VLOOKUP(발송처리!V738,'상품DB(수정x)'!B:E,2,0)</f>
        <v>#N/A</v>
      </c>
      <c r="F738" s="13" t="e">
        <f>VLOOKUP(발송처리!V738,'상품DB(수정x)'!B:E,4,0)</f>
        <v>#N/A</v>
      </c>
      <c r="G738" s="8">
        <f>발송처리!X738</f>
        <v>0</v>
      </c>
      <c r="I738">
        <f>발송처리!AW738</f>
        <v>0</v>
      </c>
      <c r="K738" t="e">
        <f t="shared" si="13"/>
        <v>#N/A</v>
      </c>
      <c r="L738">
        <f>발송처리!AU738</f>
        <v>0</v>
      </c>
      <c r="M738">
        <f>발송처리!AP738</f>
        <v>0</v>
      </c>
      <c r="N738">
        <f>발송처리!AV738</f>
        <v>0</v>
      </c>
      <c r="O738">
        <f>발송처리!AR738</f>
        <v>0</v>
      </c>
      <c r="P738">
        <f>발송처리!K738</f>
        <v>0</v>
      </c>
      <c r="Q738" s="2">
        <f>발송처리!AC738</f>
        <v>0</v>
      </c>
    </row>
    <row r="739" spans="1:17">
      <c r="A739">
        <f>발송처리!A739</f>
        <v>0</v>
      </c>
      <c r="B739">
        <f>발송처리!M739</f>
        <v>0</v>
      </c>
      <c r="E739" t="e">
        <f>VLOOKUP(발송처리!V739,'상품DB(수정x)'!B:E,2,0)</f>
        <v>#N/A</v>
      </c>
      <c r="F739" s="13" t="e">
        <f>VLOOKUP(발송처리!V739,'상품DB(수정x)'!B:E,4,0)</f>
        <v>#N/A</v>
      </c>
      <c r="G739" s="8">
        <f>발송처리!X739</f>
        <v>0</v>
      </c>
      <c r="I739">
        <f>발송처리!AW739</f>
        <v>0</v>
      </c>
      <c r="K739" t="e">
        <f t="shared" si="13"/>
        <v>#N/A</v>
      </c>
      <c r="L739">
        <f>발송처리!AU739</f>
        <v>0</v>
      </c>
      <c r="M739">
        <f>발송처리!AP739</f>
        <v>0</v>
      </c>
      <c r="N739">
        <f>발송처리!AV739</f>
        <v>0</v>
      </c>
      <c r="O739">
        <f>발송처리!AR739</f>
        <v>0</v>
      </c>
      <c r="P739">
        <f>발송처리!K739</f>
        <v>0</v>
      </c>
      <c r="Q739" s="2">
        <f>발송처리!AC739</f>
        <v>0</v>
      </c>
    </row>
    <row r="740" spans="1:17">
      <c r="A740">
        <f>발송처리!A740</f>
        <v>0</v>
      </c>
      <c r="B740">
        <f>발송처리!M740</f>
        <v>0</v>
      </c>
      <c r="E740" t="e">
        <f>VLOOKUP(발송처리!V740,'상품DB(수정x)'!B:E,2,0)</f>
        <v>#N/A</v>
      </c>
      <c r="F740" s="13" t="e">
        <f>VLOOKUP(발송처리!V740,'상품DB(수정x)'!B:E,4,0)</f>
        <v>#N/A</v>
      </c>
      <c r="G740" s="8">
        <f>발송처리!X740</f>
        <v>0</v>
      </c>
      <c r="I740">
        <f>발송처리!AW740</f>
        <v>0</v>
      </c>
      <c r="K740" t="e">
        <f t="shared" si="13"/>
        <v>#N/A</v>
      </c>
      <c r="L740">
        <f>발송처리!AU740</f>
        <v>0</v>
      </c>
      <c r="M740">
        <f>발송처리!AP740</f>
        <v>0</v>
      </c>
      <c r="N740">
        <f>발송처리!AV740</f>
        <v>0</v>
      </c>
      <c r="O740">
        <f>발송처리!AR740</f>
        <v>0</v>
      </c>
      <c r="P740">
        <f>발송처리!K740</f>
        <v>0</v>
      </c>
      <c r="Q740" s="2">
        <f>발송처리!AC740</f>
        <v>0</v>
      </c>
    </row>
    <row r="741" spans="1:17">
      <c r="A741">
        <f>발송처리!A741</f>
        <v>0</v>
      </c>
      <c r="B741">
        <f>발송처리!M741</f>
        <v>0</v>
      </c>
      <c r="E741" t="e">
        <f>VLOOKUP(발송처리!V741,'상품DB(수정x)'!B:E,2,0)</f>
        <v>#N/A</v>
      </c>
      <c r="F741" s="13" t="e">
        <f>VLOOKUP(발송처리!V741,'상품DB(수정x)'!B:E,4,0)</f>
        <v>#N/A</v>
      </c>
      <c r="G741" s="8">
        <f>발송처리!X741</f>
        <v>0</v>
      </c>
      <c r="I741">
        <f>발송처리!AW741</f>
        <v>0</v>
      </c>
      <c r="K741" t="e">
        <f t="shared" si="13"/>
        <v>#N/A</v>
      </c>
      <c r="L741">
        <f>발송처리!AU741</f>
        <v>0</v>
      </c>
      <c r="M741">
        <f>발송처리!AP741</f>
        <v>0</v>
      </c>
      <c r="N741">
        <f>발송처리!AV741</f>
        <v>0</v>
      </c>
      <c r="O741">
        <f>발송처리!AR741</f>
        <v>0</v>
      </c>
      <c r="P741">
        <f>발송처리!K741</f>
        <v>0</v>
      </c>
      <c r="Q741" s="2">
        <f>발송처리!AC741</f>
        <v>0</v>
      </c>
    </row>
    <row r="742" spans="1:17">
      <c r="A742">
        <f>발송처리!A742</f>
        <v>0</v>
      </c>
      <c r="B742">
        <f>발송처리!M742</f>
        <v>0</v>
      </c>
      <c r="E742" t="e">
        <f>VLOOKUP(발송처리!V742,'상품DB(수정x)'!B:E,2,0)</f>
        <v>#N/A</v>
      </c>
      <c r="F742" s="13" t="e">
        <f>VLOOKUP(발송처리!V742,'상품DB(수정x)'!B:E,4,0)</f>
        <v>#N/A</v>
      </c>
      <c r="G742" s="8">
        <f>발송처리!X742</f>
        <v>0</v>
      </c>
      <c r="I742">
        <f>발송처리!AW742</f>
        <v>0</v>
      </c>
      <c r="K742" t="e">
        <f t="shared" si="13"/>
        <v>#N/A</v>
      </c>
      <c r="L742">
        <f>발송처리!AU742</f>
        <v>0</v>
      </c>
      <c r="M742">
        <f>발송처리!AP742</f>
        <v>0</v>
      </c>
      <c r="N742">
        <f>발송처리!AV742</f>
        <v>0</v>
      </c>
      <c r="O742">
        <f>발송처리!AR742</f>
        <v>0</v>
      </c>
      <c r="P742">
        <f>발송처리!K742</f>
        <v>0</v>
      </c>
      <c r="Q742" s="2">
        <f>발송처리!AC742</f>
        <v>0</v>
      </c>
    </row>
    <row r="743" spans="1:17">
      <c r="A743">
        <f>발송처리!A743</f>
        <v>0</v>
      </c>
      <c r="B743">
        <f>발송처리!M743</f>
        <v>0</v>
      </c>
      <c r="E743" t="e">
        <f>VLOOKUP(발송처리!V743,'상품DB(수정x)'!B:E,2,0)</f>
        <v>#N/A</v>
      </c>
      <c r="F743" s="13" t="e">
        <f>VLOOKUP(발송처리!V743,'상품DB(수정x)'!B:E,4,0)</f>
        <v>#N/A</v>
      </c>
      <c r="G743" s="8">
        <f>발송처리!X743</f>
        <v>0</v>
      </c>
      <c r="I743">
        <f>발송처리!AW743</f>
        <v>0</v>
      </c>
      <c r="K743" t="e">
        <f t="shared" si="13"/>
        <v>#N/A</v>
      </c>
      <c r="L743">
        <f>발송처리!AU743</f>
        <v>0</v>
      </c>
      <c r="M743">
        <f>발송처리!AP743</f>
        <v>0</v>
      </c>
      <c r="N743">
        <f>발송처리!AV743</f>
        <v>0</v>
      </c>
      <c r="O743">
        <f>발송처리!AR743</f>
        <v>0</v>
      </c>
      <c r="P743">
        <f>발송처리!K743</f>
        <v>0</v>
      </c>
      <c r="Q743" s="2">
        <f>발송처리!AC743</f>
        <v>0</v>
      </c>
    </row>
    <row r="744" spans="1:17">
      <c r="A744">
        <f>발송처리!A744</f>
        <v>0</v>
      </c>
      <c r="B744">
        <f>발송처리!M744</f>
        <v>0</v>
      </c>
      <c r="E744" t="e">
        <f>VLOOKUP(발송처리!V744,'상품DB(수정x)'!B:E,2,0)</f>
        <v>#N/A</v>
      </c>
      <c r="F744" s="13" t="e">
        <f>VLOOKUP(발송처리!V744,'상품DB(수정x)'!B:E,4,0)</f>
        <v>#N/A</v>
      </c>
      <c r="G744" s="8">
        <f>발송처리!X744</f>
        <v>0</v>
      </c>
      <c r="I744">
        <f>발송처리!AW744</f>
        <v>0</v>
      </c>
      <c r="K744" t="e">
        <f t="shared" si="13"/>
        <v>#N/A</v>
      </c>
      <c r="L744">
        <f>발송처리!AU744</f>
        <v>0</v>
      </c>
      <c r="M744">
        <f>발송처리!AP744</f>
        <v>0</v>
      </c>
      <c r="N744">
        <f>발송처리!AV744</f>
        <v>0</v>
      </c>
      <c r="O744">
        <f>발송처리!AR744</f>
        <v>0</v>
      </c>
      <c r="P744">
        <f>발송처리!K744</f>
        <v>0</v>
      </c>
      <c r="Q744" s="2">
        <f>발송처리!AC744</f>
        <v>0</v>
      </c>
    </row>
    <row r="745" spans="1:17">
      <c r="A745">
        <f>발송처리!A745</f>
        <v>0</v>
      </c>
      <c r="B745">
        <f>발송처리!M745</f>
        <v>0</v>
      </c>
      <c r="E745" t="e">
        <f>VLOOKUP(발송처리!V745,'상품DB(수정x)'!B:E,2,0)</f>
        <v>#N/A</v>
      </c>
      <c r="F745" s="13" t="e">
        <f>VLOOKUP(발송처리!V745,'상품DB(수정x)'!B:E,4,0)</f>
        <v>#N/A</v>
      </c>
      <c r="G745" s="8">
        <f>발송처리!X745</f>
        <v>0</v>
      </c>
      <c r="I745">
        <f>발송처리!AW745</f>
        <v>0</v>
      </c>
      <c r="K745" t="e">
        <f t="shared" si="13"/>
        <v>#N/A</v>
      </c>
      <c r="L745">
        <f>발송처리!AU745</f>
        <v>0</v>
      </c>
      <c r="M745">
        <f>발송처리!AP745</f>
        <v>0</v>
      </c>
      <c r="N745">
        <f>발송처리!AV745</f>
        <v>0</v>
      </c>
      <c r="O745">
        <f>발송처리!AR745</f>
        <v>0</v>
      </c>
      <c r="P745">
        <f>발송처리!K745</f>
        <v>0</v>
      </c>
      <c r="Q745" s="2">
        <f>발송처리!AC745</f>
        <v>0</v>
      </c>
    </row>
    <row r="746" spans="1:17">
      <c r="A746">
        <f>발송처리!A746</f>
        <v>0</v>
      </c>
      <c r="B746">
        <f>발송처리!M746</f>
        <v>0</v>
      </c>
      <c r="E746" t="e">
        <f>VLOOKUP(발송처리!V746,'상품DB(수정x)'!B:E,2,0)</f>
        <v>#N/A</v>
      </c>
      <c r="F746" s="13" t="e">
        <f>VLOOKUP(발송처리!V746,'상품DB(수정x)'!B:E,4,0)</f>
        <v>#N/A</v>
      </c>
      <c r="G746" s="8">
        <f>발송처리!X746</f>
        <v>0</v>
      </c>
      <c r="I746">
        <f>발송처리!AW746</f>
        <v>0</v>
      </c>
      <c r="K746" t="e">
        <f t="shared" si="13"/>
        <v>#N/A</v>
      </c>
      <c r="L746">
        <f>발송처리!AU746</f>
        <v>0</v>
      </c>
      <c r="M746">
        <f>발송처리!AP746</f>
        <v>0</v>
      </c>
      <c r="N746">
        <f>발송처리!AV746</f>
        <v>0</v>
      </c>
      <c r="O746">
        <f>발송처리!AR746</f>
        <v>0</v>
      </c>
      <c r="P746">
        <f>발송처리!K746</f>
        <v>0</v>
      </c>
      <c r="Q746" s="2">
        <f>발송처리!AC746</f>
        <v>0</v>
      </c>
    </row>
    <row r="747" spans="1:17">
      <c r="A747">
        <f>발송처리!A747</f>
        <v>0</v>
      </c>
      <c r="B747">
        <f>발송처리!M747</f>
        <v>0</v>
      </c>
      <c r="E747" t="e">
        <f>VLOOKUP(발송처리!V747,'상품DB(수정x)'!B:E,2,0)</f>
        <v>#N/A</v>
      </c>
      <c r="F747" s="13" t="e">
        <f>VLOOKUP(발송처리!V747,'상품DB(수정x)'!B:E,4,0)</f>
        <v>#N/A</v>
      </c>
      <c r="G747" s="8">
        <f>발송처리!X747</f>
        <v>0</v>
      </c>
      <c r="I747">
        <f>발송처리!AW747</f>
        <v>0</v>
      </c>
      <c r="K747" t="e">
        <f t="shared" si="13"/>
        <v>#N/A</v>
      </c>
      <c r="L747">
        <f>발송처리!AU747</f>
        <v>0</v>
      </c>
      <c r="M747">
        <f>발송처리!AP747</f>
        <v>0</v>
      </c>
      <c r="N747">
        <f>발송처리!AV747</f>
        <v>0</v>
      </c>
      <c r="O747">
        <f>발송처리!AR747</f>
        <v>0</v>
      </c>
      <c r="P747">
        <f>발송처리!K747</f>
        <v>0</v>
      </c>
      <c r="Q747" s="2">
        <f>발송처리!AC747</f>
        <v>0</v>
      </c>
    </row>
    <row r="748" spans="1:17">
      <c r="A748">
        <f>발송처리!A748</f>
        <v>0</v>
      </c>
      <c r="B748">
        <f>발송처리!M748</f>
        <v>0</v>
      </c>
      <c r="E748" t="e">
        <f>VLOOKUP(발송처리!V748,'상품DB(수정x)'!B:E,2,0)</f>
        <v>#N/A</v>
      </c>
      <c r="F748" s="13" t="e">
        <f>VLOOKUP(발송처리!V748,'상품DB(수정x)'!B:E,4,0)</f>
        <v>#N/A</v>
      </c>
      <c r="G748" s="8">
        <f>발송처리!X748</f>
        <v>0</v>
      </c>
      <c r="I748">
        <f>발송처리!AW748</f>
        <v>0</v>
      </c>
      <c r="K748" t="e">
        <f t="shared" si="13"/>
        <v>#N/A</v>
      </c>
      <c r="L748">
        <f>발송처리!AU748</f>
        <v>0</v>
      </c>
      <c r="M748">
        <f>발송처리!AP748</f>
        <v>0</v>
      </c>
      <c r="N748">
        <f>발송처리!AV748</f>
        <v>0</v>
      </c>
      <c r="O748">
        <f>발송처리!AR748</f>
        <v>0</v>
      </c>
      <c r="P748">
        <f>발송처리!K748</f>
        <v>0</v>
      </c>
      <c r="Q748" s="2">
        <f>발송처리!AC748</f>
        <v>0</v>
      </c>
    </row>
    <row r="749" spans="1:17">
      <c r="A749">
        <f>발송처리!A749</f>
        <v>0</v>
      </c>
      <c r="B749">
        <f>발송처리!M749</f>
        <v>0</v>
      </c>
      <c r="E749" t="e">
        <f>VLOOKUP(발송처리!V749,'상품DB(수정x)'!B:E,2,0)</f>
        <v>#N/A</v>
      </c>
      <c r="F749" s="13" t="e">
        <f>VLOOKUP(발송처리!V749,'상품DB(수정x)'!B:E,4,0)</f>
        <v>#N/A</v>
      </c>
      <c r="G749" s="8">
        <f>발송처리!X749</f>
        <v>0</v>
      </c>
      <c r="I749">
        <f>발송처리!AW749</f>
        <v>0</v>
      </c>
      <c r="K749" t="e">
        <f t="shared" si="13"/>
        <v>#N/A</v>
      </c>
      <c r="L749">
        <f>발송처리!AU749</f>
        <v>0</v>
      </c>
      <c r="M749">
        <f>발송처리!AP749</f>
        <v>0</v>
      </c>
      <c r="N749">
        <f>발송처리!AV749</f>
        <v>0</v>
      </c>
      <c r="O749">
        <f>발송처리!AR749</f>
        <v>0</v>
      </c>
      <c r="P749">
        <f>발송처리!K749</f>
        <v>0</v>
      </c>
      <c r="Q749" s="2">
        <f>발송처리!AC749</f>
        <v>0</v>
      </c>
    </row>
    <row r="750" spans="1:17">
      <c r="A750">
        <f>발송처리!A750</f>
        <v>0</v>
      </c>
      <c r="B750">
        <f>발송처리!M750</f>
        <v>0</v>
      </c>
      <c r="E750" t="e">
        <f>VLOOKUP(발송처리!V750,'상품DB(수정x)'!B:E,2,0)</f>
        <v>#N/A</v>
      </c>
      <c r="F750" s="13" t="e">
        <f>VLOOKUP(발송처리!V750,'상품DB(수정x)'!B:E,4,0)</f>
        <v>#N/A</v>
      </c>
      <c r="G750" s="8">
        <f>발송처리!X750</f>
        <v>0</v>
      </c>
      <c r="I750">
        <f>발송처리!AW750</f>
        <v>0</v>
      </c>
      <c r="K750" t="e">
        <f t="shared" si="13"/>
        <v>#N/A</v>
      </c>
      <c r="L750">
        <f>발송처리!AU750</f>
        <v>0</v>
      </c>
      <c r="M750">
        <f>발송처리!AP750</f>
        <v>0</v>
      </c>
      <c r="N750">
        <f>발송처리!AV750</f>
        <v>0</v>
      </c>
      <c r="O750">
        <f>발송처리!AR750</f>
        <v>0</v>
      </c>
      <c r="P750">
        <f>발송처리!K750</f>
        <v>0</v>
      </c>
      <c r="Q750" s="2">
        <f>발송처리!AC750</f>
        <v>0</v>
      </c>
    </row>
    <row r="751" spans="1:17">
      <c r="A751">
        <f>발송처리!A751</f>
        <v>0</v>
      </c>
      <c r="B751">
        <f>발송처리!M751</f>
        <v>0</v>
      </c>
      <c r="E751" t="e">
        <f>VLOOKUP(발송처리!V751,'상품DB(수정x)'!B:E,2,0)</f>
        <v>#N/A</v>
      </c>
      <c r="F751" s="13" t="e">
        <f>VLOOKUP(발송처리!V751,'상품DB(수정x)'!B:E,4,0)</f>
        <v>#N/A</v>
      </c>
      <c r="G751" s="8">
        <f>발송처리!X751</f>
        <v>0</v>
      </c>
      <c r="I751">
        <f>발송처리!AW751</f>
        <v>0</v>
      </c>
      <c r="K751" t="e">
        <f t="shared" si="13"/>
        <v>#N/A</v>
      </c>
      <c r="L751">
        <f>발송처리!AU751</f>
        <v>0</v>
      </c>
      <c r="M751">
        <f>발송처리!AP751</f>
        <v>0</v>
      </c>
      <c r="N751">
        <f>발송처리!AV751</f>
        <v>0</v>
      </c>
      <c r="O751">
        <f>발송처리!AR751</f>
        <v>0</v>
      </c>
      <c r="P751">
        <f>발송처리!K751</f>
        <v>0</v>
      </c>
      <c r="Q751" s="2">
        <f>발송처리!AC751</f>
        <v>0</v>
      </c>
    </row>
    <row r="752" spans="1:17">
      <c r="A752">
        <f>발송처리!A752</f>
        <v>0</v>
      </c>
      <c r="B752">
        <f>발송처리!M752</f>
        <v>0</v>
      </c>
      <c r="E752" t="e">
        <f>VLOOKUP(발송처리!V752,'상품DB(수정x)'!B:E,2,0)</f>
        <v>#N/A</v>
      </c>
      <c r="F752" s="13" t="e">
        <f>VLOOKUP(발송처리!V752,'상품DB(수정x)'!B:E,4,0)</f>
        <v>#N/A</v>
      </c>
      <c r="G752" s="8">
        <f>발송처리!X752</f>
        <v>0</v>
      </c>
      <c r="I752">
        <f>발송처리!AW752</f>
        <v>0</v>
      </c>
      <c r="K752" t="e">
        <f t="shared" si="13"/>
        <v>#N/A</v>
      </c>
      <c r="L752">
        <f>발송처리!AU752</f>
        <v>0</v>
      </c>
      <c r="M752">
        <f>발송처리!AP752</f>
        <v>0</v>
      </c>
      <c r="N752">
        <f>발송처리!AV752</f>
        <v>0</v>
      </c>
      <c r="O752">
        <f>발송처리!AR752</f>
        <v>0</v>
      </c>
      <c r="P752">
        <f>발송처리!K752</f>
        <v>0</v>
      </c>
      <c r="Q752" s="2">
        <f>발송처리!AC752</f>
        <v>0</v>
      </c>
    </row>
    <row r="753" spans="1:17">
      <c r="A753">
        <f>발송처리!A753</f>
        <v>0</v>
      </c>
      <c r="B753">
        <f>발송처리!M753</f>
        <v>0</v>
      </c>
      <c r="E753" t="e">
        <f>VLOOKUP(발송처리!V753,'상품DB(수정x)'!B:E,2,0)</f>
        <v>#N/A</v>
      </c>
      <c r="F753" s="13" t="e">
        <f>VLOOKUP(발송처리!V753,'상품DB(수정x)'!B:E,4,0)</f>
        <v>#N/A</v>
      </c>
      <c r="G753" s="8">
        <f>발송처리!X753</f>
        <v>0</v>
      </c>
      <c r="I753">
        <f>발송처리!AW753</f>
        <v>0</v>
      </c>
      <c r="K753" t="e">
        <f t="shared" si="13"/>
        <v>#N/A</v>
      </c>
      <c r="L753">
        <f>발송처리!AU753</f>
        <v>0</v>
      </c>
      <c r="M753">
        <f>발송처리!AP753</f>
        <v>0</v>
      </c>
      <c r="N753">
        <f>발송처리!AV753</f>
        <v>0</v>
      </c>
      <c r="O753">
        <f>발송처리!AR753</f>
        <v>0</v>
      </c>
      <c r="P753">
        <f>발송처리!K753</f>
        <v>0</v>
      </c>
      <c r="Q753" s="2">
        <f>발송처리!AC753</f>
        <v>0</v>
      </c>
    </row>
    <row r="754" spans="1:17">
      <c r="A754">
        <f>발송처리!A754</f>
        <v>0</v>
      </c>
      <c r="B754">
        <f>발송처리!M754</f>
        <v>0</v>
      </c>
      <c r="E754" t="e">
        <f>VLOOKUP(발송처리!V754,'상품DB(수정x)'!B:E,2,0)</f>
        <v>#N/A</v>
      </c>
      <c r="F754" s="13" t="e">
        <f>VLOOKUP(발송처리!V754,'상품DB(수정x)'!B:E,4,0)</f>
        <v>#N/A</v>
      </c>
      <c r="G754" s="8">
        <f>발송처리!X754</f>
        <v>0</v>
      </c>
      <c r="I754">
        <f>발송처리!AW754</f>
        <v>0</v>
      </c>
      <c r="K754" t="e">
        <f t="shared" si="13"/>
        <v>#N/A</v>
      </c>
      <c r="L754">
        <f>발송처리!AU754</f>
        <v>0</v>
      </c>
      <c r="M754">
        <f>발송처리!AP754</f>
        <v>0</v>
      </c>
      <c r="N754">
        <f>발송처리!AV754</f>
        <v>0</v>
      </c>
      <c r="O754">
        <f>발송처리!AR754</f>
        <v>0</v>
      </c>
      <c r="P754">
        <f>발송처리!K754</f>
        <v>0</v>
      </c>
      <c r="Q754" s="2">
        <f>발송처리!AC754</f>
        <v>0</v>
      </c>
    </row>
    <row r="755" spans="1:17">
      <c r="A755">
        <f>발송처리!A755</f>
        <v>0</v>
      </c>
      <c r="B755">
        <f>발송처리!M755</f>
        <v>0</v>
      </c>
      <c r="E755" t="e">
        <f>VLOOKUP(발송처리!V755,'상품DB(수정x)'!B:E,2,0)</f>
        <v>#N/A</v>
      </c>
      <c r="F755" s="13" t="e">
        <f>VLOOKUP(발송처리!V755,'상품DB(수정x)'!B:E,4,0)</f>
        <v>#N/A</v>
      </c>
      <c r="G755" s="8">
        <f>발송처리!X755</f>
        <v>0</v>
      </c>
      <c r="I755">
        <f>발송처리!AW755</f>
        <v>0</v>
      </c>
      <c r="K755" t="e">
        <f t="shared" si="13"/>
        <v>#N/A</v>
      </c>
      <c r="L755">
        <f>발송처리!AU755</f>
        <v>0</v>
      </c>
      <c r="M755">
        <f>발송처리!AP755</f>
        <v>0</v>
      </c>
      <c r="N755">
        <f>발송처리!AV755</f>
        <v>0</v>
      </c>
      <c r="O755">
        <f>발송처리!AR755</f>
        <v>0</v>
      </c>
      <c r="P755">
        <f>발송처리!K755</f>
        <v>0</v>
      </c>
      <c r="Q755" s="2">
        <f>발송처리!AC755</f>
        <v>0</v>
      </c>
    </row>
    <row r="756" spans="1:17">
      <c r="A756">
        <f>발송처리!A756</f>
        <v>0</v>
      </c>
      <c r="B756">
        <f>발송처리!M756</f>
        <v>0</v>
      </c>
      <c r="E756" t="e">
        <f>VLOOKUP(발송처리!V756,'상품DB(수정x)'!B:E,2,0)</f>
        <v>#N/A</v>
      </c>
      <c r="F756" s="13" t="e">
        <f>VLOOKUP(발송처리!V756,'상품DB(수정x)'!B:E,4,0)</f>
        <v>#N/A</v>
      </c>
      <c r="G756" s="8">
        <f>발송처리!X756</f>
        <v>0</v>
      </c>
      <c r="I756">
        <f>발송처리!AW756</f>
        <v>0</v>
      </c>
      <c r="K756" t="e">
        <f t="shared" si="13"/>
        <v>#N/A</v>
      </c>
      <c r="L756">
        <f>발송처리!AU756</f>
        <v>0</v>
      </c>
      <c r="M756">
        <f>발송처리!AP756</f>
        <v>0</v>
      </c>
      <c r="N756">
        <f>발송처리!AV756</f>
        <v>0</v>
      </c>
      <c r="O756">
        <f>발송처리!AR756</f>
        <v>0</v>
      </c>
      <c r="P756">
        <f>발송처리!K756</f>
        <v>0</v>
      </c>
      <c r="Q756" s="2">
        <f>발송처리!AC756</f>
        <v>0</v>
      </c>
    </row>
    <row r="757" spans="1:17">
      <c r="A757">
        <f>발송처리!A757</f>
        <v>0</v>
      </c>
      <c r="B757">
        <f>발송처리!M757</f>
        <v>0</v>
      </c>
      <c r="E757" t="e">
        <f>VLOOKUP(발송처리!V757,'상품DB(수정x)'!B:E,2,0)</f>
        <v>#N/A</v>
      </c>
      <c r="F757" s="13" t="e">
        <f>VLOOKUP(발송처리!V757,'상품DB(수정x)'!B:E,4,0)</f>
        <v>#N/A</v>
      </c>
      <c r="G757" s="8">
        <f>발송처리!X757</f>
        <v>0</v>
      </c>
      <c r="I757">
        <f>발송처리!AW757</f>
        <v>0</v>
      </c>
      <c r="K757" t="e">
        <f t="shared" si="13"/>
        <v>#N/A</v>
      </c>
      <c r="L757">
        <f>발송처리!AU757</f>
        <v>0</v>
      </c>
      <c r="M757">
        <f>발송처리!AP757</f>
        <v>0</v>
      </c>
      <c r="N757">
        <f>발송처리!AV757</f>
        <v>0</v>
      </c>
      <c r="O757">
        <f>발송처리!AR757</f>
        <v>0</v>
      </c>
      <c r="P757">
        <f>발송처리!K757</f>
        <v>0</v>
      </c>
      <c r="Q757" s="2">
        <f>발송처리!AC757</f>
        <v>0</v>
      </c>
    </row>
    <row r="758" spans="1:17">
      <c r="A758">
        <f>발송처리!A758</f>
        <v>0</v>
      </c>
      <c r="B758">
        <f>발송처리!M758</f>
        <v>0</v>
      </c>
      <c r="E758" t="e">
        <f>VLOOKUP(발송처리!V758,'상품DB(수정x)'!B:E,2,0)</f>
        <v>#N/A</v>
      </c>
      <c r="F758" s="13" t="e">
        <f>VLOOKUP(발송처리!V758,'상품DB(수정x)'!B:E,4,0)</f>
        <v>#N/A</v>
      </c>
      <c r="G758" s="8">
        <f>발송처리!X758</f>
        <v>0</v>
      </c>
      <c r="I758">
        <f>발송처리!AW758</f>
        <v>0</v>
      </c>
      <c r="K758" t="e">
        <f t="shared" si="13"/>
        <v>#N/A</v>
      </c>
      <c r="L758">
        <f>발송처리!AU758</f>
        <v>0</v>
      </c>
      <c r="M758">
        <f>발송처리!AP758</f>
        <v>0</v>
      </c>
      <c r="N758">
        <f>발송처리!AV758</f>
        <v>0</v>
      </c>
      <c r="O758">
        <f>발송처리!AR758</f>
        <v>0</v>
      </c>
      <c r="P758">
        <f>발송처리!K758</f>
        <v>0</v>
      </c>
      <c r="Q758" s="2">
        <f>발송처리!AC758</f>
        <v>0</v>
      </c>
    </row>
    <row r="759" spans="1:17">
      <c r="A759">
        <f>발송처리!A759</f>
        <v>0</v>
      </c>
      <c r="B759">
        <f>발송처리!M759</f>
        <v>0</v>
      </c>
      <c r="E759" t="e">
        <f>VLOOKUP(발송처리!V759,'상품DB(수정x)'!B:E,2,0)</f>
        <v>#N/A</v>
      </c>
      <c r="F759" s="13" t="e">
        <f>VLOOKUP(발송처리!V759,'상품DB(수정x)'!B:E,4,0)</f>
        <v>#N/A</v>
      </c>
      <c r="G759" s="8">
        <f>발송처리!X759</f>
        <v>0</v>
      </c>
      <c r="I759">
        <f>발송처리!AW759</f>
        <v>0</v>
      </c>
      <c r="K759" t="e">
        <f t="shared" si="13"/>
        <v>#N/A</v>
      </c>
      <c r="L759">
        <f>발송처리!AU759</f>
        <v>0</v>
      </c>
      <c r="M759">
        <f>발송처리!AP759</f>
        <v>0</v>
      </c>
      <c r="N759">
        <f>발송처리!AV759</f>
        <v>0</v>
      </c>
      <c r="O759">
        <f>발송처리!AR759</f>
        <v>0</v>
      </c>
      <c r="P759">
        <f>발송처리!K759</f>
        <v>0</v>
      </c>
      <c r="Q759" s="2">
        <f>발송처리!AC759</f>
        <v>0</v>
      </c>
    </row>
    <row r="760" spans="1:17">
      <c r="A760">
        <f>발송처리!A760</f>
        <v>0</v>
      </c>
      <c r="B760">
        <f>발송처리!M760</f>
        <v>0</v>
      </c>
      <c r="E760" t="e">
        <f>VLOOKUP(발송처리!V760,'상품DB(수정x)'!B:E,2,0)</f>
        <v>#N/A</v>
      </c>
      <c r="F760" s="13" t="e">
        <f>VLOOKUP(발송처리!V760,'상품DB(수정x)'!B:E,4,0)</f>
        <v>#N/A</v>
      </c>
      <c r="G760" s="8">
        <f>발송처리!X760</f>
        <v>0</v>
      </c>
      <c r="I760">
        <f>발송처리!AW760</f>
        <v>0</v>
      </c>
      <c r="K760" t="e">
        <f t="shared" si="13"/>
        <v>#N/A</v>
      </c>
      <c r="L760">
        <f>발송처리!AU760</f>
        <v>0</v>
      </c>
      <c r="M760">
        <f>발송처리!AP760</f>
        <v>0</v>
      </c>
      <c r="N760">
        <f>발송처리!AV760</f>
        <v>0</v>
      </c>
      <c r="O760">
        <f>발송처리!AR760</f>
        <v>0</v>
      </c>
      <c r="P760">
        <f>발송처리!K760</f>
        <v>0</v>
      </c>
      <c r="Q760" s="2">
        <f>발송처리!AC760</f>
        <v>0</v>
      </c>
    </row>
    <row r="761" spans="1:17">
      <c r="A761">
        <f>발송처리!A761</f>
        <v>0</v>
      </c>
      <c r="B761">
        <f>발송처리!M761</f>
        <v>0</v>
      </c>
      <c r="E761" t="e">
        <f>VLOOKUP(발송처리!V761,'상품DB(수정x)'!B:E,2,0)</f>
        <v>#N/A</v>
      </c>
      <c r="F761" s="13" t="e">
        <f>VLOOKUP(발송처리!V761,'상품DB(수정x)'!B:E,4,0)</f>
        <v>#N/A</v>
      </c>
      <c r="G761" s="8">
        <f>발송처리!X761</f>
        <v>0</v>
      </c>
      <c r="I761">
        <f>발송처리!AW761</f>
        <v>0</v>
      </c>
      <c r="K761" t="e">
        <f t="shared" si="13"/>
        <v>#N/A</v>
      </c>
      <c r="L761">
        <f>발송처리!AU761</f>
        <v>0</v>
      </c>
      <c r="M761">
        <f>발송처리!AP761</f>
        <v>0</v>
      </c>
      <c r="N761">
        <f>발송처리!AV761</f>
        <v>0</v>
      </c>
      <c r="O761">
        <f>발송처리!AR761</f>
        <v>0</v>
      </c>
      <c r="P761">
        <f>발송처리!K761</f>
        <v>0</v>
      </c>
      <c r="Q761" s="2">
        <f>발송처리!AC761</f>
        <v>0</v>
      </c>
    </row>
    <row r="762" spans="1:17">
      <c r="A762">
        <f>발송처리!A762</f>
        <v>0</v>
      </c>
      <c r="B762">
        <f>발송처리!M762</f>
        <v>0</v>
      </c>
      <c r="E762" t="e">
        <f>VLOOKUP(발송처리!V762,'상품DB(수정x)'!B:E,2,0)</f>
        <v>#N/A</v>
      </c>
      <c r="F762" s="13" t="e">
        <f>VLOOKUP(발송처리!V762,'상품DB(수정x)'!B:E,4,0)</f>
        <v>#N/A</v>
      </c>
      <c r="G762" s="8">
        <f>발송처리!X762</f>
        <v>0</v>
      </c>
      <c r="I762">
        <f>발송처리!AW762</f>
        <v>0</v>
      </c>
      <c r="K762" t="e">
        <f t="shared" si="13"/>
        <v>#N/A</v>
      </c>
      <c r="L762">
        <f>발송처리!AU762</f>
        <v>0</v>
      </c>
      <c r="M762">
        <f>발송처리!AP762</f>
        <v>0</v>
      </c>
      <c r="N762">
        <f>발송처리!AV762</f>
        <v>0</v>
      </c>
      <c r="O762">
        <f>발송처리!AR762</f>
        <v>0</v>
      </c>
      <c r="P762">
        <f>발송처리!K762</f>
        <v>0</v>
      </c>
      <c r="Q762" s="2">
        <f>발송처리!AC762</f>
        <v>0</v>
      </c>
    </row>
    <row r="763" spans="1:17">
      <c r="A763">
        <f>발송처리!A763</f>
        <v>0</v>
      </c>
      <c r="B763">
        <f>발송처리!M763</f>
        <v>0</v>
      </c>
      <c r="E763" t="e">
        <f>VLOOKUP(발송처리!V763,'상품DB(수정x)'!B:E,2,0)</f>
        <v>#N/A</v>
      </c>
      <c r="F763" s="13" t="e">
        <f>VLOOKUP(발송처리!V763,'상품DB(수정x)'!B:E,4,0)</f>
        <v>#N/A</v>
      </c>
      <c r="G763" s="8">
        <f>발송처리!X763</f>
        <v>0</v>
      </c>
      <c r="I763">
        <f>발송처리!AW763</f>
        <v>0</v>
      </c>
      <c r="K763" t="e">
        <f t="shared" si="13"/>
        <v>#N/A</v>
      </c>
      <c r="L763">
        <f>발송처리!AU763</f>
        <v>0</v>
      </c>
      <c r="M763">
        <f>발송처리!AP763</f>
        <v>0</v>
      </c>
      <c r="N763">
        <f>발송처리!AV763</f>
        <v>0</v>
      </c>
      <c r="O763">
        <f>발송처리!AR763</f>
        <v>0</v>
      </c>
      <c r="P763">
        <f>발송처리!K763</f>
        <v>0</v>
      </c>
      <c r="Q763" s="2">
        <f>발송처리!AC763</f>
        <v>0</v>
      </c>
    </row>
    <row r="764" spans="1:17">
      <c r="A764">
        <f>발송처리!A764</f>
        <v>0</v>
      </c>
      <c r="B764">
        <f>발송처리!M764</f>
        <v>0</v>
      </c>
      <c r="E764" t="e">
        <f>VLOOKUP(발송처리!V764,'상품DB(수정x)'!B:E,2,0)</f>
        <v>#N/A</v>
      </c>
      <c r="F764" s="13" t="e">
        <f>VLOOKUP(발송처리!V764,'상품DB(수정x)'!B:E,4,0)</f>
        <v>#N/A</v>
      </c>
      <c r="G764" s="8">
        <f>발송처리!X764</f>
        <v>0</v>
      </c>
      <c r="I764">
        <f>발송처리!AW764</f>
        <v>0</v>
      </c>
      <c r="K764" t="e">
        <f t="shared" si="13"/>
        <v>#N/A</v>
      </c>
      <c r="L764">
        <f>발송처리!AU764</f>
        <v>0</v>
      </c>
      <c r="M764">
        <f>발송처리!AP764</f>
        <v>0</v>
      </c>
      <c r="N764">
        <f>발송처리!AV764</f>
        <v>0</v>
      </c>
      <c r="O764">
        <f>발송처리!AR764</f>
        <v>0</v>
      </c>
      <c r="P764">
        <f>발송처리!K764</f>
        <v>0</v>
      </c>
      <c r="Q764" s="2">
        <f>발송처리!AC764</f>
        <v>0</v>
      </c>
    </row>
    <row r="765" spans="1:17">
      <c r="A765">
        <f>발송처리!A765</f>
        <v>0</v>
      </c>
      <c r="B765">
        <f>발송처리!M765</f>
        <v>0</v>
      </c>
      <c r="E765" t="e">
        <f>VLOOKUP(발송처리!V765,'상품DB(수정x)'!B:E,2,0)</f>
        <v>#N/A</v>
      </c>
      <c r="F765" s="13" t="e">
        <f>VLOOKUP(발송처리!V765,'상품DB(수정x)'!B:E,4,0)</f>
        <v>#N/A</v>
      </c>
      <c r="G765" s="8">
        <f>발송처리!X765</f>
        <v>0</v>
      </c>
      <c r="I765">
        <f>발송처리!AW765</f>
        <v>0</v>
      </c>
      <c r="K765" t="e">
        <f t="shared" si="13"/>
        <v>#N/A</v>
      </c>
      <c r="L765">
        <f>발송처리!AU765</f>
        <v>0</v>
      </c>
      <c r="M765">
        <f>발송처리!AP765</f>
        <v>0</v>
      </c>
      <c r="N765">
        <f>발송처리!AV765</f>
        <v>0</v>
      </c>
      <c r="O765">
        <f>발송처리!AR765</f>
        <v>0</v>
      </c>
      <c r="P765">
        <f>발송처리!K765</f>
        <v>0</v>
      </c>
      <c r="Q765" s="2">
        <f>발송처리!AC765</f>
        <v>0</v>
      </c>
    </row>
    <row r="766" spans="1:17">
      <c r="A766">
        <f>발송처리!A766</f>
        <v>0</v>
      </c>
      <c r="B766">
        <f>발송처리!M766</f>
        <v>0</v>
      </c>
      <c r="E766" t="e">
        <f>VLOOKUP(발송처리!V766,'상품DB(수정x)'!B:E,2,0)</f>
        <v>#N/A</v>
      </c>
      <c r="F766" s="13" t="e">
        <f>VLOOKUP(발송처리!V766,'상품DB(수정x)'!B:E,4,0)</f>
        <v>#N/A</v>
      </c>
      <c r="G766" s="8">
        <f>발송처리!X766</f>
        <v>0</v>
      </c>
      <c r="I766">
        <f>발송처리!AW766</f>
        <v>0</v>
      </c>
      <c r="K766" t="e">
        <f t="shared" si="13"/>
        <v>#N/A</v>
      </c>
      <c r="L766">
        <f>발송처리!AU766</f>
        <v>0</v>
      </c>
      <c r="M766">
        <f>발송처리!AP766</f>
        <v>0</v>
      </c>
      <c r="N766">
        <f>발송처리!AV766</f>
        <v>0</v>
      </c>
      <c r="O766">
        <f>발송처리!AR766</f>
        <v>0</v>
      </c>
      <c r="P766">
        <f>발송처리!K766</f>
        <v>0</v>
      </c>
      <c r="Q766" s="2">
        <f>발송처리!AC766</f>
        <v>0</v>
      </c>
    </row>
    <row r="767" spans="1:17">
      <c r="A767">
        <f>발송처리!A767</f>
        <v>0</v>
      </c>
      <c r="B767">
        <f>발송처리!M767</f>
        <v>0</v>
      </c>
      <c r="E767" t="e">
        <f>VLOOKUP(발송처리!V767,'상품DB(수정x)'!B:E,2,0)</f>
        <v>#N/A</v>
      </c>
      <c r="F767" s="13" t="e">
        <f>VLOOKUP(발송처리!V767,'상품DB(수정x)'!B:E,4,0)</f>
        <v>#N/A</v>
      </c>
      <c r="G767" s="8">
        <f>발송처리!X767</f>
        <v>0</v>
      </c>
      <c r="I767">
        <f>발송처리!AW767</f>
        <v>0</v>
      </c>
      <c r="K767" t="e">
        <f t="shared" si="13"/>
        <v>#N/A</v>
      </c>
      <c r="L767">
        <f>발송처리!AU767</f>
        <v>0</v>
      </c>
      <c r="M767">
        <f>발송처리!AP767</f>
        <v>0</v>
      </c>
      <c r="N767">
        <f>발송처리!AV767</f>
        <v>0</v>
      </c>
      <c r="O767">
        <f>발송처리!AR767</f>
        <v>0</v>
      </c>
      <c r="P767">
        <f>발송처리!K767</f>
        <v>0</v>
      </c>
      <c r="Q767" s="2">
        <f>발송처리!AC767</f>
        <v>0</v>
      </c>
    </row>
    <row r="768" spans="1:17">
      <c r="A768">
        <f>발송처리!A768</f>
        <v>0</v>
      </c>
      <c r="B768">
        <f>발송처리!M768</f>
        <v>0</v>
      </c>
      <c r="E768" t="e">
        <f>VLOOKUP(발송처리!V768,'상품DB(수정x)'!B:E,2,0)</f>
        <v>#N/A</v>
      </c>
      <c r="F768" s="13" t="e">
        <f>VLOOKUP(발송처리!V768,'상품DB(수정x)'!B:E,4,0)</f>
        <v>#N/A</v>
      </c>
      <c r="G768" s="8">
        <f>발송처리!X768</f>
        <v>0</v>
      </c>
      <c r="I768">
        <f>발송처리!AW768</f>
        <v>0</v>
      </c>
      <c r="K768" t="e">
        <f t="shared" si="13"/>
        <v>#N/A</v>
      </c>
      <c r="L768">
        <f>발송처리!AU768</f>
        <v>0</v>
      </c>
      <c r="M768">
        <f>발송처리!AP768</f>
        <v>0</v>
      </c>
      <c r="N768">
        <f>발송처리!AV768</f>
        <v>0</v>
      </c>
      <c r="O768">
        <f>발송처리!AR768</f>
        <v>0</v>
      </c>
      <c r="P768">
        <f>발송처리!K768</f>
        <v>0</v>
      </c>
      <c r="Q768" s="2">
        <f>발송처리!AC768</f>
        <v>0</v>
      </c>
    </row>
    <row r="769" spans="1:17">
      <c r="A769">
        <f>발송처리!A769</f>
        <v>0</v>
      </c>
      <c r="B769">
        <f>발송처리!M769</f>
        <v>0</v>
      </c>
      <c r="E769" t="e">
        <f>VLOOKUP(발송처리!V769,'상품DB(수정x)'!B:E,2,0)</f>
        <v>#N/A</v>
      </c>
      <c r="F769" s="13" t="e">
        <f>VLOOKUP(발송처리!V769,'상품DB(수정x)'!B:E,4,0)</f>
        <v>#N/A</v>
      </c>
      <c r="G769" s="8">
        <f>발송처리!X769</f>
        <v>0</v>
      </c>
      <c r="I769">
        <f>발송처리!AW769</f>
        <v>0</v>
      </c>
      <c r="K769" t="e">
        <f t="shared" si="13"/>
        <v>#N/A</v>
      </c>
      <c r="L769">
        <f>발송처리!AU769</f>
        <v>0</v>
      </c>
      <c r="M769">
        <f>발송처리!AP769</f>
        <v>0</v>
      </c>
      <c r="N769">
        <f>발송처리!AV769</f>
        <v>0</v>
      </c>
      <c r="O769">
        <f>발송처리!AR769</f>
        <v>0</v>
      </c>
      <c r="P769">
        <f>발송처리!K769</f>
        <v>0</v>
      </c>
      <c r="Q769" s="2">
        <f>발송처리!AC769</f>
        <v>0</v>
      </c>
    </row>
    <row r="770" spans="1:17">
      <c r="A770">
        <f>발송처리!A770</f>
        <v>0</v>
      </c>
      <c r="B770">
        <f>발송처리!M770</f>
        <v>0</v>
      </c>
      <c r="E770" t="e">
        <f>VLOOKUP(발송처리!V770,'상품DB(수정x)'!B:E,2,0)</f>
        <v>#N/A</v>
      </c>
      <c r="F770" s="13" t="e">
        <f>VLOOKUP(발송처리!V770,'상품DB(수정x)'!B:E,4,0)</f>
        <v>#N/A</v>
      </c>
      <c r="G770" s="8">
        <f>발송처리!X770</f>
        <v>0</v>
      </c>
      <c r="I770">
        <f>발송처리!AW770</f>
        <v>0</v>
      </c>
      <c r="K770" t="e">
        <f t="shared" si="13"/>
        <v>#N/A</v>
      </c>
      <c r="L770">
        <f>발송처리!AU770</f>
        <v>0</v>
      </c>
      <c r="M770">
        <f>발송처리!AP770</f>
        <v>0</v>
      </c>
      <c r="N770">
        <f>발송처리!AV770</f>
        <v>0</v>
      </c>
      <c r="O770">
        <f>발송처리!AR770</f>
        <v>0</v>
      </c>
      <c r="P770">
        <f>발송처리!K770</f>
        <v>0</v>
      </c>
      <c r="Q770" s="2">
        <f>발송처리!AC770</f>
        <v>0</v>
      </c>
    </row>
    <row r="771" spans="1:17">
      <c r="A771">
        <f>발송처리!A771</f>
        <v>0</v>
      </c>
      <c r="B771">
        <f>발송처리!M771</f>
        <v>0</v>
      </c>
      <c r="E771" t="e">
        <f>VLOOKUP(발송처리!V771,'상품DB(수정x)'!B:E,2,0)</f>
        <v>#N/A</v>
      </c>
      <c r="F771" s="13" t="e">
        <f>VLOOKUP(발송처리!V771,'상품DB(수정x)'!B:E,4,0)</f>
        <v>#N/A</v>
      </c>
      <c r="G771" s="8">
        <f>발송처리!X771</f>
        <v>0</v>
      </c>
      <c r="I771">
        <f>발송처리!AW771</f>
        <v>0</v>
      </c>
      <c r="K771" t="e">
        <f t="shared" ref="K771:K772" si="14">IF(LEFT(E771,1)="2","",IF(LEFT(E771,1)="4","",IF(Q771&gt;=500000,"★증정★테이프20mx2",IF(Q771&gt;=95000,"★증정★테이프20mx1",""))))</f>
        <v>#N/A</v>
      </c>
      <c r="L771">
        <f>발송처리!AU771</f>
        <v>0</v>
      </c>
      <c r="M771">
        <f>발송처리!AP771</f>
        <v>0</v>
      </c>
      <c r="N771">
        <f>발송처리!AV771</f>
        <v>0</v>
      </c>
      <c r="O771">
        <f>발송처리!AR771</f>
        <v>0</v>
      </c>
      <c r="P771">
        <f>발송처리!K771</f>
        <v>0</v>
      </c>
      <c r="Q771" s="2">
        <f>발송처리!AC771</f>
        <v>0</v>
      </c>
    </row>
    <row r="772" spans="1:17">
      <c r="A772">
        <f>발송처리!A772</f>
        <v>0</v>
      </c>
      <c r="B772">
        <f>발송처리!M772</f>
        <v>0</v>
      </c>
      <c r="E772" t="e">
        <f>VLOOKUP(발송처리!V772,'상품DB(수정x)'!B:E,2,0)</f>
        <v>#N/A</v>
      </c>
      <c r="F772" s="13" t="e">
        <f>VLOOKUP(발송처리!V772,'상품DB(수정x)'!B:E,4,0)</f>
        <v>#N/A</v>
      </c>
      <c r="G772" s="8">
        <f>발송처리!X772</f>
        <v>0</v>
      </c>
      <c r="I772">
        <f>발송처리!AW772</f>
        <v>0</v>
      </c>
      <c r="K772" t="e">
        <f t="shared" si="14"/>
        <v>#N/A</v>
      </c>
      <c r="L772">
        <f>발송처리!AU772</f>
        <v>0</v>
      </c>
      <c r="M772">
        <f>발송처리!AP772</f>
        <v>0</v>
      </c>
      <c r="N772">
        <f>발송처리!AV772</f>
        <v>0</v>
      </c>
      <c r="O772">
        <f>발송처리!AR772</f>
        <v>0</v>
      </c>
      <c r="P772">
        <f>발송처리!K772</f>
        <v>0</v>
      </c>
      <c r="Q772" s="2">
        <f>발송처리!AC772</f>
        <v>0</v>
      </c>
    </row>
  </sheetData>
  <autoFilter ref="A1:Q772" xr:uid="{98647BB4-6D85-41D7-8010-CFDEA351F70B}"/>
  <phoneticPr fontId="1" type="noConversion"/>
  <conditionalFormatting sqref="Q1:Q1048576">
    <cfRule type="cellIs" dxfId="331" priority="1" operator="greaterThan">
      <formula>95000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0F14-3C91-4E15-8131-8BF90CAF7F3F}">
  <dimension ref="A1:Q164"/>
  <sheetViews>
    <sheetView workbookViewId="0">
      <pane ySplit="1" topLeftCell="A59" activePane="bottomLeft" state="frozen"/>
      <selection pane="bottomLeft" activeCell="H24" sqref="H24:H28"/>
    </sheetView>
  </sheetViews>
  <sheetFormatPr defaultRowHeight="16.5"/>
  <cols>
    <col min="1" max="1" width="4.375" customWidth="1"/>
    <col min="2" max="2" width="12.25" customWidth="1"/>
    <col min="3" max="3" width="9" style="2"/>
    <col min="5" max="5" width="22.25" customWidth="1"/>
    <col min="6" max="6" width="8.25" style="8" customWidth="1"/>
    <col min="7" max="7" width="5.25" style="8" bestFit="1" customWidth="1"/>
    <col min="8" max="8" width="24.75" customWidth="1"/>
    <col min="9" max="9" width="21.625" customWidth="1"/>
    <col min="10" max="10" width="9" style="15" customWidth="1"/>
    <col min="11" max="11" width="19.75" customWidth="1"/>
    <col min="12" max="12" width="15.5" customWidth="1"/>
    <col min="13" max="13" width="14" customWidth="1"/>
    <col min="14" max="14" width="6.125" customWidth="1"/>
    <col min="15" max="15" width="28.75" customWidth="1"/>
    <col min="17" max="17" width="12" style="2" customWidth="1"/>
  </cols>
  <sheetData>
    <row r="1" spans="1:17" s="8" customFormat="1" ht="18.75" customHeight="1">
      <c r="A1" s="9" t="s">
        <v>0</v>
      </c>
      <c r="B1" s="17" t="s">
        <v>12</v>
      </c>
      <c r="C1" s="16" t="s">
        <v>63</v>
      </c>
      <c r="D1" s="7" t="s">
        <v>64</v>
      </c>
      <c r="E1" s="9" t="s">
        <v>65</v>
      </c>
      <c r="F1" s="9" t="s">
        <v>66</v>
      </c>
      <c r="G1" s="9" t="s">
        <v>23</v>
      </c>
      <c r="H1" s="7" t="s">
        <v>263</v>
      </c>
      <c r="I1" s="7" t="s">
        <v>48</v>
      </c>
      <c r="J1" s="14" t="s">
        <v>275</v>
      </c>
      <c r="K1" s="7" t="s">
        <v>276</v>
      </c>
      <c r="L1" s="7" t="s">
        <v>60</v>
      </c>
      <c r="M1" s="7" t="s">
        <v>61</v>
      </c>
      <c r="N1" s="7" t="s">
        <v>47</v>
      </c>
      <c r="O1" s="7" t="s">
        <v>62</v>
      </c>
      <c r="P1" s="9" t="s">
        <v>69</v>
      </c>
      <c r="Q1" s="10" t="s">
        <v>68</v>
      </c>
    </row>
    <row r="2" spans="1:17" s="82" customFormat="1">
      <c r="A2" s="89" t="s">
        <v>2191</v>
      </c>
      <c r="B2" s="89" t="s">
        <v>2194</v>
      </c>
      <c r="C2" s="90">
        <v>6000</v>
      </c>
      <c r="D2" s="89">
        <v>1</v>
      </c>
      <c r="E2" s="89" t="s">
        <v>271</v>
      </c>
      <c r="F2" s="91" t="s">
        <v>174</v>
      </c>
      <c r="G2" s="91">
        <v>1</v>
      </c>
      <c r="H2" s="89" t="str">
        <f>CONCATENATE(E2,F2,"x",G2)</f>
        <v>(110)15TPE딜라이트우드2mx1</v>
      </c>
      <c r="I2" s="89"/>
      <c r="J2" s="92"/>
      <c r="K2" s="89" t="s">
        <v>274</v>
      </c>
      <c r="L2" s="89" t="s">
        <v>2202</v>
      </c>
      <c r="M2" s="89" t="s">
        <v>2202</v>
      </c>
      <c r="N2" s="89" t="s">
        <v>2206</v>
      </c>
      <c r="O2" s="89" t="s">
        <v>2203</v>
      </c>
      <c r="P2" s="89" t="s">
        <v>2194</v>
      </c>
      <c r="Q2" s="90">
        <v>32560</v>
      </c>
    </row>
    <row r="3" spans="1:17" s="89" customFormat="1">
      <c r="A3" s="89" t="s">
        <v>2873</v>
      </c>
      <c r="B3" s="89" t="s">
        <v>2901</v>
      </c>
      <c r="C3" s="90">
        <v>4500</v>
      </c>
      <c r="D3" s="89">
        <v>1</v>
      </c>
      <c r="E3" s="89" t="s">
        <v>350</v>
      </c>
      <c r="F3" s="91" t="s">
        <v>324</v>
      </c>
      <c r="G3" s="91">
        <v>1</v>
      </c>
      <c r="H3" s="89" t="str">
        <f t="shared" ref="H3:H66" si="0">CONCATENATE(E3,F3,"x",G3)</f>
        <v>(70)17T마블아이보리4.5mx1</v>
      </c>
      <c r="J3" s="92"/>
      <c r="L3" s="89" t="s">
        <v>2870</v>
      </c>
      <c r="M3" s="89" t="s">
        <v>2870</v>
      </c>
      <c r="N3" s="89" t="s">
        <v>2871</v>
      </c>
      <c r="O3" s="89" t="s">
        <v>2872</v>
      </c>
      <c r="P3" s="89" t="s">
        <v>2869</v>
      </c>
      <c r="Q3" s="90">
        <v>96300</v>
      </c>
    </row>
    <row r="4" spans="1:17" s="96" customFormat="1">
      <c r="A4" s="96" t="s">
        <v>2163</v>
      </c>
      <c r="B4" s="96" t="s">
        <v>2531</v>
      </c>
      <c r="C4" s="97">
        <v>19400</v>
      </c>
      <c r="D4" s="96">
        <v>1</v>
      </c>
      <c r="E4" s="96" t="s">
        <v>424</v>
      </c>
      <c r="F4" s="98" t="s">
        <v>186</v>
      </c>
      <c r="G4" s="98">
        <v>1</v>
      </c>
      <c r="H4" s="96" t="str">
        <f t="shared" si="0"/>
        <v>(140)17T퓨어아이보리8mx1</v>
      </c>
      <c r="I4" s="96" t="s">
        <v>2532</v>
      </c>
      <c r="J4" s="99"/>
      <c r="K4" s="96" t="s">
        <v>2520</v>
      </c>
      <c r="L4" s="96" t="s">
        <v>2182</v>
      </c>
      <c r="M4" s="96" t="s">
        <v>2182</v>
      </c>
      <c r="N4" s="96" t="s">
        <v>2186</v>
      </c>
      <c r="O4" s="96" t="s">
        <v>2183</v>
      </c>
      <c r="P4" s="96" t="s">
        <v>2169</v>
      </c>
      <c r="Q4" s="97">
        <v>262080</v>
      </c>
    </row>
    <row r="5" spans="1:17" s="82" customFormat="1">
      <c r="A5" s="96" t="s">
        <v>2225</v>
      </c>
      <c r="B5" s="96" t="s">
        <v>2533</v>
      </c>
      <c r="C5" s="97">
        <v>19400</v>
      </c>
      <c r="D5" s="96">
        <v>1</v>
      </c>
      <c r="E5" s="96" t="s">
        <v>424</v>
      </c>
      <c r="F5" s="98" t="s">
        <v>186</v>
      </c>
      <c r="G5" s="98">
        <v>1</v>
      </c>
      <c r="H5" s="96" t="str">
        <f t="shared" si="0"/>
        <v>(140)17T퓨어아이보리8mx1</v>
      </c>
      <c r="I5" s="96" t="s">
        <v>2534</v>
      </c>
      <c r="J5" s="99"/>
      <c r="K5" s="96" t="s">
        <v>2520</v>
      </c>
      <c r="L5" s="96" t="s">
        <v>2230</v>
      </c>
      <c r="M5" s="96" t="s">
        <v>2230</v>
      </c>
      <c r="N5" s="96" t="s">
        <v>2234</v>
      </c>
      <c r="O5" s="96" t="s">
        <v>2231</v>
      </c>
      <c r="P5" s="96" t="s">
        <v>2227</v>
      </c>
      <c r="Q5" s="97">
        <v>262080</v>
      </c>
    </row>
    <row r="6" spans="1:17" s="96" customFormat="1">
      <c r="A6" s="96" t="s">
        <v>2237</v>
      </c>
      <c r="B6" s="96" t="s">
        <v>2239</v>
      </c>
      <c r="C6" s="97">
        <v>12700</v>
      </c>
      <c r="D6" s="96">
        <v>1</v>
      </c>
      <c r="E6" s="96" t="s">
        <v>2521</v>
      </c>
      <c r="F6" s="98" t="s">
        <v>274</v>
      </c>
      <c r="G6" s="98">
        <v>6</v>
      </c>
      <c r="H6" s="96" t="str">
        <f t="shared" si="0"/>
        <v>25T(퍼즐)아이보리(50)x6</v>
      </c>
      <c r="J6" s="99"/>
      <c r="K6" s="96" t="s">
        <v>274</v>
      </c>
      <c r="L6" s="96" t="s">
        <v>2244</v>
      </c>
      <c r="M6" s="96" t="s">
        <v>2244</v>
      </c>
      <c r="N6" s="96" t="s">
        <v>2248</v>
      </c>
      <c r="O6" s="96" t="s">
        <v>2245</v>
      </c>
      <c r="P6" s="96" t="s">
        <v>2239</v>
      </c>
      <c r="Q6" s="97">
        <v>106400</v>
      </c>
    </row>
    <row r="7" spans="1:17" s="96" customFormat="1">
      <c r="A7" s="96" t="s">
        <v>2250</v>
      </c>
      <c r="B7" s="96" t="s">
        <v>2540</v>
      </c>
      <c r="C7" s="97"/>
      <c r="E7" s="96" t="s">
        <v>2522</v>
      </c>
      <c r="F7" s="98"/>
      <c r="G7" s="98">
        <v>1</v>
      </c>
      <c r="H7" s="96" t="str">
        <f t="shared" si="0"/>
        <v>★판매★테이프20mx1</v>
      </c>
      <c r="I7" s="96" t="s">
        <v>2223</v>
      </c>
      <c r="J7" s="99" t="s">
        <v>2535</v>
      </c>
      <c r="K7" s="96" t="s">
        <v>274</v>
      </c>
      <c r="L7" s="96" t="s">
        <v>2261</v>
      </c>
      <c r="M7" s="96" t="s">
        <v>2257</v>
      </c>
      <c r="N7" s="96" t="s">
        <v>2262</v>
      </c>
      <c r="O7" s="96" t="s">
        <v>2258</v>
      </c>
      <c r="P7" s="96" t="s">
        <v>2252</v>
      </c>
      <c r="Q7" s="97">
        <v>7900</v>
      </c>
    </row>
    <row r="8" spans="1:17" s="96" customFormat="1">
      <c r="A8" s="96" t="s">
        <v>2263</v>
      </c>
      <c r="B8" s="96" t="s">
        <v>2538</v>
      </c>
      <c r="C8" s="97">
        <v>12700</v>
      </c>
      <c r="D8" s="96">
        <v>1</v>
      </c>
      <c r="E8" s="96" t="s">
        <v>346</v>
      </c>
      <c r="F8" s="98" t="s">
        <v>325</v>
      </c>
      <c r="G8" s="98">
        <v>1</v>
      </c>
      <c r="H8" s="96" t="str">
        <f t="shared" si="0"/>
        <v>(110)17T마블아이보리5.5mx1</v>
      </c>
      <c r="I8" s="96" t="s">
        <v>2537</v>
      </c>
      <c r="J8" s="99"/>
      <c r="L8" s="96" t="s">
        <v>2261</v>
      </c>
      <c r="M8" s="96" t="s">
        <v>2257</v>
      </c>
      <c r="N8" s="96" t="s">
        <v>2262</v>
      </c>
      <c r="O8" s="96" t="s">
        <v>2258</v>
      </c>
      <c r="P8" s="96" t="s">
        <v>2252</v>
      </c>
      <c r="Q8" s="97">
        <v>151800</v>
      </c>
    </row>
    <row r="9" spans="1:17" s="96" customFormat="1">
      <c r="A9" s="96" t="s">
        <v>2264</v>
      </c>
      <c r="B9" s="96" t="s">
        <v>2539</v>
      </c>
      <c r="C9" s="97">
        <v>12100</v>
      </c>
      <c r="D9" s="96">
        <v>1</v>
      </c>
      <c r="E9" s="96" t="s">
        <v>346</v>
      </c>
      <c r="F9" s="98" t="s">
        <v>180</v>
      </c>
      <c r="G9" s="98">
        <v>1</v>
      </c>
      <c r="H9" s="96" t="str">
        <f t="shared" si="0"/>
        <v>(110)17T마블아이보리5mx1</v>
      </c>
      <c r="I9" s="96" t="s">
        <v>2223</v>
      </c>
      <c r="J9" s="99"/>
      <c r="K9" s="96" t="s">
        <v>2536</v>
      </c>
      <c r="L9" s="96" t="s">
        <v>2261</v>
      </c>
      <c r="M9" s="96" t="s">
        <v>2257</v>
      </c>
      <c r="N9" s="96" t="s">
        <v>2262</v>
      </c>
      <c r="O9" s="96" t="s">
        <v>2258</v>
      </c>
      <c r="P9" s="96" t="s">
        <v>2252</v>
      </c>
      <c r="Q9" s="97">
        <v>248400</v>
      </c>
    </row>
    <row r="10" spans="1:17" s="96" customFormat="1">
      <c r="A10" s="96" t="s">
        <v>2264</v>
      </c>
      <c r="B10" s="96" t="s">
        <v>2540</v>
      </c>
      <c r="C10" s="97">
        <v>12100</v>
      </c>
      <c r="D10" s="96">
        <v>1</v>
      </c>
      <c r="E10" s="96" t="s">
        <v>346</v>
      </c>
      <c r="F10" s="98" t="s">
        <v>180</v>
      </c>
      <c r="G10" s="98">
        <v>1</v>
      </c>
      <c r="H10" s="96" t="str">
        <f t="shared" si="0"/>
        <v>(110)17T마블아이보리5mx1</v>
      </c>
      <c r="I10" s="96" t="s">
        <v>2223</v>
      </c>
      <c r="J10" s="99" t="s">
        <v>2535</v>
      </c>
      <c r="L10" s="96" t="s">
        <v>2261</v>
      </c>
      <c r="M10" s="96" t="s">
        <v>2257</v>
      </c>
      <c r="N10" s="96" t="s">
        <v>2262</v>
      </c>
      <c r="O10" s="96" t="s">
        <v>2258</v>
      </c>
      <c r="P10" s="96" t="s">
        <v>2252</v>
      </c>
      <c r="Q10" s="97">
        <v>248400</v>
      </c>
    </row>
    <row r="11" spans="1:17" s="96" customFormat="1">
      <c r="A11" s="96" t="s">
        <v>2265</v>
      </c>
      <c r="B11" s="96" t="s">
        <v>2541</v>
      </c>
      <c r="C11" s="97">
        <v>13800</v>
      </c>
      <c r="D11" s="96">
        <v>1</v>
      </c>
      <c r="E11" s="96" t="s">
        <v>553</v>
      </c>
      <c r="F11" s="98" t="s">
        <v>176</v>
      </c>
      <c r="G11" s="98">
        <v>1</v>
      </c>
      <c r="H11" s="96" t="str">
        <f t="shared" si="0"/>
        <v>(120)17T마블아이보리3mx1</v>
      </c>
      <c r="I11" s="96" t="s">
        <v>2223</v>
      </c>
      <c r="J11" s="99" t="s">
        <v>2535</v>
      </c>
      <c r="K11" s="96" t="s">
        <v>274</v>
      </c>
      <c r="L11" s="96" t="s">
        <v>2261</v>
      </c>
      <c r="M11" s="96" t="s">
        <v>2257</v>
      </c>
      <c r="N11" s="96" t="s">
        <v>2262</v>
      </c>
      <c r="O11" s="96" t="s">
        <v>2258</v>
      </c>
      <c r="P11" s="96" t="s">
        <v>2252</v>
      </c>
      <c r="Q11" s="97">
        <v>91800</v>
      </c>
    </row>
    <row r="12" spans="1:17" s="96" customFormat="1">
      <c r="A12" s="96" t="s">
        <v>2266</v>
      </c>
      <c r="B12" s="96" t="s">
        <v>2541</v>
      </c>
      <c r="C12" s="97"/>
      <c r="E12" s="96" t="s">
        <v>553</v>
      </c>
      <c r="F12" s="98" t="s">
        <v>174</v>
      </c>
      <c r="G12" s="98">
        <v>1</v>
      </c>
      <c r="H12" s="96" t="str">
        <f t="shared" si="0"/>
        <v>(120)17T마블아이보리2mx1</v>
      </c>
      <c r="I12" s="96" t="s">
        <v>2223</v>
      </c>
      <c r="J12" s="99" t="s">
        <v>2535</v>
      </c>
      <c r="K12" s="96" t="s">
        <v>274</v>
      </c>
      <c r="L12" s="96" t="s">
        <v>2261</v>
      </c>
      <c r="M12" s="96" t="s">
        <v>2257</v>
      </c>
      <c r="N12" s="96" t="s">
        <v>2262</v>
      </c>
      <c r="O12" s="96" t="s">
        <v>2258</v>
      </c>
      <c r="P12" s="96" t="s">
        <v>2252</v>
      </c>
      <c r="Q12" s="97">
        <v>59200</v>
      </c>
    </row>
    <row r="13" spans="1:17" s="96" customFormat="1">
      <c r="A13" s="96" t="s">
        <v>2267</v>
      </c>
      <c r="B13" s="96" t="s">
        <v>2269</v>
      </c>
      <c r="C13" s="97">
        <v>8600</v>
      </c>
      <c r="D13" s="96">
        <v>1</v>
      </c>
      <c r="E13" s="96" t="s">
        <v>260</v>
      </c>
      <c r="F13" s="98" t="s">
        <v>2558</v>
      </c>
      <c r="G13" s="98">
        <v>1</v>
      </c>
      <c r="H13" s="96" t="str">
        <f t="shared" si="0"/>
        <v>(140)6T소프트그레이2mx1</v>
      </c>
      <c r="J13" s="99"/>
      <c r="K13" s="96" t="s">
        <v>274</v>
      </c>
      <c r="L13" s="96" t="s">
        <v>2276</v>
      </c>
      <c r="M13" s="96" t="s">
        <v>2276</v>
      </c>
      <c r="N13" s="96" t="s">
        <v>2280</v>
      </c>
      <c r="O13" s="96" t="s">
        <v>2277</v>
      </c>
      <c r="P13" s="96" t="s">
        <v>2269</v>
      </c>
      <c r="Q13" s="97">
        <v>52800</v>
      </c>
    </row>
    <row r="14" spans="1:17" s="96" customFormat="1">
      <c r="A14" s="96" t="s">
        <v>2281</v>
      </c>
      <c r="B14" s="96" t="s">
        <v>2283</v>
      </c>
      <c r="C14" s="97">
        <v>6900</v>
      </c>
      <c r="D14" s="96">
        <v>1</v>
      </c>
      <c r="E14" s="96" t="s">
        <v>2523</v>
      </c>
      <c r="F14" s="98"/>
      <c r="G14" s="98">
        <v>1</v>
      </c>
      <c r="H14" s="96" t="str">
        <f t="shared" si="0"/>
        <v>플러스♥25T아이(100)x1</v>
      </c>
      <c r="J14" s="99"/>
      <c r="K14" s="96" t="s">
        <v>274</v>
      </c>
      <c r="L14" s="96" t="s">
        <v>2286</v>
      </c>
      <c r="M14" s="96" t="s">
        <v>2286</v>
      </c>
      <c r="N14" s="96" t="s">
        <v>2290</v>
      </c>
      <c r="O14" s="96" t="s">
        <v>2287</v>
      </c>
      <c r="P14" s="96" t="s">
        <v>2283</v>
      </c>
      <c r="Q14" s="97">
        <v>22800</v>
      </c>
    </row>
    <row r="15" spans="1:17" s="96" customFormat="1">
      <c r="A15" s="96" t="s">
        <v>2291</v>
      </c>
      <c r="B15" s="96" t="s">
        <v>2559</v>
      </c>
      <c r="C15" s="97">
        <v>12100</v>
      </c>
      <c r="D15" s="96">
        <v>1</v>
      </c>
      <c r="E15" s="96" t="s">
        <v>423</v>
      </c>
      <c r="F15" s="98" t="s">
        <v>180</v>
      </c>
      <c r="G15" s="98">
        <v>1</v>
      </c>
      <c r="H15" s="96" t="str">
        <f t="shared" si="0"/>
        <v>(110)17T퓨어아이보리5mx1</v>
      </c>
      <c r="J15" s="99"/>
      <c r="K15" s="96" t="s">
        <v>2520</v>
      </c>
      <c r="L15" s="96" t="s">
        <v>2296</v>
      </c>
      <c r="M15" s="96" t="s">
        <v>2296</v>
      </c>
      <c r="N15" s="96" t="s">
        <v>2301</v>
      </c>
      <c r="O15" s="96" t="s">
        <v>2298</v>
      </c>
      <c r="P15" s="96" t="s">
        <v>2293</v>
      </c>
      <c r="Q15" s="97">
        <v>248400</v>
      </c>
    </row>
    <row r="16" spans="1:17" s="96" customFormat="1">
      <c r="A16" s="96" t="s">
        <v>2291</v>
      </c>
      <c r="B16" s="96" t="s">
        <v>2560</v>
      </c>
      <c r="C16" s="97">
        <v>12100</v>
      </c>
      <c r="D16" s="96">
        <v>1</v>
      </c>
      <c r="E16" s="96" t="s">
        <v>423</v>
      </c>
      <c r="F16" s="98" t="s">
        <v>180</v>
      </c>
      <c r="G16" s="98">
        <v>1</v>
      </c>
      <c r="H16" s="96" t="str">
        <f t="shared" si="0"/>
        <v>(110)17T퓨어아이보리5mx1</v>
      </c>
      <c r="J16" s="99"/>
      <c r="L16" s="96" t="s">
        <v>2296</v>
      </c>
      <c r="M16" s="96" t="s">
        <v>2296</v>
      </c>
      <c r="N16" s="96" t="s">
        <v>2301</v>
      </c>
      <c r="O16" s="96" t="s">
        <v>2298</v>
      </c>
      <c r="P16" s="96" t="s">
        <v>2293</v>
      </c>
      <c r="Q16" s="97">
        <v>248400</v>
      </c>
    </row>
    <row r="17" spans="1:17" s="96" customFormat="1">
      <c r="A17" s="96" t="s">
        <v>2303</v>
      </c>
      <c r="B17" s="96" t="s">
        <v>2305</v>
      </c>
      <c r="C17" s="97">
        <v>6900</v>
      </c>
      <c r="D17" s="96">
        <v>1</v>
      </c>
      <c r="E17" s="96" t="s">
        <v>2521</v>
      </c>
      <c r="F17" s="98" t="s">
        <v>274</v>
      </c>
      <c r="G17" s="98">
        <v>2</v>
      </c>
      <c r="H17" s="96" t="str">
        <f t="shared" si="0"/>
        <v>25T(퍼즐)아이보리(50)x2</v>
      </c>
      <c r="J17" s="99"/>
      <c r="K17" s="96" t="s">
        <v>274</v>
      </c>
      <c r="L17" s="96" t="s">
        <v>2308</v>
      </c>
      <c r="M17" s="96" t="s">
        <v>2308</v>
      </c>
      <c r="N17" s="96" t="s">
        <v>2312</v>
      </c>
      <c r="O17" s="96" t="s">
        <v>2309</v>
      </c>
      <c r="P17" s="96" t="s">
        <v>2305</v>
      </c>
      <c r="Q17" s="97">
        <v>34720</v>
      </c>
    </row>
    <row r="18" spans="1:17" s="96" customFormat="1">
      <c r="A18" s="96" t="s">
        <v>2313</v>
      </c>
      <c r="B18" s="96" t="s">
        <v>2315</v>
      </c>
      <c r="C18" s="97">
        <v>8600</v>
      </c>
      <c r="D18" s="96">
        <v>1</v>
      </c>
      <c r="E18" s="96" t="s">
        <v>566</v>
      </c>
      <c r="F18" s="98" t="s">
        <v>174</v>
      </c>
      <c r="G18" s="98">
        <v>1</v>
      </c>
      <c r="H18" s="96" t="str">
        <f t="shared" si="0"/>
        <v>(120)17T소프트그레이2mx1</v>
      </c>
      <c r="J18" s="99"/>
      <c r="K18" s="96" t="s">
        <v>274</v>
      </c>
      <c r="L18" s="96" t="s">
        <v>2319</v>
      </c>
      <c r="M18" s="96" t="s">
        <v>2319</v>
      </c>
      <c r="N18" s="96" t="s">
        <v>2324</v>
      </c>
      <c r="O18" s="96" t="s">
        <v>2321</v>
      </c>
      <c r="P18" s="96" t="s">
        <v>2315</v>
      </c>
      <c r="Q18" s="97">
        <v>55080</v>
      </c>
    </row>
    <row r="19" spans="1:17" s="96" customFormat="1">
      <c r="A19" s="96" t="s">
        <v>2326</v>
      </c>
      <c r="B19" s="96" t="s">
        <v>2818</v>
      </c>
      <c r="C19" s="97">
        <v>10700</v>
      </c>
      <c r="D19" s="96">
        <v>1</v>
      </c>
      <c r="E19" s="96" t="s">
        <v>2524</v>
      </c>
      <c r="F19" s="98" t="s">
        <v>274</v>
      </c>
      <c r="G19" s="98">
        <v>5</v>
      </c>
      <c r="H19" s="96" t="str">
        <f t="shared" si="0"/>
        <v>25T(퍼즐)아이보리(100)x5</v>
      </c>
      <c r="I19" s="96" t="s">
        <v>2336</v>
      </c>
      <c r="J19" s="99"/>
      <c r="K19" s="96" t="s">
        <v>274</v>
      </c>
      <c r="L19" s="96" t="s">
        <v>2331</v>
      </c>
      <c r="M19" s="96" t="s">
        <v>2331</v>
      </c>
      <c r="N19" s="96" t="s">
        <v>2335</v>
      </c>
      <c r="O19" s="96" t="s">
        <v>2332</v>
      </c>
      <c r="P19" s="96" t="s">
        <v>2328</v>
      </c>
      <c r="Q19" s="97">
        <v>143200</v>
      </c>
    </row>
    <row r="20" spans="1:17" s="96" customFormat="1">
      <c r="A20" s="96" t="s">
        <v>2326</v>
      </c>
      <c r="B20" s="96" t="s">
        <v>2819</v>
      </c>
      <c r="C20" s="97">
        <v>10700</v>
      </c>
      <c r="D20" s="96">
        <v>1</v>
      </c>
      <c r="E20" s="96" t="s">
        <v>2524</v>
      </c>
      <c r="F20" s="98" t="s">
        <v>274</v>
      </c>
      <c r="G20" s="98">
        <v>3</v>
      </c>
      <c r="H20" s="96" t="str">
        <f t="shared" si="0"/>
        <v>25T(퍼즐)아이보리(100)x3</v>
      </c>
      <c r="I20" s="96" t="s">
        <v>2336</v>
      </c>
      <c r="J20" s="99" t="s">
        <v>2535</v>
      </c>
      <c r="K20" s="96" t="s">
        <v>274</v>
      </c>
      <c r="L20" s="96" t="s">
        <v>2331</v>
      </c>
      <c r="M20" s="96" t="s">
        <v>2331</v>
      </c>
      <c r="N20" s="96" t="s">
        <v>2335</v>
      </c>
      <c r="O20" s="96" t="s">
        <v>2332</v>
      </c>
      <c r="P20" s="96" t="s">
        <v>2328</v>
      </c>
      <c r="Q20" s="97">
        <v>143200</v>
      </c>
    </row>
    <row r="21" spans="1:17" s="96" customFormat="1">
      <c r="A21" s="96" t="s">
        <v>2337</v>
      </c>
      <c r="B21" s="96" t="s">
        <v>2819</v>
      </c>
      <c r="C21" s="97"/>
      <c r="E21" s="96" t="s">
        <v>2521</v>
      </c>
      <c r="F21" s="98" t="s">
        <v>274</v>
      </c>
      <c r="G21" s="98">
        <v>2</v>
      </c>
      <c r="H21" s="96" t="str">
        <f t="shared" si="0"/>
        <v>25T(퍼즐)아이보리(50)x2</v>
      </c>
      <c r="I21" s="96" t="s">
        <v>2336</v>
      </c>
      <c r="J21" s="99" t="s">
        <v>2535</v>
      </c>
      <c r="K21" s="96" t="s">
        <v>274</v>
      </c>
      <c r="L21" s="96" t="s">
        <v>2331</v>
      </c>
      <c r="M21" s="96" t="s">
        <v>2331</v>
      </c>
      <c r="N21" s="96" t="s">
        <v>2335</v>
      </c>
      <c r="O21" s="96" t="s">
        <v>2332</v>
      </c>
      <c r="P21" s="96" t="s">
        <v>2328</v>
      </c>
      <c r="Q21" s="97">
        <v>34800</v>
      </c>
    </row>
    <row r="22" spans="1:17" s="96" customFormat="1">
      <c r="A22" s="96" t="s">
        <v>2338</v>
      </c>
      <c r="B22" s="96" t="s">
        <v>2820</v>
      </c>
      <c r="C22" s="97">
        <v>10700</v>
      </c>
      <c r="D22" s="96">
        <v>1</v>
      </c>
      <c r="E22" s="96" t="s">
        <v>2524</v>
      </c>
      <c r="F22" s="98" t="s">
        <v>274</v>
      </c>
      <c r="G22" s="98">
        <v>5</v>
      </c>
      <c r="H22" s="96" t="str">
        <f t="shared" si="0"/>
        <v>25T(퍼즐)아이보리(100)x5</v>
      </c>
      <c r="J22" s="99"/>
      <c r="K22" s="96" t="s">
        <v>274</v>
      </c>
      <c r="L22" s="96" t="s">
        <v>2343</v>
      </c>
      <c r="M22" s="96" t="s">
        <v>2343</v>
      </c>
      <c r="N22" s="96" t="s">
        <v>2347</v>
      </c>
      <c r="O22" s="96" t="s">
        <v>2344</v>
      </c>
      <c r="P22" s="96" t="s">
        <v>2340</v>
      </c>
      <c r="Q22" s="97">
        <v>161100</v>
      </c>
    </row>
    <row r="23" spans="1:17" s="96" customFormat="1">
      <c r="A23" s="96" t="s">
        <v>2338</v>
      </c>
      <c r="B23" s="96" t="s">
        <v>2821</v>
      </c>
      <c r="C23" s="97">
        <v>8600</v>
      </c>
      <c r="D23" s="96">
        <v>1</v>
      </c>
      <c r="E23" s="96" t="s">
        <v>2524</v>
      </c>
      <c r="F23" s="98" t="s">
        <v>274</v>
      </c>
      <c r="G23" s="98">
        <v>4</v>
      </c>
      <c r="H23" s="96" t="str">
        <f t="shared" si="0"/>
        <v>25T(퍼즐)아이보리(100)x4</v>
      </c>
      <c r="J23" s="99"/>
      <c r="K23" s="96" t="s">
        <v>274</v>
      </c>
      <c r="L23" s="96" t="s">
        <v>2343</v>
      </c>
      <c r="M23" s="96" t="s">
        <v>2343</v>
      </c>
      <c r="N23" s="96" t="s">
        <v>2347</v>
      </c>
      <c r="O23" s="96" t="s">
        <v>2344</v>
      </c>
      <c r="P23" s="96" t="s">
        <v>2340</v>
      </c>
      <c r="Q23" s="97">
        <v>161100</v>
      </c>
    </row>
    <row r="24" spans="1:17" s="96" customFormat="1">
      <c r="A24" s="96" t="s">
        <v>2349</v>
      </c>
      <c r="B24" s="96" t="s">
        <v>2822</v>
      </c>
      <c r="C24" s="97">
        <v>8600</v>
      </c>
      <c r="D24" s="96">
        <v>1</v>
      </c>
      <c r="E24" s="96" t="s">
        <v>2524</v>
      </c>
      <c r="F24" s="98" t="s">
        <v>274</v>
      </c>
      <c r="G24" s="98">
        <v>4</v>
      </c>
      <c r="H24" s="96" t="str">
        <f t="shared" si="0"/>
        <v>25T(퍼즐)아이보리(100)x4</v>
      </c>
      <c r="J24" s="99"/>
      <c r="K24" s="96" t="s">
        <v>274</v>
      </c>
      <c r="L24" s="96" t="s">
        <v>2354</v>
      </c>
      <c r="M24" s="96" t="s">
        <v>2354</v>
      </c>
      <c r="N24" s="96" t="s">
        <v>2358</v>
      </c>
      <c r="O24" s="96" t="s">
        <v>2355</v>
      </c>
      <c r="P24" s="96" t="s">
        <v>2351</v>
      </c>
      <c r="Q24" s="97">
        <v>141200</v>
      </c>
    </row>
    <row r="25" spans="1:17" s="96" customFormat="1">
      <c r="A25" s="96" t="s">
        <v>2349</v>
      </c>
      <c r="B25" s="96" t="s">
        <v>2823</v>
      </c>
      <c r="C25" s="97">
        <v>8600</v>
      </c>
      <c r="D25" s="96">
        <v>1</v>
      </c>
      <c r="E25" s="96" t="s">
        <v>2524</v>
      </c>
      <c r="F25" s="98" t="s">
        <v>274</v>
      </c>
      <c r="G25" s="98">
        <v>4</v>
      </c>
      <c r="H25" s="96" t="str">
        <f t="shared" si="0"/>
        <v>25T(퍼즐)아이보리(100)x4</v>
      </c>
      <c r="J25" s="99"/>
      <c r="K25" s="96" t="s">
        <v>274</v>
      </c>
      <c r="L25" s="96" t="s">
        <v>2354</v>
      </c>
      <c r="M25" s="96" t="s">
        <v>2354</v>
      </c>
      <c r="N25" s="96" t="s">
        <v>2358</v>
      </c>
      <c r="O25" s="96" t="s">
        <v>2355</v>
      </c>
      <c r="P25" s="96" t="s">
        <v>2351</v>
      </c>
      <c r="Q25" s="97">
        <v>141200</v>
      </c>
    </row>
    <row r="26" spans="1:17" s="96" customFormat="1">
      <c r="A26" s="96" t="s">
        <v>2359</v>
      </c>
      <c r="B26" s="96" t="s">
        <v>2361</v>
      </c>
      <c r="C26" s="97">
        <v>15400</v>
      </c>
      <c r="D26" s="96">
        <v>1</v>
      </c>
      <c r="E26" s="96" t="s">
        <v>426</v>
      </c>
      <c r="F26" s="98" t="s">
        <v>180</v>
      </c>
      <c r="G26" s="98">
        <v>1</v>
      </c>
      <c r="H26" s="96" t="str">
        <f t="shared" si="0"/>
        <v>(140)12T퓨어아이보리5mx1</v>
      </c>
      <c r="J26" s="99"/>
      <c r="K26" s="96" t="s">
        <v>2520</v>
      </c>
      <c r="L26" s="96" t="s">
        <v>2364</v>
      </c>
      <c r="M26" s="96" t="s">
        <v>2364</v>
      </c>
      <c r="N26" s="96" t="s">
        <v>2368</v>
      </c>
      <c r="O26" s="96" t="s">
        <v>2365</v>
      </c>
      <c r="P26" s="96" t="s">
        <v>2361</v>
      </c>
      <c r="Q26" s="97">
        <v>151200</v>
      </c>
    </row>
    <row r="27" spans="1:17" s="96" customFormat="1">
      <c r="A27" s="96" t="s">
        <v>2370</v>
      </c>
      <c r="B27" s="96" t="s">
        <v>2372</v>
      </c>
      <c r="C27" s="97"/>
      <c r="E27" s="96" t="s">
        <v>243</v>
      </c>
      <c r="F27" s="98" t="s">
        <v>2825</v>
      </c>
      <c r="G27" s="98">
        <v>1</v>
      </c>
      <c r="H27" s="96" t="str">
        <f t="shared" si="0"/>
        <v>(110)9T도그프린트7.5mx1</v>
      </c>
      <c r="I27" s="96" t="s">
        <v>2381</v>
      </c>
      <c r="J27" s="99" t="s">
        <v>2535</v>
      </c>
      <c r="L27" s="96" t="s">
        <v>2376</v>
      </c>
      <c r="M27" s="96" t="s">
        <v>2376</v>
      </c>
      <c r="N27" s="96" t="s">
        <v>2380</v>
      </c>
      <c r="O27" s="96" t="s">
        <v>2377</v>
      </c>
      <c r="P27" s="96" t="s">
        <v>2372</v>
      </c>
      <c r="Q27" s="97">
        <v>147150</v>
      </c>
    </row>
    <row r="28" spans="1:17" s="96" customFormat="1">
      <c r="A28" s="96" t="s">
        <v>2382</v>
      </c>
      <c r="B28" s="96" t="s">
        <v>2372</v>
      </c>
      <c r="C28" s="97">
        <v>15400</v>
      </c>
      <c r="D28" s="96">
        <v>1</v>
      </c>
      <c r="E28" s="96" t="s">
        <v>244</v>
      </c>
      <c r="F28" s="98" t="s">
        <v>2824</v>
      </c>
      <c r="G28" s="98">
        <v>1</v>
      </c>
      <c r="H28" s="96" t="str">
        <f t="shared" si="0"/>
        <v>(140)9T도그프린트2.5mx1</v>
      </c>
      <c r="I28" s="96" t="s">
        <v>2381</v>
      </c>
      <c r="J28" s="99" t="s">
        <v>2535</v>
      </c>
      <c r="K28" s="96" t="s">
        <v>2520</v>
      </c>
      <c r="L28" s="96" t="s">
        <v>2376</v>
      </c>
      <c r="M28" s="96" t="s">
        <v>2376</v>
      </c>
      <c r="N28" s="96" t="s">
        <v>2380</v>
      </c>
      <c r="O28" s="96" t="s">
        <v>2377</v>
      </c>
      <c r="P28" s="96" t="s">
        <v>2372</v>
      </c>
      <c r="Q28" s="97">
        <v>67500</v>
      </c>
    </row>
    <row r="29" spans="1:17" s="96" customFormat="1">
      <c r="A29" s="96" t="s">
        <v>2384</v>
      </c>
      <c r="B29" s="96" t="s">
        <v>2386</v>
      </c>
      <c r="C29" s="97">
        <v>6900</v>
      </c>
      <c r="D29" s="96">
        <v>1</v>
      </c>
      <c r="E29" s="96" t="s">
        <v>2523</v>
      </c>
      <c r="F29" s="98"/>
      <c r="G29" s="98">
        <v>1</v>
      </c>
      <c r="H29" s="96" t="str">
        <f t="shared" si="0"/>
        <v>플러스♥25T아이(100)x1</v>
      </c>
      <c r="J29" s="99"/>
      <c r="K29" s="96" t="s">
        <v>274</v>
      </c>
      <c r="L29" s="96" t="s">
        <v>2389</v>
      </c>
      <c r="M29" s="96" t="s">
        <v>2389</v>
      </c>
      <c r="N29" s="96" t="s">
        <v>2393</v>
      </c>
      <c r="O29" s="96" t="s">
        <v>2390</v>
      </c>
      <c r="P29" s="96" t="s">
        <v>2386</v>
      </c>
      <c r="Q29" s="97">
        <v>20800</v>
      </c>
    </row>
    <row r="30" spans="1:17" s="96" customFormat="1">
      <c r="A30" s="96" t="s">
        <v>2394</v>
      </c>
      <c r="B30" s="96" t="s">
        <v>2826</v>
      </c>
      <c r="C30" s="97">
        <v>12700</v>
      </c>
      <c r="D30" s="96">
        <v>1</v>
      </c>
      <c r="E30" s="96" t="s">
        <v>2524</v>
      </c>
      <c r="F30" s="98" t="s">
        <v>274</v>
      </c>
      <c r="G30" s="98">
        <v>6</v>
      </c>
      <c r="H30" s="96" t="str">
        <f t="shared" si="0"/>
        <v>25T(퍼즐)아이보리(100)x6</v>
      </c>
      <c r="J30" s="99"/>
      <c r="K30" s="96" t="s">
        <v>274</v>
      </c>
      <c r="L30" s="96" t="s">
        <v>2399</v>
      </c>
      <c r="M30" s="96" t="s">
        <v>2399</v>
      </c>
      <c r="N30" s="96" t="s">
        <v>2403</v>
      </c>
      <c r="O30" s="96" t="s">
        <v>2400</v>
      </c>
      <c r="P30" s="96" t="s">
        <v>2396</v>
      </c>
      <c r="Q30" s="97">
        <v>214800</v>
      </c>
    </row>
    <row r="31" spans="1:17" s="96" customFormat="1">
      <c r="A31" s="96" t="s">
        <v>2394</v>
      </c>
      <c r="B31" s="96" t="s">
        <v>2827</v>
      </c>
      <c r="C31" s="97">
        <v>12700</v>
      </c>
      <c r="D31" s="96">
        <v>1</v>
      </c>
      <c r="E31" s="96" t="s">
        <v>2524</v>
      </c>
      <c r="F31" s="98" t="s">
        <v>274</v>
      </c>
      <c r="G31" s="98">
        <v>6</v>
      </c>
      <c r="H31" s="96" t="str">
        <f t="shared" si="0"/>
        <v>25T(퍼즐)아이보리(100)x6</v>
      </c>
      <c r="J31" s="99"/>
      <c r="K31" s="96" t="s">
        <v>274</v>
      </c>
      <c r="L31" s="96" t="s">
        <v>2399</v>
      </c>
      <c r="M31" s="96" t="s">
        <v>2399</v>
      </c>
      <c r="N31" s="96" t="s">
        <v>2403</v>
      </c>
      <c r="O31" s="96" t="s">
        <v>2400</v>
      </c>
      <c r="P31" s="96" t="s">
        <v>2396</v>
      </c>
      <c r="Q31" s="97">
        <v>214800</v>
      </c>
    </row>
    <row r="32" spans="1:17" s="96" customFormat="1">
      <c r="A32" s="96" t="s">
        <v>2405</v>
      </c>
      <c r="B32" s="96" t="s">
        <v>2828</v>
      </c>
      <c r="C32" s="97">
        <v>8600</v>
      </c>
      <c r="D32" s="96">
        <v>1</v>
      </c>
      <c r="E32" s="96" t="s">
        <v>2525</v>
      </c>
      <c r="F32" s="98" t="s">
        <v>274</v>
      </c>
      <c r="G32" s="98">
        <v>2</v>
      </c>
      <c r="H32" s="96" t="str">
        <f t="shared" si="0"/>
        <v>25T(퍼즐)블루(100)x2</v>
      </c>
      <c r="J32" s="99" t="s">
        <v>2535</v>
      </c>
      <c r="K32" s="96" t="s">
        <v>274</v>
      </c>
      <c r="L32" s="96" t="s">
        <v>2399</v>
      </c>
      <c r="M32" s="96" t="s">
        <v>2399</v>
      </c>
      <c r="N32" s="96" t="s">
        <v>2403</v>
      </c>
      <c r="O32" s="96" t="s">
        <v>2400</v>
      </c>
      <c r="P32" s="96" t="s">
        <v>2396</v>
      </c>
      <c r="Q32" s="97">
        <v>33800</v>
      </c>
    </row>
    <row r="33" spans="1:17" s="96" customFormat="1">
      <c r="A33" s="96" t="s">
        <v>2406</v>
      </c>
      <c r="B33" s="96" t="s">
        <v>2828</v>
      </c>
      <c r="C33" s="97"/>
      <c r="E33" s="96" t="s">
        <v>2526</v>
      </c>
      <c r="F33" s="98" t="s">
        <v>274</v>
      </c>
      <c r="G33" s="98">
        <v>2</v>
      </c>
      <c r="H33" s="96" t="str">
        <f t="shared" si="0"/>
        <v>25T(퍼즐)핑크(100)x2</v>
      </c>
      <c r="J33" s="99" t="s">
        <v>2535</v>
      </c>
      <c r="K33" s="96" t="s">
        <v>274</v>
      </c>
      <c r="L33" s="96" t="s">
        <v>2399</v>
      </c>
      <c r="M33" s="96" t="s">
        <v>2399</v>
      </c>
      <c r="N33" s="96" t="s">
        <v>2403</v>
      </c>
      <c r="O33" s="96" t="s">
        <v>2400</v>
      </c>
      <c r="P33" s="96" t="s">
        <v>2396</v>
      </c>
      <c r="Q33" s="97">
        <v>35800</v>
      </c>
    </row>
    <row r="34" spans="1:17" s="96" customFormat="1">
      <c r="A34" s="96" t="s">
        <v>2407</v>
      </c>
      <c r="B34" s="96" t="s">
        <v>2829</v>
      </c>
      <c r="C34" s="97">
        <v>10700</v>
      </c>
      <c r="D34" s="96">
        <v>1</v>
      </c>
      <c r="E34" s="96" t="s">
        <v>2524</v>
      </c>
      <c r="F34" s="98" t="s">
        <v>274</v>
      </c>
      <c r="G34" s="98">
        <v>5</v>
      </c>
      <c r="H34" s="96" t="str">
        <f t="shared" si="0"/>
        <v>25T(퍼즐)아이보리(100)x5</v>
      </c>
      <c r="J34" s="99"/>
      <c r="K34" s="96" t="s">
        <v>274</v>
      </c>
      <c r="L34" s="96" t="s">
        <v>2416</v>
      </c>
      <c r="M34" s="96" t="s">
        <v>2412</v>
      </c>
      <c r="N34" s="96" t="s">
        <v>2417</v>
      </c>
      <c r="O34" s="96" t="s">
        <v>2413</v>
      </c>
      <c r="P34" s="96" t="s">
        <v>2409</v>
      </c>
      <c r="Q34" s="97">
        <v>266500</v>
      </c>
    </row>
    <row r="35" spans="1:17" s="96" customFormat="1">
      <c r="A35" s="96" t="s">
        <v>2407</v>
      </c>
      <c r="B35" s="96" t="s">
        <v>2830</v>
      </c>
      <c r="C35" s="97">
        <v>10700</v>
      </c>
      <c r="D35" s="96">
        <v>1</v>
      </c>
      <c r="E35" s="96" t="s">
        <v>2524</v>
      </c>
      <c r="F35" s="98" t="s">
        <v>274</v>
      </c>
      <c r="G35" s="98">
        <v>5</v>
      </c>
      <c r="H35" s="96" t="str">
        <f t="shared" si="0"/>
        <v>25T(퍼즐)아이보리(100)x5</v>
      </c>
      <c r="J35" s="99"/>
      <c r="K35" s="96" t="s">
        <v>274</v>
      </c>
      <c r="L35" s="96" t="s">
        <v>2416</v>
      </c>
      <c r="M35" s="96" t="s">
        <v>2412</v>
      </c>
      <c r="N35" s="96" t="s">
        <v>2417</v>
      </c>
      <c r="O35" s="96" t="s">
        <v>2413</v>
      </c>
      <c r="P35" s="96" t="s">
        <v>2409</v>
      </c>
      <c r="Q35" s="97">
        <v>266500</v>
      </c>
    </row>
    <row r="36" spans="1:17" s="96" customFormat="1">
      <c r="A36" s="96" t="s">
        <v>2407</v>
      </c>
      <c r="B36" s="96" t="s">
        <v>2831</v>
      </c>
      <c r="C36" s="97">
        <v>10700</v>
      </c>
      <c r="D36" s="96">
        <v>1</v>
      </c>
      <c r="E36" s="96" t="s">
        <v>2524</v>
      </c>
      <c r="F36" s="98" t="s">
        <v>274</v>
      </c>
      <c r="G36" s="98">
        <v>5</v>
      </c>
      <c r="H36" s="96" t="str">
        <f t="shared" si="0"/>
        <v>25T(퍼즐)아이보리(100)x5</v>
      </c>
      <c r="J36" s="99"/>
      <c r="K36" s="96" t="s">
        <v>274</v>
      </c>
      <c r="L36" s="96" t="s">
        <v>2416</v>
      </c>
      <c r="M36" s="96" t="s">
        <v>2412</v>
      </c>
      <c r="N36" s="96" t="s">
        <v>2417</v>
      </c>
      <c r="O36" s="96" t="s">
        <v>2413</v>
      </c>
      <c r="P36" s="96" t="s">
        <v>2409</v>
      </c>
      <c r="Q36" s="97">
        <v>266500</v>
      </c>
    </row>
    <row r="37" spans="1:17" s="96" customFormat="1">
      <c r="A37" s="96" t="s">
        <v>2419</v>
      </c>
      <c r="B37" s="96" t="s">
        <v>2421</v>
      </c>
      <c r="C37" s="97">
        <v>10700</v>
      </c>
      <c r="D37" s="96">
        <v>1</v>
      </c>
      <c r="E37" s="96" t="s">
        <v>532</v>
      </c>
      <c r="F37" s="98" t="s">
        <v>274</v>
      </c>
      <c r="G37" s="98">
        <v>3</v>
      </c>
      <c r="H37" s="96" t="str">
        <f t="shared" si="0"/>
        <v>40T(퍼즐)아이보리(100)x3</v>
      </c>
      <c r="I37" s="96" t="s">
        <v>2223</v>
      </c>
      <c r="J37" s="99"/>
      <c r="K37" s="96" t="s">
        <v>274</v>
      </c>
      <c r="L37" s="96" t="s">
        <v>2424</v>
      </c>
      <c r="M37" s="96" t="s">
        <v>2424</v>
      </c>
      <c r="N37" s="96" t="s">
        <v>2428</v>
      </c>
      <c r="O37" s="96" t="s">
        <v>2425</v>
      </c>
      <c r="P37" s="96" t="s">
        <v>2421</v>
      </c>
      <c r="Q37" s="97">
        <v>77900</v>
      </c>
    </row>
    <row r="38" spans="1:17" s="96" customFormat="1">
      <c r="A38" s="96" t="s">
        <v>2429</v>
      </c>
      <c r="B38" s="96" t="s">
        <v>2832</v>
      </c>
      <c r="C38" s="97">
        <v>12700</v>
      </c>
      <c r="D38" s="96">
        <v>1</v>
      </c>
      <c r="E38" s="96" t="s">
        <v>2524</v>
      </c>
      <c r="F38" s="98" t="s">
        <v>274</v>
      </c>
      <c r="G38" s="98">
        <v>6</v>
      </c>
      <c r="H38" s="96" t="str">
        <f t="shared" si="0"/>
        <v>25T(퍼즐)아이보리(100)x6</v>
      </c>
      <c r="J38" s="99"/>
      <c r="K38" s="96" t="s">
        <v>274</v>
      </c>
      <c r="L38" s="96" t="s">
        <v>2434</v>
      </c>
      <c r="M38" s="96" t="s">
        <v>2434</v>
      </c>
      <c r="N38" s="96" t="s">
        <v>2438</v>
      </c>
      <c r="O38" s="96" t="s">
        <v>2435</v>
      </c>
      <c r="P38" s="96" t="s">
        <v>2431</v>
      </c>
      <c r="Q38" s="97">
        <v>322200</v>
      </c>
    </row>
    <row r="39" spans="1:17" s="96" customFormat="1">
      <c r="A39" s="96" t="s">
        <v>2429</v>
      </c>
      <c r="B39" s="96" t="s">
        <v>2833</v>
      </c>
      <c r="C39" s="97">
        <v>12700</v>
      </c>
      <c r="D39" s="96">
        <v>1</v>
      </c>
      <c r="E39" s="96" t="s">
        <v>2524</v>
      </c>
      <c r="F39" s="98" t="s">
        <v>274</v>
      </c>
      <c r="G39" s="98">
        <v>6</v>
      </c>
      <c r="H39" s="96" t="str">
        <f t="shared" si="0"/>
        <v>25T(퍼즐)아이보리(100)x6</v>
      </c>
      <c r="J39" s="99"/>
      <c r="K39" s="96" t="s">
        <v>274</v>
      </c>
      <c r="L39" s="96" t="s">
        <v>2434</v>
      </c>
      <c r="M39" s="96" t="s">
        <v>2434</v>
      </c>
      <c r="N39" s="96" t="s">
        <v>2438</v>
      </c>
      <c r="O39" s="96" t="s">
        <v>2435</v>
      </c>
      <c r="P39" s="96" t="s">
        <v>2431</v>
      </c>
      <c r="Q39" s="97">
        <v>322200</v>
      </c>
    </row>
    <row r="40" spans="1:17" s="96" customFormat="1">
      <c r="A40" s="96" t="s">
        <v>2429</v>
      </c>
      <c r="B40" s="96" t="s">
        <v>2834</v>
      </c>
      <c r="C40" s="97">
        <v>12700</v>
      </c>
      <c r="D40" s="96">
        <v>1</v>
      </c>
      <c r="E40" s="96" t="s">
        <v>2524</v>
      </c>
      <c r="F40" s="98" t="s">
        <v>274</v>
      </c>
      <c r="G40" s="98">
        <v>6</v>
      </c>
      <c r="H40" s="96" t="str">
        <f t="shared" si="0"/>
        <v>25T(퍼즐)아이보리(100)x6</v>
      </c>
      <c r="J40" s="99"/>
      <c r="K40" s="96" t="s">
        <v>274</v>
      </c>
      <c r="L40" s="96" t="s">
        <v>2434</v>
      </c>
      <c r="M40" s="96" t="s">
        <v>2434</v>
      </c>
      <c r="N40" s="96" t="s">
        <v>2438</v>
      </c>
      <c r="O40" s="96" t="s">
        <v>2435</v>
      </c>
      <c r="P40" s="96" t="s">
        <v>2431</v>
      </c>
      <c r="Q40" s="97">
        <v>322200</v>
      </c>
    </row>
    <row r="41" spans="1:17" s="96" customFormat="1">
      <c r="A41" s="96" t="s">
        <v>2440</v>
      </c>
      <c r="B41" s="96" t="s">
        <v>2835</v>
      </c>
      <c r="C41" s="97">
        <v>15400</v>
      </c>
      <c r="D41" s="96">
        <v>1</v>
      </c>
      <c r="E41" s="96" t="s">
        <v>424</v>
      </c>
      <c r="F41" s="98" t="s">
        <v>178</v>
      </c>
      <c r="G41" s="98">
        <v>1</v>
      </c>
      <c r="H41" s="96" t="str">
        <f t="shared" si="0"/>
        <v>(140)17T퓨어아이보리4mx1</v>
      </c>
      <c r="J41" s="99"/>
      <c r="K41" s="96" t="s">
        <v>2536</v>
      </c>
      <c r="L41" s="96" t="s">
        <v>2445</v>
      </c>
      <c r="M41" s="96" t="s">
        <v>2445</v>
      </c>
      <c r="N41" s="96" t="s">
        <v>2449</v>
      </c>
      <c r="O41" s="96" t="s">
        <v>2446</v>
      </c>
      <c r="P41" s="96" t="s">
        <v>2442</v>
      </c>
      <c r="Q41" s="97">
        <v>145600</v>
      </c>
    </row>
    <row r="42" spans="1:17" s="96" customFormat="1">
      <c r="A42" s="96" t="s">
        <v>2450</v>
      </c>
      <c r="B42" s="96" t="s">
        <v>2836</v>
      </c>
      <c r="C42" s="97">
        <v>15400</v>
      </c>
      <c r="D42" s="96">
        <v>1</v>
      </c>
      <c r="E42" s="96" t="s">
        <v>424</v>
      </c>
      <c r="F42" s="98" t="s">
        <v>169</v>
      </c>
      <c r="G42" s="98">
        <v>1</v>
      </c>
      <c r="H42" s="96" t="str">
        <f t="shared" si="0"/>
        <v>(140)17T퓨어아이보리2.5mx1</v>
      </c>
      <c r="J42" s="99"/>
      <c r="K42" s="96" t="s">
        <v>274</v>
      </c>
      <c r="L42" s="96" t="s">
        <v>2445</v>
      </c>
      <c r="M42" s="96" t="s">
        <v>2445</v>
      </c>
      <c r="N42" s="96" t="s">
        <v>2449</v>
      </c>
      <c r="O42" s="96" t="s">
        <v>2446</v>
      </c>
      <c r="P42" s="96" t="s">
        <v>2442</v>
      </c>
      <c r="Q42" s="97">
        <v>90000</v>
      </c>
    </row>
    <row r="43" spans="1:17" s="96" customFormat="1">
      <c r="A43" s="96" t="s">
        <v>2451</v>
      </c>
      <c r="B43" s="96" t="s">
        <v>2837</v>
      </c>
      <c r="C43" s="97">
        <v>16700</v>
      </c>
      <c r="D43" s="96">
        <v>1</v>
      </c>
      <c r="E43" s="96" t="s">
        <v>550</v>
      </c>
      <c r="F43" s="98" t="s">
        <v>186</v>
      </c>
      <c r="G43" s="98">
        <v>1</v>
      </c>
      <c r="H43" s="96" t="str">
        <f t="shared" si="0"/>
        <v>(120)17T퓨어아이보리8mx1</v>
      </c>
      <c r="I43" s="96" t="s">
        <v>2537</v>
      </c>
      <c r="J43" s="99"/>
      <c r="L43" s="96" t="s">
        <v>2445</v>
      </c>
      <c r="M43" s="96" t="s">
        <v>2445</v>
      </c>
      <c r="N43" s="96" t="s">
        <v>2449</v>
      </c>
      <c r="O43" s="96" t="s">
        <v>2446</v>
      </c>
      <c r="P43" s="96" t="s">
        <v>2442</v>
      </c>
      <c r="Q43" s="97">
        <v>244800</v>
      </c>
    </row>
    <row r="44" spans="1:17" s="96" customFormat="1">
      <c r="A44" s="96" t="s">
        <v>2452</v>
      </c>
      <c r="B44" s="96" t="s">
        <v>2454</v>
      </c>
      <c r="C44" s="97">
        <v>6900</v>
      </c>
      <c r="D44" s="96">
        <v>1</v>
      </c>
      <c r="E44" s="96" t="s">
        <v>2527</v>
      </c>
      <c r="F44" s="98" t="s">
        <v>274</v>
      </c>
      <c r="G44" s="98">
        <v>3</v>
      </c>
      <c r="H44" s="96" t="str">
        <f t="shared" si="0"/>
        <v>25T(퍼즐)그레이(100)x3</v>
      </c>
      <c r="J44" s="99"/>
      <c r="K44" s="96" t="s">
        <v>274</v>
      </c>
      <c r="L44" s="96" t="s">
        <v>2457</v>
      </c>
      <c r="M44" s="96" t="s">
        <v>2457</v>
      </c>
      <c r="N44" s="96" t="s">
        <v>2461</v>
      </c>
      <c r="O44" s="96" t="s">
        <v>2458</v>
      </c>
      <c r="P44" s="96" t="s">
        <v>2454</v>
      </c>
      <c r="Q44" s="97">
        <v>52700</v>
      </c>
    </row>
    <row r="45" spans="1:17" s="96" customFormat="1">
      <c r="A45" s="96" t="s">
        <v>2462</v>
      </c>
      <c r="B45" s="96" t="s">
        <v>2839</v>
      </c>
      <c r="C45" s="97"/>
      <c r="E45" s="96" t="s">
        <v>2522</v>
      </c>
      <c r="F45" s="98"/>
      <c r="G45" s="98">
        <v>1</v>
      </c>
      <c r="H45" s="96" t="str">
        <f t="shared" si="0"/>
        <v>★판매★테이프20mx1</v>
      </c>
      <c r="I45" s="96" t="s">
        <v>2472</v>
      </c>
      <c r="J45" s="99" t="s">
        <v>2535</v>
      </c>
      <c r="K45" s="96" t="s">
        <v>274</v>
      </c>
      <c r="L45" s="96" t="s">
        <v>2467</v>
      </c>
      <c r="M45" s="96" t="s">
        <v>2467</v>
      </c>
      <c r="N45" s="96" t="s">
        <v>2471</v>
      </c>
      <c r="O45" s="96" t="s">
        <v>2468</v>
      </c>
      <c r="P45" s="96" t="s">
        <v>2464</v>
      </c>
      <c r="Q45" s="97">
        <v>7900</v>
      </c>
    </row>
    <row r="46" spans="1:17" s="96" customFormat="1">
      <c r="A46" s="96" t="s">
        <v>2474</v>
      </c>
      <c r="B46" s="96" t="s">
        <v>2838</v>
      </c>
      <c r="C46" s="97">
        <v>13800</v>
      </c>
      <c r="D46" s="96">
        <v>1</v>
      </c>
      <c r="E46" s="96" t="s">
        <v>551</v>
      </c>
      <c r="F46" s="98" t="s">
        <v>169</v>
      </c>
      <c r="G46" s="98">
        <v>1</v>
      </c>
      <c r="H46" s="96" t="str">
        <f t="shared" si="0"/>
        <v>(120)22T퓨어아이보리2.5mx1</v>
      </c>
      <c r="I46" s="96" t="s">
        <v>2472</v>
      </c>
      <c r="J46" s="99"/>
      <c r="K46" s="96" t="s">
        <v>274</v>
      </c>
      <c r="L46" s="96" t="s">
        <v>2467</v>
      </c>
      <c r="M46" s="96" t="s">
        <v>2467</v>
      </c>
      <c r="N46" s="96" t="s">
        <v>2471</v>
      </c>
      <c r="O46" s="96" t="s">
        <v>2468</v>
      </c>
      <c r="P46" s="96" t="s">
        <v>2464</v>
      </c>
      <c r="Q46" s="97">
        <v>94050</v>
      </c>
    </row>
    <row r="47" spans="1:17" s="96" customFormat="1">
      <c r="A47" s="96" t="s">
        <v>2475</v>
      </c>
      <c r="B47" s="96" t="s">
        <v>2839</v>
      </c>
      <c r="C47" s="97">
        <v>12100</v>
      </c>
      <c r="D47" s="96">
        <v>1</v>
      </c>
      <c r="E47" s="96" t="s">
        <v>2528</v>
      </c>
      <c r="F47" s="98" t="s">
        <v>169</v>
      </c>
      <c r="G47" s="98">
        <v>1</v>
      </c>
      <c r="H47" s="96" t="str">
        <f t="shared" si="0"/>
        <v>(110)22T퓨어아이보리2.5mx1</v>
      </c>
      <c r="I47" s="96" t="s">
        <v>2472</v>
      </c>
      <c r="J47" s="99" t="s">
        <v>2535</v>
      </c>
      <c r="K47" s="96" t="s">
        <v>274</v>
      </c>
      <c r="L47" s="96" t="s">
        <v>2467</v>
      </c>
      <c r="M47" s="96" t="s">
        <v>2467</v>
      </c>
      <c r="N47" s="96" t="s">
        <v>2471</v>
      </c>
      <c r="O47" s="96" t="s">
        <v>2468</v>
      </c>
      <c r="P47" s="96" t="s">
        <v>2464</v>
      </c>
      <c r="Q47" s="97">
        <v>94500</v>
      </c>
    </row>
    <row r="48" spans="1:17" s="96" customFormat="1">
      <c r="A48" s="96" t="s">
        <v>2476</v>
      </c>
      <c r="B48" s="96" t="s">
        <v>2844</v>
      </c>
      <c r="C48" s="97">
        <v>12700</v>
      </c>
      <c r="D48" s="96">
        <v>1</v>
      </c>
      <c r="E48" s="96" t="s">
        <v>2529</v>
      </c>
      <c r="F48" s="98"/>
      <c r="G48" s="98">
        <v>6</v>
      </c>
      <c r="H48" s="96" t="str">
        <f t="shared" si="0"/>
        <v>플러스♥25T크림그레이(50)x6</v>
      </c>
      <c r="J48" s="99"/>
      <c r="L48" s="96" t="s">
        <v>2481</v>
      </c>
      <c r="M48" s="96" t="s">
        <v>2481</v>
      </c>
      <c r="N48" s="96" t="s">
        <v>2485</v>
      </c>
      <c r="O48" s="96" t="s">
        <v>2482</v>
      </c>
      <c r="P48" s="96" t="s">
        <v>2478</v>
      </c>
      <c r="Q48" s="97">
        <v>228000</v>
      </c>
    </row>
    <row r="49" spans="1:17" s="96" customFormat="1">
      <c r="A49" s="96" t="s">
        <v>2476</v>
      </c>
      <c r="B49" s="96" t="s">
        <v>2845</v>
      </c>
      <c r="C49" s="97">
        <v>12700</v>
      </c>
      <c r="D49" s="96">
        <v>1</v>
      </c>
      <c r="E49" s="96" t="s">
        <v>2529</v>
      </c>
      <c r="F49" s="98"/>
      <c r="G49" s="98">
        <v>4</v>
      </c>
      <c r="H49" s="96" t="str">
        <f t="shared" si="0"/>
        <v>플러스♥25T크림그레이(50)x4</v>
      </c>
      <c r="J49" s="99" t="s">
        <v>2535</v>
      </c>
      <c r="L49" s="96" t="s">
        <v>2481</v>
      </c>
      <c r="M49" s="96" t="s">
        <v>2481</v>
      </c>
      <c r="N49" s="96" t="s">
        <v>2485</v>
      </c>
      <c r="O49" s="96" t="s">
        <v>2482</v>
      </c>
      <c r="P49" s="96" t="s">
        <v>2478</v>
      </c>
      <c r="Q49" s="97">
        <v>228000</v>
      </c>
    </row>
    <row r="50" spans="1:17" s="96" customFormat="1">
      <c r="A50" s="96" t="s">
        <v>2486</v>
      </c>
      <c r="B50" s="96" t="s">
        <v>2845</v>
      </c>
      <c r="C50" s="97"/>
      <c r="E50" s="96" t="s">
        <v>2530</v>
      </c>
      <c r="F50" s="98"/>
      <c r="G50" s="98">
        <v>2</v>
      </c>
      <c r="H50" s="96" t="str">
        <f t="shared" si="0"/>
        <v>플러스♥25T크림그레이(100)x2</v>
      </c>
      <c r="J50" s="99" t="s">
        <v>2535</v>
      </c>
      <c r="L50" s="96" t="s">
        <v>2481</v>
      </c>
      <c r="M50" s="96" t="s">
        <v>2481</v>
      </c>
      <c r="N50" s="96" t="s">
        <v>2485</v>
      </c>
      <c r="O50" s="96" t="s">
        <v>2482</v>
      </c>
      <c r="P50" s="96" t="s">
        <v>2478</v>
      </c>
      <c r="Q50" s="97">
        <v>456000</v>
      </c>
    </row>
    <row r="51" spans="1:17" s="96" customFormat="1">
      <c r="A51" s="96" t="s">
        <v>2486</v>
      </c>
      <c r="B51" s="96" t="s">
        <v>2846</v>
      </c>
      <c r="C51" s="97">
        <v>12700</v>
      </c>
      <c r="D51" s="96">
        <v>1</v>
      </c>
      <c r="E51" s="96" t="s">
        <v>2530</v>
      </c>
      <c r="F51" s="98"/>
      <c r="G51" s="98">
        <v>6</v>
      </c>
      <c r="H51" s="96" t="str">
        <f t="shared" si="0"/>
        <v>플러스♥25T크림그레이(100)x6</v>
      </c>
      <c r="J51" s="99"/>
      <c r="L51" s="96" t="s">
        <v>2481</v>
      </c>
      <c r="M51" s="96" t="s">
        <v>2481</v>
      </c>
      <c r="N51" s="96" t="s">
        <v>2485</v>
      </c>
      <c r="O51" s="96" t="s">
        <v>2482</v>
      </c>
      <c r="P51" s="96" t="s">
        <v>2478</v>
      </c>
      <c r="Q51" s="97">
        <v>456000</v>
      </c>
    </row>
    <row r="52" spans="1:17" s="96" customFormat="1">
      <c r="A52" s="96" t="s">
        <v>2486</v>
      </c>
      <c r="B52" s="96" t="s">
        <v>2847</v>
      </c>
      <c r="C52" s="97">
        <v>12700</v>
      </c>
      <c r="D52" s="96">
        <v>1</v>
      </c>
      <c r="E52" s="96" t="s">
        <v>2530</v>
      </c>
      <c r="F52" s="98"/>
      <c r="G52" s="98">
        <v>6</v>
      </c>
      <c r="H52" s="96" t="str">
        <f t="shared" si="0"/>
        <v>플러스♥25T크림그레이(100)x6</v>
      </c>
      <c r="J52" s="99"/>
      <c r="L52" s="96" t="s">
        <v>2481</v>
      </c>
      <c r="M52" s="96" t="s">
        <v>2481</v>
      </c>
      <c r="N52" s="96" t="s">
        <v>2485</v>
      </c>
      <c r="O52" s="96" t="s">
        <v>2482</v>
      </c>
      <c r="P52" s="96" t="s">
        <v>2478</v>
      </c>
      <c r="Q52" s="97">
        <v>456000</v>
      </c>
    </row>
    <row r="53" spans="1:17" s="96" customFormat="1">
      <c r="A53" s="96" t="s">
        <v>2486</v>
      </c>
      <c r="B53" s="96" t="s">
        <v>2848</v>
      </c>
      <c r="C53" s="97">
        <v>12700</v>
      </c>
      <c r="D53" s="96">
        <v>1</v>
      </c>
      <c r="E53" s="96" t="s">
        <v>2530</v>
      </c>
      <c r="F53" s="98"/>
      <c r="G53" s="98">
        <v>6</v>
      </c>
      <c r="H53" s="96" t="str">
        <f t="shared" si="0"/>
        <v>플러스♥25T크림그레이(100)x6</v>
      </c>
      <c r="J53" s="99"/>
      <c r="L53" s="96" t="s">
        <v>2481</v>
      </c>
      <c r="M53" s="96" t="s">
        <v>2481</v>
      </c>
      <c r="N53" s="96" t="s">
        <v>2485</v>
      </c>
      <c r="O53" s="96" t="s">
        <v>2482</v>
      </c>
      <c r="P53" s="96" t="s">
        <v>2478</v>
      </c>
      <c r="Q53" s="97">
        <v>456000</v>
      </c>
    </row>
    <row r="54" spans="1:17" s="96" customFormat="1">
      <c r="A54" s="96" t="s">
        <v>2487</v>
      </c>
      <c r="B54" s="96" t="s">
        <v>2842</v>
      </c>
      <c r="C54" s="97">
        <v>13800</v>
      </c>
      <c r="D54" s="96">
        <v>1</v>
      </c>
      <c r="E54" s="96" t="s">
        <v>553</v>
      </c>
      <c r="F54" s="98" t="s">
        <v>180</v>
      </c>
      <c r="G54" s="98">
        <v>1</v>
      </c>
      <c r="H54" s="96" t="str">
        <f t="shared" si="0"/>
        <v>(120)17T마블아이보리5mx1</v>
      </c>
      <c r="J54" s="99"/>
      <c r="L54" s="96" t="s">
        <v>2492</v>
      </c>
      <c r="M54" s="96" t="s">
        <v>2492</v>
      </c>
      <c r="N54" s="96" t="s">
        <v>2496</v>
      </c>
      <c r="O54" s="96" t="s">
        <v>2493</v>
      </c>
      <c r="P54" s="96" t="s">
        <v>2489</v>
      </c>
      <c r="Q54" s="97">
        <v>306000</v>
      </c>
    </row>
    <row r="55" spans="1:17" s="96" customFormat="1">
      <c r="A55" s="96" t="s">
        <v>2487</v>
      </c>
      <c r="B55" s="96" t="s">
        <v>2843</v>
      </c>
      <c r="C55" s="97">
        <v>13800</v>
      </c>
      <c r="D55" s="96">
        <v>1</v>
      </c>
      <c r="E55" s="96" t="s">
        <v>553</v>
      </c>
      <c r="F55" s="98" t="s">
        <v>180</v>
      </c>
      <c r="G55" s="98">
        <v>1</v>
      </c>
      <c r="H55" s="96" t="str">
        <f t="shared" si="0"/>
        <v>(120)17T마블아이보리5mx1</v>
      </c>
      <c r="J55" s="99"/>
      <c r="K55" s="96" t="s">
        <v>2849</v>
      </c>
      <c r="L55" s="96" t="s">
        <v>2492</v>
      </c>
      <c r="M55" s="96" t="s">
        <v>2492</v>
      </c>
      <c r="N55" s="96" t="s">
        <v>2496</v>
      </c>
      <c r="O55" s="96" t="s">
        <v>2493</v>
      </c>
      <c r="P55" s="96" t="s">
        <v>2489</v>
      </c>
      <c r="Q55" s="97">
        <v>306000</v>
      </c>
    </row>
    <row r="56" spans="1:17" s="96" customFormat="1">
      <c r="A56" s="96" t="s">
        <v>2498</v>
      </c>
      <c r="B56" s="96" t="s">
        <v>2500</v>
      </c>
      <c r="C56" s="97">
        <v>6900</v>
      </c>
      <c r="D56" s="96">
        <v>1</v>
      </c>
      <c r="E56" s="96" t="s">
        <v>2524</v>
      </c>
      <c r="F56" s="98" t="s">
        <v>274</v>
      </c>
      <c r="G56" s="98">
        <v>2</v>
      </c>
      <c r="H56" s="96" t="str">
        <f t="shared" si="0"/>
        <v>25T(퍼즐)아이보리(100)x2</v>
      </c>
      <c r="J56" s="99" t="s">
        <v>2535</v>
      </c>
      <c r="K56" s="96" t="s">
        <v>274</v>
      </c>
      <c r="L56" s="96" t="s">
        <v>2503</v>
      </c>
      <c r="M56" s="96" t="s">
        <v>2503</v>
      </c>
      <c r="N56" s="96" t="s">
        <v>2507</v>
      </c>
      <c r="O56" s="96" t="s">
        <v>2504</v>
      </c>
      <c r="P56" s="96" t="s">
        <v>2500</v>
      </c>
      <c r="Q56" s="97">
        <v>34720</v>
      </c>
    </row>
    <row r="57" spans="1:17" s="96" customFormat="1">
      <c r="A57" s="96" t="s">
        <v>2508</v>
      </c>
      <c r="B57" s="96" t="s">
        <v>2500</v>
      </c>
      <c r="C57" s="97"/>
      <c r="E57" s="96" t="s">
        <v>2521</v>
      </c>
      <c r="F57" s="98" t="s">
        <v>274</v>
      </c>
      <c r="G57" s="98">
        <v>1</v>
      </c>
      <c r="H57" s="96" t="str">
        <f t="shared" si="0"/>
        <v>25T(퍼즐)아이보리(50)x1</v>
      </c>
      <c r="J57" s="99" t="s">
        <v>2535</v>
      </c>
      <c r="K57" s="96" t="s">
        <v>274</v>
      </c>
      <c r="L57" s="96" t="s">
        <v>2503</v>
      </c>
      <c r="M57" s="96" t="s">
        <v>2503</v>
      </c>
      <c r="N57" s="96" t="s">
        <v>2507</v>
      </c>
      <c r="O57" s="96" t="s">
        <v>2504</v>
      </c>
      <c r="P57" s="96" t="s">
        <v>2500</v>
      </c>
      <c r="Q57" s="97">
        <v>16900</v>
      </c>
    </row>
    <row r="58" spans="1:17" s="96" customFormat="1">
      <c r="A58" s="96" t="s">
        <v>2509</v>
      </c>
      <c r="B58" s="96" t="s">
        <v>2841</v>
      </c>
      <c r="C58" s="97">
        <v>18700</v>
      </c>
      <c r="D58" s="96">
        <v>1</v>
      </c>
      <c r="E58" s="96" t="s">
        <v>2840</v>
      </c>
      <c r="F58" s="98" t="s">
        <v>184</v>
      </c>
      <c r="G58" s="98">
        <v>1</v>
      </c>
      <c r="H58" s="96" t="str">
        <f t="shared" si="0"/>
        <v>(140)17T퓨어아이보리7mx1</v>
      </c>
      <c r="I58" s="96" t="s">
        <v>2537</v>
      </c>
      <c r="J58" s="99"/>
      <c r="K58" s="96" t="s">
        <v>2520</v>
      </c>
      <c r="L58" s="96" t="s">
        <v>2514</v>
      </c>
      <c r="M58" s="96" t="s">
        <v>2514</v>
      </c>
      <c r="N58" s="96" t="s">
        <v>2518</v>
      </c>
      <c r="O58" s="96" t="s">
        <v>2515</v>
      </c>
      <c r="P58" s="96" t="s">
        <v>2511</v>
      </c>
      <c r="Q58" s="97">
        <v>229320</v>
      </c>
    </row>
    <row r="59" spans="1:17" s="96" customFormat="1">
      <c r="A59" s="96" t="s">
        <v>2850</v>
      </c>
      <c r="B59" s="96" t="s">
        <v>2902</v>
      </c>
      <c r="C59" s="97"/>
      <c r="E59" s="96" t="s">
        <v>2522</v>
      </c>
      <c r="F59" s="98"/>
      <c r="G59" s="98">
        <v>1</v>
      </c>
      <c r="H59" s="96" t="str">
        <f t="shared" si="0"/>
        <v>★판매★테이프20mx1</v>
      </c>
      <c r="J59" s="99" t="s">
        <v>2903</v>
      </c>
      <c r="K59" s="96" t="s">
        <v>274</v>
      </c>
      <c r="L59" s="96" t="s">
        <v>2852</v>
      </c>
      <c r="M59" s="96" t="s">
        <v>2852</v>
      </c>
      <c r="N59" s="96" t="s">
        <v>2853</v>
      </c>
      <c r="O59" s="96" t="s">
        <v>2854</v>
      </c>
      <c r="P59" s="96" t="s">
        <v>2851</v>
      </c>
      <c r="Q59" s="97">
        <v>7900</v>
      </c>
    </row>
    <row r="60" spans="1:17" s="96" customFormat="1">
      <c r="A60" s="96" t="s">
        <v>2855</v>
      </c>
      <c r="B60" s="96" t="s">
        <v>2902</v>
      </c>
      <c r="C60" s="97">
        <v>13800</v>
      </c>
      <c r="D60" s="96">
        <v>1</v>
      </c>
      <c r="E60" s="96" t="s">
        <v>452</v>
      </c>
      <c r="F60" s="98" t="s">
        <v>316</v>
      </c>
      <c r="G60" s="98">
        <v>1</v>
      </c>
      <c r="H60" s="96" t="str">
        <f t="shared" si="0"/>
        <v>(120)17T퓨어아이보리4.5mx1</v>
      </c>
      <c r="J60" s="99" t="s">
        <v>2903</v>
      </c>
      <c r="K60" s="96" t="s">
        <v>2904</v>
      </c>
      <c r="L60" s="96" t="s">
        <v>2852</v>
      </c>
      <c r="M60" s="96" t="s">
        <v>2852</v>
      </c>
      <c r="N60" s="96" t="s">
        <v>2853</v>
      </c>
      <c r="O60" s="96" t="s">
        <v>2854</v>
      </c>
      <c r="P60" s="96" t="s">
        <v>2851</v>
      </c>
      <c r="Q60" s="97">
        <v>371790</v>
      </c>
    </row>
    <row r="61" spans="1:17" s="96" customFormat="1">
      <c r="A61" s="96" t="s">
        <v>2855</v>
      </c>
      <c r="B61" s="96" t="s">
        <v>2894</v>
      </c>
      <c r="C61" s="97">
        <v>13800</v>
      </c>
      <c r="D61" s="96">
        <v>1</v>
      </c>
      <c r="E61" s="96" t="s">
        <v>550</v>
      </c>
      <c r="F61" s="98" t="s">
        <v>324</v>
      </c>
      <c r="G61" s="98">
        <v>1</v>
      </c>
      <c r="H61" s="96" t="str">
        <f t="shared" si="0"/>
        <v>(120)17T퓨어아이보리4.5mx1</v>
      </c>
      <c r="J61" s="99"/>
      <c r="L61" s="96" t="s">
        <v>2852</v>
      </c>
      <c r="M61" s="96" t="s">
        <v>2852</v>
      </c>
      <c r="N61" s="96" t="s">
        <v>2853</v>
      </c>
      <c r="O61" s="96" t="s">
        <v>2854</v>
      </c>
      <c r="P61" s="96" t="s">
        <v>2851</v>
      </c>
      <c r="Q61" s="97">
        <v>371790</v>
      </c>
    </row>
    <row r="62" spans="1:17" s="96" customFormat="1">
      <c r="A62" s="96" t="s">
        <v>2855</v>
      </c>
      <c r="B62" s="96" t="s">
        <v>2895</v>
      </c>
      <c r="C62" s="97">
        <v>13800</v>
      </c>
      <c r="D62" s="96">
        <v>1</v>
      </c>
      <c r="E62" s="96" t="s">
        <v>452</v>
      </c>
      <c r="F62" s="98" t="s">
        <v>316</v>
      </c>
      <c r="G62" s="98">
        <v>1</v>
      </c>
      <c r="H62" s="96" t="str">
        <f t="shared" si="0"/>
        <v>(120)17T퓨어아이보리4.5mx1</v>
      </c>
      <c r="J62" s="99"/>
      <c r="L62" s="96" t="s">
        <v>2852</v>
      </c>
      <c r="M62" s="96" t="s">
        <v>2852</v>
      </c>
      <c r="N62" s="96" t="s">
        <v>2853</v>
      </c>
      <c r="O62" s="96" t="s">
        <v>2854</v>
      </c>
      <c r="P62" s="96" t="s">
        <v>2851</v>
      </c>
      <c r="Q62" s="97">
        <v>371790</v>
      </c>
    </row>
    <row r="63" spans="1:17" s="96" customFormat="1">
      <c r="A63" s="96" t="s">
        <v>2856</v>
      </c>
      <c r="B63" s="96" t="s">
        <v>2857</v>
      </c>
      <c r="C63" s="97">
        <v>10700</v>
      </c>
      <c r="D63" s="96">
        <v>1</v>
      </c>
      <c r="E63" s="96" t="s">
        <v>2524</v>
      </c>
      <c r="F63" s="98" t="s">
        <v>274</v>
      </c>
      <c r="G63" s="98">
        <v>5</v>
      </c>
      <c r="H63" s="96" t="str">
        <f t="shared" si="0"/>
        <v>25T(퍼즐)아이보리(100)x5</v>
      </c>
      <c r="J63" s="99"/>
      <c r="K63" s="96" t="s">
        <v>274</v>
      </c>
      <c r="L63" s="96" t="s">
        <v>2858</v>
      </c>
      <c r="M63" s="96" t="s">
        <v>2858</v>
      </c>
      <c r="N63" s="96" t="s">
        <v>2859</v>
      </c>
      <c r="O63" s="96" t="s">
        <v>2860</v>
      </c>
      <c r="P63" s="96" t="s">
        <v>2857</v>
      </c>
      <c r="Q63" s="97">
        <v>89500</v>
      </c>
    </row>
    <row r="64" spans="1:17" s="96" customFormat="1">
      <c r="A64" s="96" t="s">
        <v>2861</v>
      </c>
      <c r="B64" s="96" t="s">
        <v>2905</v>
      </c>
      <c r="C64" s="97">
        <v>14000</v>
      </c>
      <c r="D64" s="96">
        <v>1</v>
      </c>
      <c r="E64" s="96" t="s">
        <v>532</v>
      </c>
      <c r="F64" s="98" t="s">
        <v>274</v>
      </c>
      <c r="G64" s="98">
        <v>4</v>
      </c>
      <c r="H64" s="96" t="str">
        <f t="shared" si="0"/>
        <v>40T(퍼즐)아이보리(100)x4</v>
      </c>
      <c r="J64" s="99"/>
      <c r="K64" s="96" t="s">
        <v>274</v>
      </c>
      <c r="L64" s="96" t="s">
        <v>2863</v>
      </c>
      <c r="M64" s="96" t="s">
        <v>2864</v>
      </c>
      <c r="N64" s="96" t="s">
        <v>2865</v>
      </c>
      <c r="O64" s="96" t="s">
        <v>2866</v>
      </c>
      <c r="P64" s="96" t="s">
        <v>2862</v>
      </c>
      <c r="Q64" s="97">
        <v>473400</v>
      </c>
    </row>
    <row r="65" spans="1:17" s="96" customFormat="1">
      <c r="A65" s="96" t="s">
        <v>2861</v>
      </c>
      <c r="B65" s="96" t="s">
        <v>2896</v>
      </c>
      <c r="C65" s="97">
        <v>14000</v>
      </c>
      <c r="D65" s="96">
        <v>1</v>
      </c>
      <c r="E65" s="96" t="s">
        <v>532</v>
      </c>
      <c r="F65" s="98" t="s">
        <v>274</v>
      </c>
      <c r="G65" s="98">
        <v>4</v>
      </c>
      <c r="H65" s="96" t="str">
        <f t="shared" si="0"/>
        <v>40T(퍼즐)아이보리(100)x4</v>
      </c>
      <c r="J65" s="99"/>
      <c r="K65" s="96" t="s">
        <v>274</v>
      </c>
      <c r="L65" s="96" t="s">
        <v>2863</v>
      </c>
      <c r="M65" s="96" t="s">
        <v>2864</v>
      </c>
      <c r="N65" s="96" t="s">
        <v>2865</v>
      </c>
      <c r="O65" s="96" t="s">
        <v>2866</v>
      </c>
      <c r="P65" s="96" t="s">
        <v>2862</v>
      </c>
      <c r="Q65" s="97">
        <v>473400</v>
      </c>
    </row>
    <row r="66" spans="1:17" s="96" customFormat="1">
      <c r="A66" s="96" t="s">
        <v>2861</v>
      </c>
      <c r="B66" s="96" t="s">
        <v>2897</v>
      </c>
      <c r="C66" s="97">
        <v>14000</v>
      </c>
      <c r="D66" s="96">
        <v>1</v>
      </c>
      <c r="E66" s="96" t="s">
        <v>532</v>
      </c>
      <c r="F66" s="98" t="s">
        <v>274</v>
      </c>
      <c r="G66" s="98">
        <v>4</v>
      </c>
      <c r="H66" s="96" t="str">
        <f t="shared" si="0"/>
        <v>40T(퍼즐)아이보리(100)x4</v>
      </c>
      <c r="J66" s="99"/>
      <c r="K66" s="96" t="s">
        <v>274</v>
      </c>
      <c r="L66" s="96" t="s">
        <v>2863</v>
      </c>
      <c r="M66" s="96" t="s">
        <v>2864</v>
      </c>
      <c r="N66" s="96" t="s">
        <v>2865</v>
      </c>
      <c r="O66" s="96" t="s">
        <v>2866</v>
      </c>
      <c r="P66" s="96" t="s">
        <v>2862</v>
      </c>
      <c r="Q66" s="97">
        <v>473400</v>
      </c>
    </row>
    <row r="67" spans="1:17" s="96" customFormat="1">
      <c r="A67" s="96" t="s">
        <v>2861</v>
      </c>
      <c r="B67" s="96" t="s">
        <v>2898</v>
      </c>
      <c r="C67" s="97">
        <v>14000</v>
      </c>
      <c r="D67" s="96">
        <v>1</v>
      </c>
      <c r="E67" s="96" t="s">
        <v>532</v>
      </c>
      <c r="F67" s="98" t="s">
        <v>274</v>
      </c>
      <c r="G67" s="98">
        <v>4</v>
      </c>
      <c r="H67" s="96" t="str">
        <f t="shared" ref="H67:H77" si="1">CONCATENATE(E67,F67,"x",G67)</f>
        <v>40T(퍼즐)아이보리(100)x4</v>
      </c>
      <c r="J67" s="99"/>
      <c r="K67" s="96" t="s">
        <v>274</v>
      </c>
      <c r="L67" s="96" t="s">
        <v>2863</v>
      </c>
      <c r="M67" s="96" t="s">
        <v>2864</v>
      </c>
      <c r="N67" s="96" t="s">
        <v>2865</v>
      </c>
      <c r="O67" s="96" t="s">
        <v>2866</v>
      </c>
      <c r="P67" s="96" t="s">
        <v>2862</v>
      </c>
      <c r="Q67" s="97">
        <v>473400</v>
      </c>
    </row>
    <row r="68" spans="1:17" s="96" customFormat="1">
      <c r="A68" s="96" t="s">
        <v>2861</v>
      </c>
      <c r="B68" s="96" t="s">
        <v>2899</v>
      </c>
      <c r="C68" s="97">
        <v>10700</v>
      </c>
      <c r="D68" s="96">
        <v>1</v>
      </c>
      <c r="E68" s="96" t="s">
        <v>532</v>
      </c>
      <c r="F68" s="98" t="s">
        <v>274</v>
      </c>
      <c r="G68" s="98">
        <v>2</v>
      </c>
      <c r="H68" s="96" t="str">
        <f t="shared" si="1"/>
        <v>40T(퍼즐)아이보리(100)x2</v>
      </c>
      <c r="J68" s="99" t="s">
        <v>2903</v>
      </c>
      <c r="K68" s="96" t="s">
        <v>274</v>
      </c>
      <c r="L68" s="96" t="s">
        <v>2863</v>
      </c>
      <c r="M68" s="96" t="s">
        <v>2864</v>
      </c>
      <c r="N68" s="96" t="s">
        <v>2865</v>
      </c>
      <c r="O68" s="96" t="s">
        <v>2866</v>
      </c>
      <c r="P68" s="96" t="s">
        <v>2862</v>
      </c>
      <c r="Q68" s="97">
        <v>473400</v>
      </c>
    </row>
    <row r="69" spans="1:17" s="96" customFormat="1">
      <c r="A69" s="96" t="s">
        <v>2867</v>
      </c>
      <c r="B69" s="96" t="s">
        <v>2899</v>
      </c>
      <c r="C69" s="97"/>
      <c r="E69" s="96" t="s">
        <v>530</v>
      </c>
      <c r="F69" s="98" t="s">
        <v>274</v>
      </c>
      <c r="G69" s="98">
        <v>1</v>
      </c>
      <c r="H69" s="96" t="str">
        <f t="shared" si="1"/>
        <v>40T(퍼즐)아이보리(50)x1</v>
      </c>
      <c r="J69" s="99" t="s">
        <v>2903</v>
      </c>
      <c r="K69" s="96" t="s">
        <v>274</v>
      </c>
      <c r="L69" s="96" t="s">
        <v>2863</v>
      </c>
      <c r="M69" s="96" t="s">
        <v>2864</v>
      </c>
      <c r="N69" s="96" t="s">
        <v>2865</v>
      </c>
      <c r="O69" s="96" t="s">
        <v>2866</v>
      </c>
      <c r="P69" s="96" t="s">
        <v>2862</v>
      </c>
      <c r="Q69" s="97">
        <v>25300</v>
      </c>
    </row>
    <row r="70" spans="1:17" s="96" customFormat="1">
      <c r="A70" s="96" t="s">
        <v>2868</v>
      </c>
      <c r="B70" s="96" t="s">
        <v>2906</v>
      </c>
      <c r="C70" s="97">
        <v>12100</v>
      </c>
      <c r="D70" s="96">
        <v>1</v>
      </c>
      <c r="E70" s="96" t="s">
        <v>346</v>
      </c>
      <c r="F70" s="98" t="s">
        <v>324</v>
      </c>
      <c r="G70" s="98">
        <v>1</v>
      </c>
      <c r="H70" s="96" t="str">
        <f t="shared" si="1"/>
        <v>(110)17T마블아이보리4.5mx1</v>
      </c>
      <c r="J70" s="99"/>
      <c r="K70" s="96" t="s">
        <v>2904</v>
      </c>
      <c r="L70" s="96" t="s">
        <v>2870</v>
      </c>
      <c r="M70" s="96" t="s">
        <v>2870</v>
      </c>
      <c r="N70" s="96" t="s">
        <v>2871</v>
      </c>
      <c r="O70" s="96" t="s">
        <v>2872</v>
      </c>
      <c r="P70" s="96" t="s">
        <v>2869</v>
      </c>
      <c r="Q70" s="97">
        <v>248400</v>
      </c>
    </row>
    <row r="71" spans="1:17" s="96" customFormat="1">
      <c r="A71" s="96" t="s">
        <v>2868</v>
      </c>
      <c r="B71" s="96" t="s">
        <v>2900</v>
      </c>
      <c r="C71" s="97">
        <v>12100</v>
      </c>
      <c r="D71" s="96">
        <v>1</v>
      </c>
      <c r="E71" s="96" t="s">
        <v>346</v>
      </c>
      <c r="F71" s="98" t="s">
        <v>324</v>
      </c>
      <c r="G71" s="98">
        <v>1</v>
      </c>
      <c r="H71" s="96" t="str">
        <f t="shared" si="1"/>
        <v>(110)17T마블아이보리4.5mx1</v>
      </c>
      <c r="J71" s="99"/>
      <c r="L71" s="96" t="s">
        <v>2870</v>
      </c>
      <c r="M71" s="96" t="s">
        <v>2870</v>
      </c>
      <c r="N71" s="96" t="s">
        <v>2871</v>
      </c>
      <c r="O71" s="96" t="s">
        <v>2872</v>
      </c>
      <c r="P71" s="96" t="s">
        <v>2869</v>
      </c>
      <c r="Q71" s="97">
        <v>248400</v>
      </c>
    </row>
    <row r="72" spans="1:17" s="96" customFormat="1">
      <c r="A72" s="96" t="s">
        <v>2874</v>
      </c>
      <c r="B72" s="96" t="s">
        <v>2875</v>
      </c>
      <c r="C72" s="97"/>
      <c r="E72" s="96" t="s">
        <v>2522</v>
      </c>
      <c r="F72" s="98"/>
      <c r="G72" s="98">
        <v>1</v>
      </c>
      <c r="H72" s="96" t="str">
        <f t="shared" si="1"/>
        <v>★판매★테이프20mx1</v>
      </c>
      <c r="I72" s="96" t="s">
        <v>2187</v>
      </c>
      <c r="J72" s="99" t="s">
        <v>2903</v>
      </c>
      <c r="L72" s="96" t="s">
        <v>2876</v>
      </c>
      <c r="M72" s="96" t="s">
        <v>2876</v>
      </c>
      <c r="N72" s="96" t="s">
        <v>2877</v>
      </c>
      <c r="O72" s="96" t="s">
        <v>2878</v>
      </c>
      <c r="P72" s="96" t="s">
        <v>2875</v>
      </c>
      <c r="Q72" s="97">
        <v>7900</v>
      </c>
    </row>
    <row r="73" spans="1:17" s="96" customFormat="1">
      <c r="A73" s="96" t="s">
        <v>2879</v>
      </c>
      <c r="B73" s="96" t="s">
        <v>2875</v>
      </c>
      <c r="C73" s="97">
        <v>15400</v>
      </c>
      <c r="D73" s="96">
        <v>1</v>
      </c>
      <c r="E73" s="96" t="s">
        <v>2907</v>
      </c>
      <c r="F73" s="98" t="s">
        <v>309</v>
      </c>
      <c r="G73" s="98">
        <v>1</v>
      </c>
      <c r="H73" s="96" t="str">
        <f t="shared" si="1"/>
        <v>(140)9T테리어4mx1</v>
      </c>
      <c r="I73" s="96" t="s">
        <v>2187</v>
      </c>
      <c r="J73" s="99" t="s">
        <v>2903</v>
      </c>
      <c r="K73" s="96" t="s">
        <v>2520</v>
      </c>
      <c r="L73" s="96" t="s">
        <v>2876</v>
      </c>
      <c r="M73" s="96" t="s">
        <v>2876</v>
      </c>
      <c r="N73" s="96" t="s">
        <v>2877</v>
      </c>
      <c r="O73" s="96" t="s">
        <v>2878</v>
      </c>
      <c r="P73" s="96" t="s">
        <v>2875</v>
      </c>
      <c r="Q73" s="97">
        <v>64800</v>
      </c>
    </row>
    <row r="74" spans="1:17" s="96" customFormat="1">
      <c r="A74" s="96" t="s">
        <v>2880</v>
      </c>
      <c r="B74" s="96" t="s">
        <v>2875</v>
      </c>
      <c r="C74" s="97"/>
      <c r="E74" s="96" t="s">
        <v>2908</v>
      </c>
      <c r="F74" s="98" t="s">
        <v>309</v>
      </c>
      <c r="G74" s="98">
        <v>1</v>
      </c>
      <c r="H74" s="96" t="str">
        <f t="shared" si="1"/>
        <v>(110)9T테리어4mx1</v>
      </c>
      <c r="I74" s="96" t="s">
        <v>2187</v>
      </c>
      <c r="J74" s="99" t="s">
        <v>2903</v>
      </c>
      <c r="L74" s="96" t="s">
        <v>2876</v>
      </c>
      <c r="M74" s="96" t="s">
        <v>2876</v>
      </c>
      <c r="N74" s="96" t="s">
        <v>2877</v>
      </c>
      <c r="O74" s="96" t="s">
        <v>2878</v>
      </c>
      <c r="P74" s="96" t="s">
        <v>2875</v>
      </c>
      <c r="Q74" s="97">
        <v>52400</v>
      </c>
    </row>
    <row r="75" spans="1:17" s="96" customFormat="1">
      <c r="A75" s="96" t="s">
        <v>2881</v>
      </c>
      <c r="B75" s="96" t="s">
        <v>2882</v>
      </c>
      <c r="C75" s="97">
        <v>12100</v>
      </c>
      <c r="D75" s="96">
        <v>1</v>
      </c>
      <c r="E75" s="96" t="s">
        <v>2883</v>
      </c>
      <c r="F75" s="98" t="s">
        <v>176</v>
      </c>
      <c r="G75" s="98">
        <v>1</v>
      </c>
      <c r="H75" s="96" t="str">
        <f t="shared" si="1"/>
        <v>(110)22T마블아이보리3mx1</v>
      </c>
      <c r="I75" s="96" t="s">
        <v>2884</v>
      </c>
      <c r="J75" s="99"/>
      <c r="K75" s="96" t="s">
        <v>2520</v>
      </c>
      <c r="L75" s="96" t="s">
        <v>2885</v>
      </c>
      <c r="M75" s="96" t="s">
        <v>2885</v>
      </c>
      <c r="N75" s="96" t="s">
        <v>2886</v>
      </c>
      <c r="O75" s="96" t="s">
        <v>2887</v>
      </c>
      <c r="P75" s="96" t="s">
        <v>2882</v>
      </c>
      <c r="Q75" s="97">
        <v>114600</v>
      </c>
    </row>
    <row r="76" spans="1:17" s="96" customFormat="1">
      <c r="A76" s="96" t="s">
        <v>2888</v>
      </c>
      <c r="B76" s="96" t="s">
        <v>2889</v>
      </c>
      <c r="C76" s="97">
        <v>12700</v>
      </c>
      <c r="D76" s="96">
        <v>1</v>
      </c>
      <c r="E76" s="96" t="s">
        <v>2529</v>
      </c>
      <c r="F76" s="98"/>
      <c r="G76" s="98">
        <v>2</v>
      </c>
      <c r="H76" s="96" t="str">
        <f t="shared" si="1"/>
        <v>플러스♥25T크림그레이(50)x2</v>
      </c>
      <c r="I76" s="96" t="s">
        <v>2909</v>
      </c>
      <c r="J76" s="99" t="s">
        <v>2903</v>
      </c>
      <c r="K76" s="96" t="s">
        <v>274</v>
      </c>
      <c r="L76" s="96" t="s">
        <v>2890</v>
      </c>
      <c r="M76" s="96" t="s">
        <v>2890</v>
      </c>
      <c r="N76" s="96" t="s">
        <v>2891</v>
      </c>
      <c r="O76" s="96" t="s">
        <v>2892</v>
      </c>
      <c r="P76" s="96" t="s">
        <v>2889</v>
      </c>
      <c r="Q76" s="97">
        <v>45600</v>
      </c>
    </row>
    <row r="77" spans="1:17" s="96" customFormat="1">
      <c r="A77" s="96" t="s">
        <v>2893</v>
      </c>
      <c r="B77" s="96" t="s">
        <v>2889</v>
      </c>
      <c r="C77" s="97"/>
      <c r="E77" s="96" t="s">
        <v>2530</v>
      </c>
      <c r="F77" s="98"/>
      <c r="G77" s="98">
        <v>4</v>
      </c>
      <c r="H77" s="96" t="str">
        <f t="shared" si="1"/>
        <v>플러스♥25T크림그레이(100)x4</v>
      </c>
      <c r="I77" s="96" t="s">
        <v>2909</v>
      </c>
      <c r="J77" s="99" t="s">
        <v>2903</v>
      </c>
      <c r="K77" s="96" t="s">
        <v>274</v>
      </c>
      <c r="L77" s="96" t="s">
        <v>2890</v>
      </c>
      <c r="M77" s="96" t="s">
        <v>2890</v>
      </c>
      <c r="N77" s="96" t="s">
        <v>2891</v>
      </c>
      <c r="O77" s="96" t="s">
        <v>2892</v>
      </c>
      <c r="P77" s="96" t="s">
        <v>2889</v>
      </c>
      <c r="Q77" s="97">
        <v>91200</v>
      </c>
    </row>
    <row r="78" spans="1:17" s="96" customFormat="1">
      <c r="A78" s="85" t="s">
        <v>2209</v>
      </c>
      <c r="B78" s="85" t="s">
        <v>2213</v>
      </c>
      <c r="C78" s="86" t="s">
        <v>2519</v>
      </c>
      <c r="D78" s="85"/>
      <c r="E78" s="85" t="s">
        <v>415</v>
      </c>
      <c r="F78" s="87" t="s">
        <v>389</v>
      </c>
      <c r="G78" s="87">
        <v>1</v>
      </c>
      <c r="H78" s="85"/>
      <c r="I78" s="85" t="s">
        <v>2223</v>
      </c>
      <c r="J78" s="88"/>
      <c r="K78" s="85" t="s">
        <v>2520</v>
      </c>
      <c r="L78" s="85" t="s">
        <v>2218</v>
      </c>
      <c r="M78" s="85" t="s">
        <v>2218</v>
      </c>
      <c r="N78" s="85" t="s">
        <v>2222</v>
      </c>
      <c r="O78" s="85" t="s">
        <v>2219</v>
      </c>
      <c r="P78" s="85" t="s">
        <v>2211</v>
      </c>
      <c r="Q78" s="86">
        <v>117170</v>
      </c>
    </row>
    <row r="79" spans="1:17">
      <c r="C79" s="78"/>
      <c r="Q79" s="78"/>
    </row>
    <row r="80" spans="1:17">
      <c r="C80" s="78"/>
      <c r="Q80" s="78"/>
    </row>
    <row r="81" spans="3:17">
      <c r="C81" s="78"/>
      <c r="Q81" s="78"/>
    </row>
    <row r="82" spans="3:17">
      <c r="C82" s="78"/>
      <c r="Q82" s="78"/>
    </row>
    <row r="83" spans="3:17">
      <c r="C83" s="78"/>
      <c r="Q83" s="78"/>
    </row>
    <row r="84" spans="3:17">
      <c r="C84" s="78"/>
      <c r="Q84" s="78"/>
    </row>
    <row r="85" spans="3:17">
      <c r="C85" s="78"/>
      <c r="Q85" s="78"/>
    </row>
    <row r="86" spans="3:17">
      <c r="C86" s="78"/>
      <c r="Q86" s="78"/>
    </row>
    <row r="87" spans="3:17">
      <c r="C87" s="78"/>
      <c r="Q87" s="78"/>
    </row>
    <row r="88" spans="3:17">
      <c r="C88" s="78"/>
      <c r="Q88" s="78"/>
    </row>
    <row r="89" spans="3:17">
      <c r="C89" s="78"/>
      <c r="Q89" s="78"/>
    </row>
    <row r="90" spans="3:17">
      <c r="C90" s="78"/>
      <c r="Q90" s="78"/>
    </row>
    <row r="91" spans="3:17">
      <c r="C91" s="78"/>
      <c r="Q91" s="78"/>
    </row>
    <row r="92" spans="3:17">
      <c r="C92" s="78"/>
      <c r="Q92" s="78"/>
    </row>
    <row r="93" spans="3:17">
      <c r="C93" s="78"/>
      <c r="Q93" s="78"/>
    </row>
    <row r="94" spans="3:17">
      <c r="C94" s="78"/>
      <c r="Q94" s="78"/>
    </row>
    <row r="95" spans="3:17">
      <c r="C95" s="78"/>
      <c r="Q95" s="78"/>
    </row>
    <row r="96" spans="3:17">
      <c r="C96" s="78"/>
      <c r="E96" s="79"/>
      <c r="Q96" s="78"/>
    </row>
    <row r="97" spans="3:17">
      <c r="C97" s="78"/>
      <c r="Q97" s="78"/>
    </row>
    <row r="98" spans="3:17">
      <c r="C98" s="78"/>
      <c r="Q98" s="78"/>
    </row>
    <row r="99" spans="3:17">
      <c r="C99" s="78"/>
      <c r="Q99" s="78"/>
    </row>
    <row r="100" spans="3:17">
      <c r="C100" s="78"/>
      <c r="Q100" s="78"/>
    </row>
    <row r="101" spans="3:17">
      <c r="C101" s="78"/>
      <c r="Q101" s="78"/>
    </row>
    <row r="102" spans="3:17">
      <c r="C102" s="78"/>
      <c r="Q102" s="78"/>
    </row>
    <row r="103" spans="3:17">
      <c r="C103" s="78"/>
      <c r="Q103" s="78"/>
    </row>
    <row r="104" spans="3:17">
      <c r="C104" s="78"/>
      <c r="Q104" s="78"/>
    </row>
    <row r="105" spans="3:17">
      <c r="C105" s="78"/>
      <c r="Q105" s="78"/>
    </row>
    <row r="106" spans="3:17">
      <c r="C106" s="78"/>
      <c r="Q106" s="78"/>
    </row>
    <row r="107" spans="3:17">
      <c r="C107" s="78"/>
      <c r="Q107" s="78"/>
    </row>
    <row r="108" spans="3:17">
      <c r="C108" s="78"/>
      <c r="Q108" s="78"/>
    </row>
    <row r="109" spans="3:17">
      <c r="C109" s="78"/>
      <c r="Q109" s="78"/>
    </row>
    <row r="110" spans="3:17">
      <c r="C110" s="78"/>
      <c r="Q110" s="78"/>
    </row>
    <row r="111" spans="3:17">
      <c r="C111" s="78"/>
      <c r="Q111" s="78"/>
    </row>
    <row r="112" spans="3:17">
      <c r="C112" s="78"/>
      <c r="Q112" s="78"/>
    </row>
    <row r="113" spans="3:17">
      <c r="C113" s="78"/>
      <c r="Q113" s="78"/>
    </row>
    <row r="114" spans="3:17">
      <c r="C114" s="78"/>
      <c r="Q114" s="78"/>
    </row>
    <row r="115" spans="3:17">
      <c r="C115" s="78"/>
      <c r="Q115" s="78"/>
    </row>
    <row r="116" spans="3:17">
      <c r="C116" s="78"/>
      <c r="Q116" s="78"/>
    </row>
    <row r="117" spans="3:17">
      <c r="C117" s="78"/>
      <c r="Q117" s="78"/>
    </row>
    <row r="118" spans="3:17">
      <c r="C118" s="78"/>
      <c r="Q118" s="78"/>
    </row>
    <row r="119" spans="3:17">
      <c r="C119" s="78"/>
      <c r="Q119" s="78"/>
    </row>
    <row r="120" spans="3:17">
      <c r="C120" s="78"/>
      <c r="Q120" s="78"/>
    </row>
    <row r="121" spans="3:17">
      <c r="C121" s="78"/>
      <c r="Q121" s="78"/>
    </row>
    <row r="122" spans="3:17">
      <c r="C122" s="78"/>
      <c r="Q122" s="78"/>
    </row>
    <row r="123" spans="3:17">
      <c r="C123" s="78"/>
      <c r="Q123" s="78"/>
    </row>
    <row r="124" spans="3:17">
      <c r="C124" s="78"/>
      <c r="Q124" s="78"/>
    </row>
    <row r="125" spans="3:17">
      <c r="C125" s="78"/>
      <c r="Q125" s="78"/>
    </row>
    <row r="126" spans="3:17">
      <c r="C126" s="78"/>
      <c r="Q126" s="78"/>
    </row>
    <row r="127" spans="3:17">
      <c r="C127" s="78"/>
      <c r="Q127" s="78"/>
    </row>
    <row r="128" spans="3:17">
      <c r="C128" s="78"/>
      <c r="Q128" s="78"/>
    </row>
    <row r="129" spans="3:17">
      <c r="C129" s="78"/>
      <c r="Q129" s="78"/>
    </row>
    <row r="130" spans="3:17">
      <c r="C130" s="78"/>
      <c r="Q130" s="78"/>
    </row>
    <row r="131" spans="3:17">
      <c r="C131" s="78"/>
      <c r="Q131" s="78"/>
    </row>
    <row r="132" spans="3:17">
      <c r="C132" s="78"/>
      <c r="Q132" s="78"/>
    </row>
    <row r="133" spans="3:17">
      <c r="C133" s="78"/>
      <c r="Q133" s="78"/>
    </row>
    <row r="134" spans="3:17">
      <c r="C134" s="78"/>
      <c r="Q134" s="78"/>
    </row>
    <row r="135" spans="3:17">
      <c r="C135" s="78"/>
      <c r="Q135" s="78"/>
    </row>
    <row r="136" spans="3:17">
      <c r="C136" s="78"/>
      <c r="Q136" s="78"/>
    </row>
    <row r="137" spans="3:17">
      <c r="C137" s="78"/>
      <c r="Q137" s="78"/>
    </row>
    <row r="138" spans="3:17">
      <c r="C138" s="78"/>
      <c r="Q138" s="78"/>
    </row>
    <row r="139" spans="3:17">
      <c r="C139" s="78"/>
      <c r="Q139" s="78"/>
    </row>
    <row r="140" spans="3:17">
      <c r="C140" s="78"/>
      <c r="Q140" s="78"/>
    </row>
    <row r="141" spans="3:17">
      <c r="C141" s="78"/>
      <c r="Q141" s="78"/>
    </row>
    <row r="142" spans="3:17">
      <c r="C142" s="78"/>
      <c r="Q142" s="78"/>
    </row>
    <row r="143" spans="3:17">
      <c r="C143" s="78"/>
      <c r="Q143" s="78"/>
    </row>
    <row r="144" spans="3:17">
      <c r="C144" s="78"/>
      <c r="Q144" s="78"/>
    </row>
    <row r="145" spans="3:17">
      <c r="C145" s="78"/>
      <c r="Q145" s="78"/>
    </row>
    <row r="146" spans="3:17">
      <c r="C146" s="78"/>
      <c r="Q146" s="78"/>
    </row>
    <row r="147" spans="3:17">
      <c r="C147" s="78"/>
      <c r="E147" s="79"/>
      <c r="F147" s="79"/>
      <c r="Q147" s="78"/>
    </row>
    <row r="148" spans="3:17">
      <c r="C148" s="78"/>
      <c r="Q148" s="78"/>
    </row>
    <row r="149" spans="3:17">
      <c r="C149" s="78"/>
      <c r="Q149" s="78"/>
    </row>
    <row r="150" spans="3:17">
      <c r="C150" s="78"/>
      <c r="Q150" s="78"/>
    </row>
    <row r="151" spans="3:17">
      <c r="C151" s="78"/>
      <c r="Q151" s="78"/>
    </row>
    <row r="152" spans="3:17">
      <c r="C152" s="78"/>
      <c r="Q152" s="78"/>
    </row>
    <row r="153" spans="3:17">
      <c r="C153" s="78"/>
      <c r="Q153" s="78"/>
    </row>
    <row r="154" spans="3:17">
      <c r="C154" s="78"/>
      <c r="Q154" s="78"/>
    </row>
    <row r="155" spans="3:17">
      <c r="C155" s="78"/>
      <c r="Q155" s="78"/>
    </row>
    <row r="156" spans="3:17">
      <c r="C156" s="78"/>
      <c r="Q156" s="78"/>
    </row>
    <row r="157" spans="3:17">
      <c r="C157" s="78"/>
      <c r="Q157" s="78"/>
    </row>
    <row r="158" spans="3:17">
      <c r="C158" s="78"/>
      <c r="Q158" s="78"/>
    </row>
    <row r="159" spans="3:17">
      <c r="C159" s="78"/>
      <c r="Q159" s="78"/>
    </row>
    <row r="160" spans="3:17">
      <c r="C160" s="78"/>
      <c r="Q160" s="78"/>
    </row>
    <row r="161" spans="3:17">
      <c r="C161" s="78"/>
      <c r="Q161" s="78"/>
    </row>
    <row r="162" spans="3:17">
      <c r="C162" s="78"/>
      <c r="Q162" s="78"/>
    </row>
    <row r="163" spans="3:17">
      <c r="C163" s="78"/>
      <c r="Q163" s="78"/>
    </row>
    <row r="164" spans="3:17">
      <c r="C164" s="78"/>
      <c r="Q164" s="78"/>
    </row>
  </sheetData>
  <autoFilter ref="A1:Q164" xr:uid="{59CF0F14-3C91-4E15-8131-8BF90CAF7F3F}">
    <sortState ref="A2:Q164">
      <sortCondition sortBy="cellColor" ref="C1:C164" dxfId="0"/>
    </sortState>
  </autoFilter>
  <phoneticPr fontId="1" type="noConversion"/>
  <conditionalFormatting sqref="B13">
    <cfRule type="duplicateValues" dxfId="330" priority="210"/>
  </conditionalFormatting>
  <conditionalFormatting sqref="B56:B58">
    <cfRule type="duplicateValues" dxfId="329" priority="387"/>
  </conditionalFormatting>
  <conditionalFormatting sqref="B93">
    <cfRule type="duplicateValues" dxfId="327" priority="341"/>
  </conditionalFormatting>
  <conditionalFormatting sqref="B109">
    <cfRule type="duplicateValues" dxfId="326" priority="437"/>
  </conditionalFormatting>
  <conditionalFormatting sqref="B110:B115 B94:B108 B117:B118 B120:B1048576 B79:B92 B14:B55 B1:B11">
    <cfRule type="duplicateValues" dxfId="325" priority="517"/>
  </conditionalFormatting>
  <conditionalFormatting sqref="B116">
    <cfRule type="duplicateValues" dxfId="324" priority="309"/>
  </conditionalFormatting>
  <conditionalFormatting sqref="B119">
    <cfRule type="duplicateValues" dxfId="323" priority="299"/>
  </conditionalFormatting>
  <conditionalFormatting sqref="J1:J9 J11:J15 J17:J19 J21:J22 J24 J26:J30 J32:J35 J37:J39 J41:J48 J56:J58 J50 J54 J52 J79:J1048576">
    <cfRule type="containsText" dxfId="322" priority="147" operator="containsText" text="합">
      <formula>NOT(ISERROR(SEARCH("합",J1)))</formula>
    </cfRule>
  </conditionalFormatting>
  <conditionalFormatting sqref="L6">
    <cfRule type="duplicateValues" dxfId="321" priority="224"/>
  </conditionalFormatting>
  <conditionalFormatting sqref="L11">
    <cfRule type="duplicateValues" dxfId="320" priority="417"/>
  </conditionalFormatting>
  <conditionalFormatting sqref="L12">
    <cfRule type="duplicateValues" dxfId="319" priority="216"/>
  </conditionalFormatting>
  <conditionalFormatting sqref="L13">
    <cfRule type="duplicateValues" dxfId="318" priority="425"/>
  </conditionalFormatting>
  <conditionalFormatting sqref="L17">
    <cfRule type="duplicateValues" dxfId="317" priority="409"/>
  </conditionalFormatting>
  <conditionalFormatting sqref="L18">
    <cfRule type="duplicateValues" dxfId="316" priority="513"/>
  </conditionalFormatting>
  <conditionalFormatting sqref="L24">
    <cfRule type="duplicateValues" dxfId="315" priority="505"/>
  </conditionalFormatting>
  <conditionalFormatting sqref="L27">
    <cfRule type="duplicateValues" dxfId="314" priority="207"/>
  </conditionalFormatting>
  <conditionalFormatting sqref="L29">
    <cfRule type="duplicateValues" dxfId="313" priority="199"/>
  </conditionalFormatting>
  <conditionalFormatting sqref="L37">
    <cfRule type="duplicateValues" dxfId="312" priority="191"/>
  </conditionalFormatting>
  <conditionalFormatting sqref="L38:L39">
    <cfRule type="duplicateValues" dxfId="311" priority="497"/>
  </conditionalFormatting>
  <conditionalFormatting sqref="L41">
    <cfRule type="duplicateValues" dxfId="310" priority="400"/>
  </conditionalFormatting>
  <conditionalFormatting sqref="L43:L44">
    <cfRule type="duplicateValues" dxfId="309" priority="393"/>
  </conditionalFormatting>
  <conditionalFormatting sqref="L45">
    <cfRule type="duplicateValues" dxfId="308" priority="182"/>
  </conditionalFormatting>
  <conditionalFormatting sqref="L46">
    <cfRule type="duplicateValues" dxfId="307" priority="489"/>
  </conditionalFormatting>
  <conditionalFormatting sqref="L47">
    <cfRule type="duplicateValues" dxfId="306" priority="174"/>
  </conditionalFormatting>
  <conditionalFormatting sqref="L54">
    <cfRule type="duplicateValues" dxfId="305" priority="481"/>
  </conditionalFormatting>
  <conditionalFormatting sqref="L56">
    <cfRule type="duplicateValues" dxfId="304" priority="384"/>
  </conditionalFormatting>
  <conditionalFormatting sqref="L58">
    <cfRule type="duplicateValues" dxfId="303" priority="167"/>
  </conditionalFormatting>
  <conditionalFormatting sqref="L87">
    <cfRule type="duplicateValues" dxfId="295" priority="465"/>
  </conditionalFormatting>
  <conditionalFormatting sqref="L91">
    <cfRule type="duplicateValues" dxfId="294" priority="457"/>
  </conditionalFormatting>
  <conditionalFormatting sqref="L93">
    <cfRule type="duplicateValues" dxfId="293" priority="345"/>
  </conditionalFormatting>
  <conditionalFormatting sqref="L94">
    <cfRule type="duplicateValues" dxfId="292" priority="449"/>
  </conditionalFormatting>
  <conditionalFormatting sqref="L98">
    <cfRule type="duplicateValues" dxfId="291" priority="337"/>
  </conditionalFormatting>
  <conditionalFormatting sqref="L106">
    <cfRule type="duplicateValues" dxfId="290" priority="329"/>
  </conditionalFormatting>
  <conditionalFormatting sqref="L108">
    <cfRule type="duplicateValues" dxfId="289" priority="321"/>
  </conditionalFormatting>
  <conditionalFormatting sqref="L109">
    <cfRule type="duplicateValues" dxfId="288" priority="441"/>
  </conditionalFormatting>
  <conditionalFormatting sqref="L116">
    <cfRule type="duplicateValues" dxfId="287" priority="313"/>
  </conditionalFormatting>
  <conditionalFormatting sqref="L119">
    <cfRule type="duplicateValues" dxfId="286" priority="305"/>
  </conditionalFormatting>
  <conditionalFormatting sqref="L123">
    <cfRule type="duplicateValues" dxfId="285" priority="296"/>
  </conditionalFormatting>
  <conditionalFormatting sqref="L125:L129">
    <cfRule type="duplicateValues" dxfId="284" priority="433"/>
  </conditionalFormatting>
  <conditionalFormatting sqref="L135">
    <cfRule type="duplicateValues" dxfId="283" priority="280"/>
  </conditionalFormatting>
  <conditionalFormatting sqref="L139">
    <cfRule type="duplicateValues" dxfId="282" priority="272"/>
  </conditionalFormatting>
  <conditionalFormatting sqref="L144">
    <cfRule type="duplicateValues" dxfId="281" priority="264"/>
  </conditionalFormatting>
  <conditionalFormatting sqref="L151">
    <cfRule type="duplicateValues" dxfId="280" priority="256"/>
  </conditionalFormatting>
  <conditionalFormatting sqref="L155">
    <cfRule type="duplicateValues" dxfId="279" priority="248"/>
  </conditionalFormatting>
  <conditionalFormatting sqref="L158">
    <cfRule type="duplicateValues" dxfId="278" priority="240"/>
  </conditionalFormatting>
  <conditionalFormatting sqref="L159 L145:L150 L130:L134 L92 L88:L90 L26 L19 L1:L5 L42 L48 L57 L95:L97 L110:L115 L14:L15 L79:L86 L99:L105 L107 L117:L118 L120:L122 L124 L136:L138 L140:L143 L152:L154 L156:L157 L161:L1048576 L7:L9 L28 L30 L21:L22 L32:L35 L50 L52">
    <cfRule type="duplicateValues" dxfId="277" priority="521"/>
  </conditionalFormatting>
  <conditionalFormatting sqref="L160">
    <cfRule type="duplicateValues" dxfId="276" priority="232"/>
  </conditionalFormatting>
  <conditionalFormatting sqref="M6">
    <cfRule type="duplicateValues" dxfId="275" priority="223"/>
  </conditionalFormatting>
  <conditionalFormatting sqref="M11">
    <cfRule type="duplicateValues" dxfId="274" priority="416"/>
  </conditionalFormatting>
  <conditionalFormatting sqref="M12">
    <cfRule type="duplicateValues" dxfId="273" priority="215"/>
  </conditionalFormatting>
  <conditionalFormatting sqref="M13">
    <cfRule type="duplicateValues" dxfId="272" priority="424"/>
  </conditionalFormatting>
  <conditionalFormatting sqref="M17">
    <cfRule type="duplicateValues" dxfId="271" priority="408"/>
  </conditionalFormatting>
  <conditionalFormatting sqref="M18">
    <cfRule type="duplicateValues" dxfId="270" priority="512"/>
  </conditionalFormatting>
  <conditionalFormatting sqref="M24">
    <cfRule type="duplicateValues" dxfId="269" priority="504"/>
  </conditionalFormatting>
  <conditionalFormatting sqref="M27">
    <cfRule type="duplicateValues" dxfId="268" priority="206"/>
  </conditionalFormatting>
  <conditionalFormatting sqref="M29">
    <cfRule type="duplicateValues" dxfId="267" priority="198"/>
  </conditionalFormatting>
  <conditionalFormatting sqref="M37">
    <cfRule type="duplicateValues" dxfId="266" priority="190"/>
  </conditionalFormatting>
  <conditionalFormatting sqref="M38:M39">
    <cfRule type="duplicateValues" dxfId="265" priority="496"/>
  </conditionalFormatting>
  <conditionalFormatting sqref="M41">
    <cfRule type="duplicateValues" dxfId="264" priority="399"/>
  </conditionalFormatting>
  <conditionalFormatting sqref="M43:M44">
    <cfRule type="duplicateValues" dxfId="263" priority="392"/>
  </conditionalFormatting>
  <conditionalFormatting sqref="M45">
    <cfRule type="duplicateValues" dxfId="262" priority="181"/>
  </conditionalFormatting>
  <conditionalFormatting sqref="M46">
    <cfRule type="duplicateValues" dxfId="261" priority="488"/>
  </conditionalFormatting>
  <conditionalFormatting sqref="M47">
    <cfRule type="duplicateValues" dxfId="260" priority="173"/>
  </conditionalFormatting>
  <conditionalFormatting sqref="M54">
    <cfRule type="duplicateValues" dxfId="259" priority="480"/>
  </conditionalFormatting>
  <conditionalFormatting sqref="M56">
    <cfRule type="duplicateValues" dxfId="258" priority="383"/>
  </conditionalFormatting>
  <conditionalFormatting sqref="M58">
    <cfRule type="duplicateValues" dxfId="257" priority="166"/>
  </conditionalFormatting>
  <conditionalFormatting sqref="M87">
    <cfRule type="duplicateValues" dxfId="249" priority="464"/>
  </conditionalFormatting>
  <conditionalFormatting sqref="M91">
    <cfRule type="duplicateValues" dxfId="248" priority="456"/>
  </conditionalFormatting>
  <conditionalFormatting sqref="M93">
    <cfRule type="duplicateValues" dxfId="247" priority="344"/>
  </conditionalFormatting>
  <conditionalFormatting sqref="M94">
    <cfRule type="duplicateValues" dxfId="246" priority="448"/>
  </conditionalFormatting>
  <conditionalFormatting sqref="M98">
    <cfRule type="duplicateValues" dxfId="245" priority="336"/>
  </conditionalFormatting>
  <conditionalFormatting sqref="M106">
    <cfRule type="duplicateValues" dxfId="244" priority="328"/>
  </conditionalFormatting>
  <conditionalFormatting sqref="M108">
    <cfRule type="duplicateValues" dxfId="243" priority="320"/>
  </conditionalFormatting>
  <conditionalFormatting sqref="M109">
    <cfRule type="duplicateValues" dxfId="242" priority="440"/>
  </conditionalFormatting>
  <conditionalFormatting sqref="M116">
    <cfRule type="duplicateValues" dxfId="241" priority="312"/>
  </conditionalFormatting>
  <conditionalFormatting sqref="M119">
    <cfRule type="duplicateValues" dxfId="240" priority="304"/>
  </conditionalFormatting>
  <conditionalFormatting sqref="M123">
    <cfRule type="duplicateValues" dxfId="239" priority="295"/>
  </conditionalFormatting>
  <conditionalFormatting sqref="M125:M129">
    <cfRule type="duplicateValues" dxfId="238" priority="432"/>
  </conditionalFormatting>
  <conditionalFormatting sqref="M135">
    <cfRule type="duplicateValues" dxfId="237" priority="279"/>
  </conditionalFormatting>
  <conditionalFormatting sqref="M139">
    <cfRule type="duplicateValues" dxfId="236" priority="271"/>
  </conditionalFormatting>
  <conditionalFormatting sqref="M144">
    <cfRule type="duplicateValues" dxfId="235" priority="263"/>
  </conditionalFormatting>
  <conditionalFormatting sqref="M151">
    <cfRule type="duplicateValues" dxfId="234" priority="255"/>
  </conditionalFormatting>
  <conditionalFormatting sqref="M155">
    <cfRule type="duplicateValues" dxfId="233" priority="247"/>
  </conditionalFormatting>
  <conditionalFormatting sqref="M158">
    <cfRule type="duplicateValues" dxfId="232" priority="239"/>
  </conditionalFormatting>
  <conditionalFormatting sqref="M159 M145:M150 M130:M134 M92 M88:M90 M26 M19 M1:M5 M42 M48 M57 M95:M97 M110:M115 M14:M15 M79:M86 M99:M105 M107 M117:M118 M120:M122 M124 M136:M138 M140:M143 M152:M154 M156:M157 M161:M1048576 M7:M9 M28 M30 M21:M22 M32:M35 M50 M52">
    <cfRule type="duplicateValues" dxfId="231" priority="520"/>
  </conditionalFormatting>
  <conditionalFormatting sqref="M160">
    <cfRule type="duplicateValues" dxfId="230" priority="231"/>
  </conditionalFormatting>
  <conditionalFormatting sqref="N6:O6">
    <cfRule type="duplicateValues" dxfId="228" priority="226"/>
  </conditionalFormatting>
  <conditionalFormatting sqref="N11:O11">
    <cfRule type="duplicateValues" dxfId="227" priority="419"/>
  </conditionalFormatting>
  <conditionalFormatting sqref="N12:O12">
    <cfRule type="duplicateValues" dxfId="226" priority="218"/>
  </conditionalFormatting>
  <conditionalFormatting sqref="N13:O13">
    <cfRule type="duplicateValues" dxfId="225" priority="427"/>
  </conditionalFormatting>
  <conditionalFormatting sqref="N17:O17">
    <cfRule type="duplicateValues" dxfId="224" priority="411"/>
  </conditionalFormatting>
  <conditionalFormatting sqref="N18:O18">
    <cfRule type="duplicateValues" dxfId="223" priority="515"/>
  </conditionalFormatting>
  <conditionalFormatting sqref="N24:O24">
    <cfRule type="duplicateValues" dxfId="222" priority="507"/>
  </conditionalFormatting>
  <conditionalFormatting sqref="N27:O27">
    <cfRule type="duplicateValues" dxfId="221" priority="209"/>
  </conditionalFormatting>
  <conditionalFormatting sqref="N29:O29">
    <cfRule type="duplicateValues" dxfId="220" priority="201"/>
  </conditionalFormatting>
  <conditionalFormatting sqref="N37:O37">
    <cfRule type="duplicateValues" dxfId="219" priority="193"/>
  </conditionalFormatting>
  <conditionalFormatting sqref="N38:O39">
    <cfRule type="duplicateValues" dxfId="218" priority="499"/>
  </conditionalFormatting>
  <conditionalFormatting sqref="N41:O41">
    <cfRule type="duplicateValues" dxfId="217" priority="402"/>
  </conditionalFormatting>
  <conditionalFormatting sqref="N43:O44">
    <cfRule type="duplicateValues" dxfId="216" priority="395"/>
  </conditionalFormatting>
  <conditionalFormatting sqref="N45:O45">
    <cfRule type="duplicateValues" dxfId="215" priority="184"/>
  </conditionalFormatting>
  <conditionalFormatting sqref="N46:O46">
    <cfRule type="duplicateValues" dxfId="214" priority="491"/>
  </conditionalFormatting>
  <conditionalFormatting sqref="N47:O47">
    <cfRule type="duplicateValues" dxfId="213" priority="176"/>
  </conditionalFormatting>
  <conditionalFormatting sqref="N54:O54">
    <cfRule type="duplicateValues" dxfId="212" priority="483"/>
  </conditionalFormatting>
  <conditionalFormatting sqref="N56:O56">
    <cfRule type="duplicateValues" dxfId="211" priority="386"/>
  </conditionalFormatting>
  <conditionalFormatting sqref="N58:O58">
    <cfRule type="duplicateValues" dxfId="210" priority="169"/>
  </conditionalFormatting>
  <conditionalFormatting sqref="N87:O87">
    <cfRule type="duplicateValues" dxfId="203" priority="467"/>
  </conditionalFormatting>
  <conditionalFormatting sqref="N91:O91">
    <cfRule type="duplicateValues" dxfId="202" priority="459"/>
  </conditionalFormatting>
  <conditionalFormatting sqref="N93:O93">
    <cfRule type="duplicateValues" dxfId="201" priority="347"/>
  </conditionalFormatting>
  <conditionalFormatting sqref="N94:O94">
    <cfRule type="duplicateValues" dxfId="200" priority="451"/>
  </conditionalFormatting>
  <conditionalFormatting sqref="N98:O98">
    <cfRule type="duplicateValues" dxfId="199" priority="339"/>
  </conditionalFormatting>
  <conditionalFormatting sqref="N106:O106">
    <cfRule type="duplicateValues" dxfId="198" priority="331"/>
  </conditionalFormatting>
  <conditionalFormatting sqref="N108:O108">
    <cfRule type="duplicateValues" dxfId="197" priority="323"/>
  </conditionalFormatting>
  <conditionalFormatting sqref="N109:O109">
    <cfRule type="duplicateValues" dxfId="196" priority="443"/>
  </conditionalFormatting>
  <conditionalFormatting sqref="N116:O116">
    <cfRule type="duplicateValues" dxfId="195" priority="315"/>
  </conditionalFormatting>
  <conditionalFormatting sqref="N119:O119">
    <cfRule type="duplicateValues" dxfId="194" priority="307"/>
  </conditionalFormatting>
  <conditionalFormatting sqref="N123:O123">
    <cfRule type="duplicateValues" dxfId="193" priority="298"/>
  </conditionalFormatting>
  <conditionalFormatting sqref="N125:O129">
    <cfRule type="duplicateValues" dxfId="192" priority="435"/>
  </conditionalFormatting>
  <conditionalFormatting sqref="N135:O135">
    <cfRule type="duplicateValues" dxfId="191" priority="282"/>
  </conditionalFormatting>
  <conditionalFormatting sqref="N139:O139">
    <cfRule type="duplicateValues" dxfId="190" priority="274"/>
  </conditionalFormatting>
  <conditionalFormatting sqref="N144:O144">
    <cfRule type="duplicateValues" dxfId="189" priority="266"/>
  </conditionalFormatting>
  <conditionalFormatting sqref="N151:O151">
    <cfRule type="duplicateValues" dxfId="188" priority="258"/>
  </conditionalFormatting>
  <conditionalFormatting sqref="N155:O155">
    <cfRule type="duplicateValues" dxfId="187" priority="250"/>
  </conditionalFormatting>
  <conditionalFormatting sqref="N158:O158">
    <cfRule type="duplicateValues" dxfId="186" priority="242"/>
  </conditionalFormatting>
  <conditionalFormatting sqref="N159:O159 N145:O150 N130:O134 N92:O92 N88:O90 N26:O26 N19:O19 N1:O5 N42:O42 N48:O48 N57:O57 N95:O97 N110:O115 N14:O15 N79:O86 N99:O105 N107:O107 N117:O118 N120:O122 N124:O124 N136:O138 N140:O143 N152:O154 N156:O157 N161:O1048576 N7:O9 N28:O28 N30:O30 N21:O22 N32:O35 N50:O50 N52:O52">
    <cfRule type="duplicateValues" dxfId="185" priority="523"/>
  </conditionalFormatting>
  <conditionalFormatting sqref="N160:O160">
    <cfRule type="duplicateValues" dxfId="184" priority="234"/>
  </conditionalFormatting>
  <conditionalFormatting sqref="O1:O9 O11:O15 O17:O19 O21:O22 O24 O26:O30 O32:O35 O37:O39 O41:O48 O56:O58 O50 O54 O52 O79:O1048576">
    <cfRule type="containsText" dxfId="183" priority="145" operator="containsText" text="제주특별자치도">
      <formula>NOT(ISERROR(SEARCH("제주특별자치도",O1)))</formula>
    </cfRule>
  </conditionalFormatting>
  <conditionalFormatting sqref="P6">
    <cfRule type="duplicateValues" dxfId="181" priority="222"/>
  </conditionalFormatting>
  <conditionalFormatting sqref="P11">
    <cfRule type="duplicateValues" dxfId="180" priority="415"/>
  </conditionalFormatting>
  <conditionalFormatting sqref="P12">
    <cfRule type="duplicateValues" dxfId="179" priority="214"/>
  </conditionalFormatting>
  <conditionalFormatting sqref="P13">
    <cfRule type="duplicateValues" dxfId="178" priority="423"/>
  </conditionalFormatting>
  <conditionalFormatting sqref="P17">
    <cfRule type="duplicateValues" dxfId="177" priority="407"/>
  </conditionalFormatting>
  <conditionalFormatting sqref="P18">
    <cfRule type="duplicateValues" dxfId="176" priority="511"/>
  </conditionalFormatting>
  <conditionalFormatting sqref="P24">
    <cfRule type="duplicateValues" dxfId="175" priority="503"/>
  </conditionalFormatting>
  <conditionalFormatting sqref="P27">
    <cfRule type="duplicateValues" dxfId="174" priority="205"/>
  </conditionalFormatting>
  <conditionalFormatting sqref="P29">
    <cfRule type="duplicateValues" dxfId="173" priority="197"/>
  </conditionalFormatting>
  <conditionalFormatting sqref="P37">
    <cfRule type="duplicateValues" dxfId="172" priority="189"/>
  </conditionalFormatting>
  <conditionalFormatting sqref="P38:P39">
    <cfRule type="duplicateValues" dxfId="171" priority="495"/>
  </conditionalFormatting>
  <conditionalFormatting sqref="P41">
    <cfRule type="duplicateValues" dxfId="170" priority="398"/>
  </conditionalFormatting>
  <conditionalFormatting sqref="P43:P44">
    <cfRule type="duplicateValues" dxfId="169" priority="391"/>
  </conditionalFormatting>
  <conditionalFormatting sqref="P45">
    <cfRule type="duplicateValues" dxfId="168" priority="180"/>
  </conditionalFormatting>
  <conditionalFormatting sqref="P46">
    <cfRule type="duplicateValues" dxfId="167" priority="487"/>
  </conditionalFormatting>
  <conditionalFormatting sqref="P47">
    <cfRule type="duplicateValues" dxfId="166" priority="172"/>
  </conditionalFormatting>
  <conditionalFormatting sqref="P54">
    <cfRule type="duplicateValues" dxfId="165" priority="479"/>
  </conditionalFormatting>
  <conditionalFormatting sqref="P56">
    <cfRule type="duplicateValues" dxfId="164" priority="382"/>
  </conditionalFormatting>
  <conditionalFormatting sqref="P58">
    <cfRule type="duplicateValues" dxfId="163" priority="165"/>
  </conditionalFormatting>
  <conditionalFormatting sqref="P87">
    <cfRule type="duplicateValues" dxfId="156" priority="463"/>
  </conditionalFormatting>
  <conditionalFormatting sqref="P91">
    <cfRule type="duplicateValues" dxfId="155" priority="455"/>
  </conditionalFormatting>
  <conditionalFormatting sqref="P93">
    <cfRule type="duplicateValues" dxfId="154" priority="343"/>
  </conditionalFormatting>
  <conditionalFormatting sqref="P94">
    <cfRule type="duplicateValues" dxfId="153" priority="447"/>
  </conditionalFormatting>
  <conditionalFormatting sqref="P98">
    <cfRule type="duplicateValues" dxfId="152" priority="335"/>
  </conditionalFormatting>
  <conditionalFormatting sqref="P106">
    <cfRule type="duplicateValues" dxfId="151" priority="327"/>
  </conditionalFormatting>
  <conditionalFormatting sqref="P108">
    <cfRule type="duplicateValues" dxfId="150" priority="319"/>
  </conditionalFormatting>
  <conditionalFormatting sqref="P109">
    <cfRule type="duplicateValues" dxfId="149" priority="439"/>
  </conditionalFormatting>
  <conditionalFormatting sqref="P116">
    <cfRule type="duplicateValues" dxfId="148" priority="311"/>
  </conditionalFormatting>
  <conditionalFormatting sqref="P119">
    <cfRule type="duplicateValues" dxfId="147" priority="303"/>
  </conditionalFormatting>
  <conditionalFormatting sqref="P123">
    <cfRule type="duplicateValues" dxfId="146" priority="294"/>
  </conditionalFormatting>
  <conditionalFormatting sqref="P125:P129">
    <cfRule type="duplicateValues" dxfId="145" priority="431"/>
  </conditionalFormatting>
  <conditionalFormatting sqref="P135">
    <cfRule type="duplicateValues" dxfId="144" priority="278"/>
  </conditionalFormatting>
  <conditionalFormatting sqref="P139">
    <cfRule type="duplicateValues" dxfId="143" priority="270"/>
  </conditionalFormatting>
  <conditionalFormatting sqref="P144">
    <cfRule type="duplicateValues" dxfId="142" priority="262"/>
  </conditionalFormatting>
  <conditionalFormatting sqref="P151">
    <cfRule type="duplicateValues" dxfId="141" priority="254"/>
  </conditionalFormatting>
  <conditionalFormatting sqref="P155">
    <cfRule type="duplicateValues" dxfId="140" priority="246"/>
  </conditionalFormatting>
  <conditionalFormatting sqref="P158">
    <cfRule type="duplicateValues" dxfId="139" priority="238"/>
  </conditionalFormatting>
  <conditionalFormatting sqref="P159 P145:P150 P130:P134 P92 P88:P90 P26 P19 P1:P5 P42 P48 P57 P95:P97 P110:P115 P14:P15 P79:P86 P99:P105 P107 P117:P118 P120:P122 P124 P136:P138 P140:P143 P152:P154 P156:P157 P161:P1048576 P7:P9 P28 P30 P21:P22 P32:P35 P50 P52">
    <cfRule type="duplicateValues" dxfId="138" priority="519"/>
  </conditionalFormatting>
  <conditionalFormatting sqref="P160">
    <cfRule type="duplicateValues" dxfId="137" priority="230"/>
  </conditionalFormatting>
  <conditionalFormatting sqref="Q1:Q9 Q11:Q15 Q17:Q19 Q21:Q22 Q24 Q26:Q30 Q32:Q35 Q37:Q39 Q41:Q48 Q56:Q58 Q50 Q54 Q52 Q79:Q1048576">
    <cfRule type="cellIs" dxfId="136" priority="151" operator="greaterThan">
      <formula>95000</formula>
    </cfRule>
  </conditionalFormatting>
  <conditionalFormatting sqref="J10">
    <cfRule type="containsText" dxfId="135" priority="138" operator="containsText" text="합">
      <formula>NOT(ISERROR(SEARCH("합",J10)))</formula>
    </cfRule>
  </conditionalFormatting>
  <conditionalFormatting sqref="L10">
    <cfRule type="duplicateValues" dxfId="134" priority="143"/>
  </conditionalFormatting>
  <conditionalFormatting sqref="M10">
    <cfRule type="duplicateValues" dxfId="133" priority="142"/>
  </conditionalFormatting>
  <conditionalFormatting sqref="N10:O10">
    <cfRule type="duplicateValues" dxfId="132" priority="144"/>
  </conditionalFormatting>
  <conditionalFormatting sqref="O10">
    <cfRule type="containsText" dxfId="131" priority="137" operator="containsText" text="제주특별자치도">
      <formula>NOT(ISERROR(SEARCH("제주특별자치도",O10)))</formula>
    </cfRule>
  </conditionalFormatting>
  <conditionalFormatting sqref="P10">
    <cfRule type="duplicateValues" dxfId="130" priority="141"/>
  </conditionalFormatting>
  <conditionalFormatting sqref="Q10">
    <cfRule type="cellIs" dxfId="129" priority="139" operator="greaterThan">
      <formula>95000</formula>
    </cfRule>
  </conditionalFormatting>
  <conditionalFormatting sqref="B12">
    <cfRule type="duplicateValues" dxfId="128" priority="136"/>
  </conditionalFormatting>
  <conditionalFormatting sqref="J16">
    <cfRule type="containsText" dxfId="127" priority="129" operator="containsText" text="합">
      <formula>NOT(ISERROR(SEARCH("합",J16)))</formula>
    </cfRule>
  </conditionalFormatting>
  <conditionalFormatting sqref="L16">
    <cfRule type="duplicateValues" dxfId="126" priority="134"/>
  </conditionalFormatting>
  <conditionalFormatting sqref="M16">
    <cfRule type="duplicateValues" dxfId="125" priority="133"/>
  </conditionalFormatting>
  <conditionalFormatting sqref="N16:O16">
    <cfRule type="duplicateValues" dxfId="124" priority="135"/>
  </conditionalFormatting>
  <conditionalFormatting sqref="O16">
    <cfRule type="containsText" dxfId="123" priority="128" operator="containsText" text="제주특별자치도">
      <formula>NOT(ISERROR(SEARCH("제주특별자치도",O16)))</formula>
    </cfRule>
  </conditionalFormatting>
  <conditionalFormatting sqref="P16">
    <cfRule type="duplicateValues" dxfId="122" priority="132"/>
  </conditionalFormatting>
  <conditionalFormatting sqref="Q16">
    <cfRule type="cellIs" dxfId="121" priority="130" operator="greaterThan">
      <formula>95000</formula>
    </cfRule>
  </conditionalFormatting>
  <conditionalFormatting sqref="J20">
    <cfRule type="containsText" dxfId="120" priority="121" operator="containsText" text="합">
      <formula>NOT(ISERROR(SEARCH("합",J20)))</formula>
    </cfRule>
  </conditionalFormatting>
  <conditionalFormatting sqref="L20">
    <cfRule type="duplicateValues" dxfId="119" priority="126"/>
  </conditionalFormatting>
  <conditionalFormatting sqref="M20">
    <cfRule type="duplicateValues" dxfId="118" priority="125"/>
  </conditionalFormatting>
  <conditionalFormatting sqref="N20:O20">
    <cfRule type="duplicateValues" dxfId="117" priority="127"/>
  </conditionalFormatting>
  <conditionalFormatting sqref="O20">
    <cfRule type="containsText" dxfId="116" priority="120" operator="containsText" text="제주특별자치도">
      <formula>NOT(ISERROR(SEARCH("제주특별자치도",O20)))</formula>
    </cfRule>
  </conditionalFormatting>
  <conditionalFormatting sqref="P20">
    <cfRule type="duplicateValues" dxfId="115" priority="124"/>
  </conditionalFormatting>
  <conditionalFormatting sqref="Q20">
    <cfRule type="cellIs" dxfId="114" priority="122" operator="greaterThan">
      <formula>95000</formula>
    </cfRule>
  </conditionalFormatting>
  <conditionalFormatting sqref="J23">
    <cfRule type="containsText" dxfId="113" priority="113" operator="containsText" text="합">
      <formula>NOT(ISERROR(SEARCH("합",J23)))</formula>
    </cfRule>
  </conditionalFormatting>
  <conditionalFormatting sqref="L23">
    <cfRule type="duplicateValues" dxfId="112" priority="118"/>
  </conditionalFormatting>
  <conditionalFormatting sqref="M23">
    <cfRule type="duplicateValues" dxfId="111" priority="117"/>
  </conditionalFormatting>
  <conditionalFormatting sqref="N23:O23">
    <cfRule type="duplicateValues" dxfId="110" priority="119"/>
  </conditionalFormatting>
  <conditionalFormatting sqref="O23">
    <cfRule type="containsText" dxfId="109" priority="112" operator="containsText" text="제주특별자치도">
      <formula>NOT(ISERROR(SEARCH("제주특별자치도",O23)))</formula>
    </cfRule>
  </conditionalFormatting>
  <conditionalFormatting sqref="P23">
    <cfRule type="duplicateValues" dxfId="108" priority="116"/>
  </conditionalFormatting>
  <conditionalFormatting sqref="Q23">
    <cfRule type="cellIs" dxfId="107" priority="114" operator="greaterThan">
      <formula>95000</formula>
    </cfRule>
  </conditionalFormatting>
  <conditionalFormatting sqref="J25">
    <cfRule type="containsText" dxfId="106" priority="105" operator="containsText" text="합">
      <formula>NOT(ISERROR(SEARCH("합",J25)))</formula>
    </cfRule>
  </conditionalFormatting>
  <conditionalFormatting sqref="L25">
    <cfRule type="duplicateValues" dxfId="105" priority="109"/>
  </conditionalFormatting>
  <conditionalFormatting sqref="M25">
    <cfRule type="duplicateValues" dxfId="104" priority="108"/>
  </conditionalFormatting>
  <conditionalFormatting sqref="N25:O25">
    <cfRule type="duplicateValues" dxfId="103" priority="110"/>
  </conditionalFormatting>
  <conditionalFormatting sqref="O25">
    <cfRule type="containsText" dxfId="102" priority="104" operator="containsText" text="제주특별자치도">
      <formula>NOT(ISERROR(SEARCH("제주특별자치도",O25)))</formula>
    </cfRule>
  </conditionalFormatting>
  <conditionalFormatting sqref="P25">
    <cfRule type="duplicateValues" dxfId="101" priority="107"/>
  </conditionalFormatting>
  <conditionalFormatting sqref="Q25">
    <cfRule type="cellIs" dxfId="100" priority="106" operator="greaterThan">
      <formula>95000</formula>
    </cfRule>
  </conditionalFormatting>
  <conditionalFormatting sqref="J31">
    <cfRule type="containsText" dxfId="99" priority="97" operator="containsText" text="합">
      <formula>NOT(ISERROR(SEARCH("합",J31)))</formula>
    </cfRule>
  </conditionalFormatting>
  <conditionalFormatting sqref="L31">
    <cfRule type="duplicateValues" dxfId="98" priority="102"/>
  </conditionalFormatting>
  <conditionalFormatting sqref="M31">
    <cfRule type="duplicateValues" dxfId="97" priority="101"/>
  </conditionalFormatting>
  <conditionalFormatting sqref="N31:O31">
    <cfRule type="duplicateValues" dxfId="96" priority="103"/>
  </conditionalFormatting>
  <conditionalFormatting sqref="O31">
    <cfRule type="containsText" dxfId="95" priority="96" operator="containsText" text="제주특별자치도">
      <formula>NOT(ISERROR(SEARCH("제주특별자치도",O31)))</formula>
    </cfRule>
  </conditionalFormatting>
  <conditionalFormatting sqref="P31">
    <cfRule type="duplicateValues" dxfId="94" priority="100"/>
  </conditionalFormatting>
  <conditionalFormatting sqref="Q31">
    <cfRule type="cellIs" dxfId="93" priority="98" operator="greaterThan">
      <formula>95000</formula>
    </cfRule>
  </conditionalFormatting>
  <conditionalFormatting sqref="J36">
    <cfRule type="containsText" dxfId="92" priority="89" operator="containsText" text="합">
      <formula>NOT(ISERROR(SEARCH("합",J36)))</formula>
    </cfRule>
  </conditionalFormatting>
  <conditionalFormatting sqref="L36">
    <cfRule type="duplicateValues" dxfId="91" priority="94"/>
  </conditionalFormatting>
  <conditionalFormatting sqref="M36">
    <cfRule type="duplicateValues" dxfId="90" priority="93"/>
  </conditionalFormatting>
  <conditionalFormatting sqref="N36:O36">
    <cfRule type="duplicateValues" dxfId="89" priority="95"/>
  </conditionalFormatting>
  <conditionalFormatting sqref="O36">
    <cfRule type="containsText" dxfId="88" priority="88" operator="containsText" text="제주특별자치도">
      <formula>NOT(ISERROR(SEARCH("제주특별자치도",O36)))</formula>
    </cfRule>
  </conditionalFormatting>
  <conditionalFormatting sqref="P36">
    <cfRule type="duplicateValues" dxfId="87" priority="92"/>
  </conditionalFormatting>
  <conditionalFormatting sqref="Q36">
    <cfRule type="cellIs" dxfId="86" priority="90" operator="greaterThan">
      <formula>95000</formula>
    </cfRule>
  </conditionalFormatting>
  <conditionalFormatting sqref="J40">
    <cfRule type="containsText" dxfId="85" priority="81" operator="containsText" text="합">
      <formula>NOT(ISERROR(SEARCH("합",J40)))</formula>
    </cfRule>
  </conditionalFormatting>
  <conditionalFormatting sqref="L40">
    <cfRule type="duplicateValues" dxfId="84" priority="85"/>
  </conditionalFormatting>
  <conditionalFormatting sqref="M40">
    <cfRule type="duplicateValues" dxfId="83" priority="84"/>
  </conditionalFormatting>
  <conditionalFormatting sqref="N40:O40">
    <cfRule type="duplicateValues" dxfId="82" priority="86"/>
  </conditionalFormatting>
  <conditionalFormatting sqref="O40">
    <cfRule type="containsText" dxfId="81" priority="80" operator="containsText" text="제주특별자치도">
      <formula>NOT(ISERROR(SEARCH("제주특별자치도",O40)))</formula>
    </cfRule>
  </conditionalFormatting>
  <conditionalFormatting sqref="P40">
    <cfRule type="duplicateValues" dxfId="80" priority="83"/>
  </conditionalFormatting>
  <conditionalFormatting sqref="Q40">
    <cfRule type="cellIs" dxfId="79" priority="82" operator="greaterThan">
      <formula>95000</formula>
    </cfRule>
  </conditionalFormatting>
  <conditionalFormatting sqref="J55">
    <cfRule type="containsText" dxfId="78" priority="73" operator="containsText" text="합">
      <formula>NOT(ISERROR(SEARCH("합",J55)))</formula>
    </cfRule>
  </conditionalFormatting>
  <conditionalFormatting sqref="L55">
    <cfRule type="duplicateValues" dxfId="77" priority="77"/>
  </conditionalFormatting>
  <conditionalFormatting sqref="M55">
    <cfRule type="duplicateValues" dxfId="76" priority="76"/>
  </conditionalFormatting>
  <conditionalFormatting sqref="N55:O55">
    <cfRule type="duplicateValues" dxfId="75" priority="78"/>
  </conditionalFormatting>
  <conditionalFormatting sqref="O55">
    <cfRule type="containsText" dxfId="74" priority="72" operator="containsText" text="제주특별자치도">
      <formula>NOT(ISERROR(SEARCH("제주특별자치도",O55)))</formula>
    </cfRule>
  </conditionalFormatting>
  <conditionalFormatting sqref="P55">
    <cfRule type="duplicateValues" dxfId="73" priority="75"/>
  </conditionalFormatting>
  <conditionalFormatting sqref="Q55">
    <cfRule type="cellIs" dxfId="72" priority="74" operator="greaterThan">
      <formula>95000</formula>
    </cfRule>
  </conditionalFormatting>
  <conditionalFormatting sqref="J49">
    <cfRule type="containsText" dxfId="70" priority="65" operator="containsText" text="합">
      <formula>NOT(ISERROR(SEARCH("합",J49)))</formula>
    </cfRule>
  </conditionalFormatting>
  <conditionalFormatting sqref="L49">
    <cfRule type="duplicateValues" dxfId="69" priority="70"/>
  </conditionalFormatting>
  <conditionalFormatting sqref="M49">
    <cfRule type="duplicateValues" dxfId="68" priority="69"/>
  </conditionalFormatting>
  <conditionalFormatting sqref="N49:O49">
    <cfRule type="duplicateValues" dxfId="67" priority="71"/>
  </conditionalFormatting>
  <conditionalFormatting sqref="O49">
    <cfRule type="containsText" dxfId="66" priority="64" operator="containsText" text="제주특별자치도">
      <formula>NOT(ISERROR(SEARCH("제주특별자치도",O49)))</formula>
    </cfRule>
  </conditionalFormatting>
  <conditionalFormatting sqref="P49">
    <cfRule type="duplicateValues" dxfId="65" priority="68"/>
  </conditionalFormatting>
  <conditionalFormatting sqref="Q49">
    <cfRule type="cellIs" dxfId="64" priority="66" operator="greaterThan">
      <formula>95000</formula>
    </cfRule>
  </conditionalFormatting>
  <conditionalFormatting sqref="J53">
    <cfRule type="containsText" dxfId="62" priority="57" operator="containsText" text="합">
      <formula>NOT(ISERROR(SEARCH("합",J53)))</formula>
    </cfRule>
  </conditionalFormatting>
  <conditionalFormatting sqref="L53">
    <cfRule type="duplicateValues" dxfId="61" priority="62"/>
  </conditionalFormatting>
  <conditionalFormatting sqref="M53">
    <cfRule type="duplicateValues" dxfId="60" priority="61"/>
  </conditionalFormatting>
  <conditionalFormatting sqref="N53:O53">
    <cfRule type="duplicateValues" dxfId="59" priority="63"/>
  </conditionalFormatting>
  <conditionalFormatting sqref="O53">
    <cfRule type="containsText" dxfId="58" priority="56" operator="containsText" text="제주특별자치도">
      <formula>NOT(ISERROR(SEARCH("제주특별자치도",O53)))</formula>
    </cfRule>
  </conditionalFormatting>
  <conditionalFormatting sqref="P53">
    <cfRule type="duplicateValues" dxfId="57" priority="60"/>
  </conditionalFormatting>
  <conditionalFormatting sqref="Q53">
    <cfRule type="cellIs" dxfId="56" priority="58" operator="greaterThan">
      <formula>95000</formula>
    </cfRule>
  </conditionalFormatting>
  <conditionalFormatting sqref="J51">
    <cfRule type="containsText" dxfId="54" priority="49" operator="containsText" text="합">
      <formula>NOT(ISERROR(SEARCH("합",J51)))</formula>
    </cfRule>
  </conditionalFormatting>
  <conditionalFormatting sqref="L51">
    <cfRule type="duplicateValues" dxfId="53" priority="54"/>
  </conditionalFormatting>
  <conditionalFormatting sqref="M51">
    <cfRule type="duplicateValues" dxfId="52" priority="53"/>
  </conditionalFormatting>
  <conditionalFormatting sqref="N51:O51">
    <cfRule type="duplicateValues" dxfId="51" priority="55"/>
  </conditionalFormatting>
  <conditionalFormatting sqref="O51">
    <cfRule type="containsText" dxfId="50" priority="48" operator="containsText" text="제주특별자치도">
      <formula>NOT(ISERROR(SEARCH("제주특별자치도",O51)))</formula>
    </cfRule>
  </conditionalFormatting>
  <conditionalFormatting sqref="P51">
    <cfRule type="duplicateValues" dxfId="49" priority="52"/>
  </conditionalFormatting>
  <conditionalFormatting sqref="Q51">
    <cfRule type="cellIs" dxfId="48" priority="50" operator="greaterThan">
      <formula>95000</formula>
    </cfRule>
  </conditionalFormatting>
  <conditionalFormatting sqref="B74:B75">
    <cfRule type="duplicateValues" dxfId="47" priority="34"/>
  </conditionalFormatting>
  <conditionalFormatting sqref="B76">
    <cfRule type="duplicateValues" dxfId="46" priority="25"/>
  </conditionalFormatting>
  <conditionalFormatting sqref="B77:B78 B59:B73">
    <cfRule type="duplicateValues" dxfId="45" priority="43"/>
  </conditionalFormatting>
  <conditionalFormatting sqref="J59:J61 J72:J78 J63:J67 J69:J70">
    <cfRule type="containsText" dxfId="44" priority="23" operator="containsText" text="합">
      <formula>NOT(ISERROR(SEARCH("합",J59)))</formula>
    </cfRule>
  </conditionalFormatting>
  <conditionalFormatting sqref="L69">
    <cfRule type="duplicateValues" dxfId="43" priority="32"/>
  </conditionalFormatting>
  <conditionalFormatting sqref="L74">
    <cfRule type="duplicateValues" dxfId="42" priority="37"/>
  </conditionalFormatting>
  <conditionalFormatting sqref="L75">
    <cfRule type="duplicateValues" dxfId="41" priority="28"/>
  </conditionalFormatting>
  <conditionalFormatting sqref="L76">
    <cfRule type="duplicateValues" dxfId="40" priority="41"/>
  </conditionalFormatting>
  <conditionalFormatting sqref="L59:L61 L77:L78 L70 L72:L73 L63:L67">
    <cfRule type="duplicateValues" dxfId="39" priority="46"/>
  </conditionalFormatting>
  <conditionalFormatting sqref="M69">
    <cfRule type="duplicateValues" dxfId="38" priority="31"/>
  </conditionalFormatting>
  <conditionalFormatting sqref="M74">
    <cfRule type="duplicateValues" dxfId="37" priority="36"/>
  </conditionalFormatting>
  <conditionalFormatting sqref="M75">
    <cfRule type="duplicateValues" dxfId="36" priority="27"/>
  </conditionalFormatting>
  <conditionalFormatting sqref="M76">
    <cfRule type="duplicateValues" dxfId="35" priority="40"/>
  </conditionalFormatting>
  <conditionalFormatting sqref="M59:M61 M77:M78 M70 M72:M73 M63:M67">
    <cfRule type="duplicateValues" dxfId="34" priority="45"/>
  </conditionalFormatting>
  <conditionalFormatting sqref="N69:O69">
    <cfRule type="duplicateValues" dxfId="33" priority="33"/>
  </conditionalFormatting>
  <conditionalFormatting sqref="N74:O74">
    <cfRule type="duplicateValues" dxfId="32" priority="38"/>
  </conditionalFormatting>
  <conditionalFormatting sqref="N75:O75">
    <cfRule type="duplicateValues" dxfId="31" priority="29"/>
  </conditionalFormatting>
  <conditionalFormatting sqref="N76:O76">
    <cfRule type="duplicateValues" dxfId="30" priority="42"/>
  </conditionalFormatting>
  <conditionalFormatting sqref="N59:O61 N77:O78 N70:O70 N72:O73 N63:O67">
    <cfRule type="duplicateValues" dxfId="29" priority="47"/>
  </conditionalFormatting>
  <conditionalFormatting sqref="O59:O61 O72:O78 O63:O67 O69:O70">
    <cfRule type="containsText" dxfId="28" priority="22" operator="containsText" text="제주특별자치도">
      <formula>NOT(ISERROR(SEARCH("제주특별자치도",O59)))</formula>
    </cfRule>
  </conditionalFormatting>
  <conditionalFormatting sqref="P69">
    <cfRule type="duplicateValues" dxfId="27" priority="30"/>
  </conditionalFormatting>
  <conditionalFormatting sqref="P74">
    <cfRule type="duplicateValues" dxfId="26" priority="35"/>
  </conditionalFormatting>
  <conditionalFormatting sqref="P75">
    <cfRule type="duplicateValues" dxfId="25" priority="26"/>
  </conditionalFormatting>
  <conditionalFormatting sqref="P76">
    <cfRule type="duplicateValues" dxfId="24" priority="39"/>
  </conditionalFormatting>
  <conditionalFormatting sqref="P59:P61 P77:P78 P70 P72:P73 P63:P67">
    <cfRule type="duplicateValues" dxfId="23" priority="44"/>
  </conditionalFormatting>
  <conditionalFormatting sqref="Q59:Q61 Q72:Q78 Q63:Q67 Q69:Q70">
    <cfRule type="cellIs" dxfId="22" priority="24" operator="greaterThan">
      <formula>95000</formula>
    </cfRule>
  </conditionalFormatting>
  <conditionalFormatting sqref="J71">
    <cfRule type="containsText" dxfId="21" priority="16" operator="containsText" text="합">
      <formula>NOT(ISERROR(SEARCH("합",J71)))</formula>
    </cfRule>
  </conditionalFormatting>
  <conditionalFormatting sqref="L71">
    <cfRule type="duplicateValues" dxfId="20" priority="20"/>
  </conditionalFormatting>
  <conditionalFormatting sqref="M71">
    <cfRule type="duplicateValues" dxfId="19" priority="19"/>
  </conditionalFormatting>
  <conditionalFormatting sqref="N71:O71">
    <cfRule type="duplicateValues" dxfId="18" priority="21"/>
  </conditionalFormatting>
  <conditionalFormatting sqref="O71">
    <cfRule type="containsText" dxfId="17" priority="15" operator="containsText" text="제주특별자치도">
      <formula>NOT(ISERROR(SEARCH("제주특별자치도",O71)))</formula>
    </cfRule>
  </conditionalFormatting>
  <conditionalFormatting sqref="P71">
    <cfRule type="duplicateValues" dxfId="16" priority="18"/>
  </conditionalFormatting>
  <conditionalFormatting sqref="Q71">
    <cfRule type="cellIs" dxfId="15" priority="17" operator="greaterThan">
      <formula>95000</formula>
    </cfRule>
  </conditionalFormatting>
  <conditionalFormatting sqref="J62">
    <cfRule type="containsText" dxfId="14" priority="9" operator="containsText" text="합">
      <formula>NOT(ISERROR(SEARCH("합",J62)))</formula>
    </cfRule>
  </conditionalFormatting>
  <conditionalFormatting sqref="L62">
    <cfRule type="duplicateValues" dxfId="13" priority="13"/>
  </conditionalFormatting>
  <conditionalFormatting sqref="M62">
    <cfRule type="duplicateValues" dxfId="12" priority="12"/>
  </conditionalFormatting>
  <conditionalFormatting sqref="N62:O62">
    <cfRule type="duplicateValues" dxfId="11" priority="14"/>
  </conditionalFormatting>
  <conditionalFormatting sqref="O62">
    <cfRule type="containsText" dxfId="10" priority="8" operator="containsText" text="제주특별자치도">
      <formula>NOT(ISERROR(SEARCH("제주특별자치도",O62)))</formula>
    </cfRule>
  </conditionalFormatting>
  <conditionalFormatting sqref="P62">
    <cfRule type="duplicateValues" dxfId="9" priority="11"/>
  </conditionalFormatting>
  <conditionalFormatting sqref="Q62">
    <cfRule type="cellIs" dxfId="8" priority="10" operator="greaterThan">
      <formula>95000</formula>
    </cfRule>
  </conditionalFormatting>
  <conditionalFormatting sqref="J68">
    <cfRule type="containsText" dxfId="7" priority="2" operator="containsText" text="합">
      <formula>NOT(ISERROR(SEARCH("합",J68)))</formula>
    </cfRule>
  </conditionalFormatting>
  <conditionalFormatting sqref="L68">
    <cfRule type="duplicateValues" dxfId="6" priority="6"/>
  </conditionalFormatting>
  <conditionalFormatting sqref="M68">
    <cfRule type="duplicateValues" dxfId="5" priority="5"/>
  </conditionalFormatting>
  <conditionalFormatting sqref="N68:O68">
    <cfRule type="duplicateValues" dxfId="4" priority="7"/>
  </conditionalFormatting>
  <conditionalFormatting sqref="O68">
    <cfRule type="containsText" dxfId="3" priority="1" operator="containsText" text="제주특별자치도">
      <formula>NOT(ISERROR(SEARCH("제주특별자치도",O68)))</formula>
    </cfRule>
  </conditionalFormatting>
  <conditionalFormatting sqref="P68">
    <cfRule type="duplicateValues" dxfId="2" priority="4"/>
  </conditionalFormatting>
  <conditionalFormatting sqref="Q68">
    <cfRule type="cellIs" dxfId="1" priority="3" operator="greaterThan">
      <formula>95000</formula>
    </cfRule>
  </conditionalFormatting>
  <pageMargins left="0.7" right="0.7" top="0.75" bottom="0.75" header="0.3" footer="0.3"/>
  <pageSetup paperSize="9" orientation="portrait" r:id="rId1"/>
  <ignoredErrors>
    <ignoredError sqref="F1 F165:F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82D8-A7B3-4698-BE99-50BA7C105CE9}">
  <dimension ref="A1:F2106"/>
  <sheetViews>
    <sheetView workbookViewId="0">
      <pane ySplit="1" topLeftCell="A22" activePane="bottomLeft" state="frozen"/>
      <selection pane="bottomLeft" activeCell="B36" sqref="B36"/>
    </sheetView>
  </sheetViews>
  <sheetFormatPr defaultRowHeight="16.5"/>
  <cols>
    <col min="1" max="1" width="13.375" customWidth="1"/>
    <col min="2" max="2" width="87.625" customWidth="1"/>
    <col min="3" max="3" width="29.375" customWidth="1"/>
    <col min="4" max="5" width="10.25" style="8" customWidth="1"/>
  </cols>
  <sheetData>
    <row r="1" spans="1:5">
      <c r="A1" t="s">
        <v>17</v>
      </c>
      <c r="B1" t="s">
        <v>71</v>
      </c>
      <c r="C1" t="s">
        <v>65</v>
      </c>
      <c r="D1" s="8" t="s">
        <v>66</v>
      </c>
      <c r="E1" s="8" t="s">
        <v>66</v>
      </c>
    </row>
    <row r="2" spans="1:5">
      <c r="A2">
        <v>282153807</v>
      </c>
      <c r="B2" t="s">
        <v>102</v>
      </c>
      <c r="C2" t="s">
        <v>461</v>
      </c>
      <c r="D2" s="8">
        <v>2.5</v>
      </c>
      <c r="E2" s="8" t="s">
        <v>169</v>
      </c>
    </row>
    <row r="3" spans="1:5">
      <c r="A3">
        <v>282153807</v>
      </c>
      <c r="B3" t="s">
        <v>98</v>
      </c>
      <c r="C3" t="s">
        <v>462</v>
      </c>
      <c r="D3" s="8">
        <v>2.5</v>
      </c>
      <c r="E3" s="8" t="s">
        <v>169</v>
      </c>
    </row>
    <row r="4" spans="1:5">
      <c r="A4">
        <v>282153807</v>
      </c>
      <c r="B4" t="s">
        <v>101</v>
      </c>
      <c r="C4" t="s">
        <v>463</v>
      </c>
      <c r="D4" s="8">
        <v>2.5</v>
      </c>
      <c r="E4" s="8" t="s">
        <v>169</v>
      </c>
    </row>
    <row r="5" spans="1:5">
      <c r="A5">
        <v>282153807</v>
      </c>
      <c r="B5" t="s">
        <v>97</v>
      </c>
      <c r="C5" t="s">
        <v>464</v>
      </c>
      <c r="D5" s="8">
        <v>2.5</v>
      </c>
      <c r="E5" s="8" t="s">
        <v>169</v>
      </c>
    </row>
    <row r="6" spans="1:5">
      <c r="A6">
        <v>282153807</v>
      </c>
      <c r="B6" t="s">
        <v>100</v>
      </c>
      <c r="C6" t="s">
        <v>465</v>
      </c>
      <c r="D6" s="8">
        <v>2.5</v>
      </c>
      <c r="E6" s="8" t="s">
        <v>169</v>
      </c>
    </row>
    <row r="7" spans="1:5">
      <c r="A7">
        <v>282153807</v>
      </c>
      <c r="B7" t="s">
        <v>96</v>
      </c>
      <c r="C7" t="s">
        <v>466</v>
      </c>
      <c r="D7" s="8">
        <v>2.5</v>
      </c>
      <c r="E7" s="8" t="s">
        <v>169</v>
      </c>
    </row>
    <row r="8" spans="1:5">
      <c r="A8">
        <v>282153807</v>
      </c>
      <c r="B8" t="s">
        <v>103</v>
      </c>
      <c r="C8" t="s">
        <v>290</v>
      </c>
      <c r="D8" s="8">
        <v>2.5</v>
      </c>
      <c r="E8" s="8" t="s">
        <v>169</v>
      </c>
    </row>
    <row r="9" spans="1:5">
      <c r="A9">
        <v>282153807</v>
      </c>
      <c r="B9" t="s">
        <v>99</v>
      </c>
      <c r="C9" t="s">
        <v>289</v>
      </c>
      <c r="D9" s="8">
        <v>2.5</v>
      </c>
      <c r="E9" s="8" t="s">
        <v>169</v>
      </c>
    </row>
    <row r="10" spans="1:5">
      <c r="A10" s="1">
        <v>2402587673</v>
      </c>
      <c r="B10" t="s">
        <v>406</v>
      </c>
      <c r="C10" s="19" t="s">
        <v>407</v>
      </c>
      <c r="D10" s="8" t="s">
        <v>388</v>
      </c>
      <c r="E10" s="8" t="s">
        <v>388</v>
      </c>
    </row>
    <row r="11" spans="1:5">
      <c r="A11" s="1">
        <v>2402587673</v>
      </c>
      <c r="B11" t="s">
        <v>404</v>
      </c>
      <c r="C11" s="19" t="s">
        <v>405</v>
      </c>
      <c r="D11" s="8" t="s">
        <v>354</v>
      </c>
      <c r="E11" s="8" t="s">
        <v>354</v>
      </c>
    </row>
    <row r="12" spans="1:5">
      <c r="A12" s="1">
        <v>2402587673</v>
      </c>
      <c r="B12" t="s">
        <v>408</v>
      </c>
      <c r="C12" s="19" t="s">
        <v>409</v>
      </c>
      <c r="D12" s="8" t="s">
        <v>389</v>
      </c>
      <c r="E12" s="8" t="s">
        <v>389</v>
      </c>
    </row>
    <row r="13" spans="1:5">
      <c r="A13" s="1">
        <v>2402587673</v>
      </c>
      <c r="B13" t="s">
        <v>400</v>
      </c>
      <c r="C13" s="19" t="s">
        <v>401</v>
      </c>
      <c r="D13" s="8" t="s">
        <v>388</v>
      </c>
      <c r="E13" s="8" t="s">
        <v>388</v>
      </c>
    </row>
    <row r="14" spans="1:5">
      <c r="A14" s="1">
        <v>2402587673</v>
      </c>
      <c r="B14" t="s">
        <v>398</v>
      </c>
      <c r="C14" s="19" t="s">
        <v>399</v>
      </c>
      <c r="D14" s="8" t="s">
        <v>354</v>
      </c>
      <c r="E14" s="8" t="s">
        <v>354</v>
      </c>
    </row>
    <row r="15" spans="1:5">
      <c r="A15" s="1">
        <v>2402587673</v>
      </c>
      <c r="B15" t="s">
        <v>402</v>
      </c>
      <c r="C15" s="19" t="s">
        <v>403</v>
      </c>
      <c r="D15" s="8" t="s">
        <v>389</v>
      </c>
      <c r="E15" s="8" t="s">
        <v>389</v>
      </c>
    </row>
    <row r="16" spans="1:5">
      <c r="A16" s="1">
        <v>2402587673</v>
      </c>
      <c r="B16" t="s">
        <v>412</v>
      </c>
      <c r="C16" s="19" t="s">
        <v>413</v>
      </c>
      <c r="D16" s="8" t="s">
        <v>388</v>
      </c>
      <c r="E16" s="8" t="s">
        <v>388</v>
      </c>
    </row>
    <row r="17" spans="1:5">
      <c r="A17" s="1">
        <v>2402587673</v>
      </c>
      <c r="B17" t="s">
        <v>410</v>
      </c>
      <c r="C17" s="19" t="s">
        <v>411</v>
      </c>
      <c r="D17" s="8" t="s">
        <v>354</v>
      </c>
      <c r="E17" s="8" t="s">
        <v>354</v>
      </c>
    </row>
    <row r="18" spans="1:5">
      <c r="A18" s="1">
        <v>2402587673</v>
      </c>
      <c r="B18" t="s">
        <v>414</v>
      </c>
      <c r="C18" s="19" t="s">
        <v>415</v>
      </c>
      <c r="D18" s="8" t="s">
        <v>389</v>
      </c>
      <c r="E18" s="8" t="s">
        <v>389</v>
      </c>
    </row>
    <row r="19" spans="1:5">
      <c r="A19" s="1">
        <v>2402587673</v>
      </c>
      <c r="B19" t="s">
        <v>394</v>
      </c>
      <c r="C19" s="19" t="s">
        <v>395</v>
      </c>
      <c r="D19" s="8" t="s">
        <v>388</v>
      </c>
      <c r="E19" s="8" t="s">
        <v>388</v>
      </c>
    </row>
    <row r="20" spans="1:5">
      <c r="A20" s="1">
        <v>2402587673</v>
      </c>
      <c r="B20" t="s">
        <v>392</v>
      </c>
      <c r="C20" s="19" t="s">
        <v>393</v>
      </c>
      <c r="D20" s="8" t="s">
        <v>354</v>
      </c>
      <c r="E20" s="8" t="s">
        <v>354</v>
      </c>
    </row>
    <row r="21" spans="1:5">
      <c r="A21" s="1">
        <v>2402587673</v>
      </c>
      <c r="B21" t="s">
        <v>396</v>
      </c>
      <c r="C21" s="19" t="s">
        <v>397</v>
      </c>
      <c r="D21" s="8" t="s">
        <v>389</v>
      </c>
      <c r="E21" s="8" t="s">
        <v>389</v>
      </c>
    </row>
    <row r="22" spans="1:5">
      <c r="A22" s="1">
        <v>2402587673</v>
      </c>
      <c r="B22" t="s">
        <v>383</v>
      </c>
      <c r="C22" s="19" t="s">
        <v>385</v>
      </c>
      <c r="D22" s="8" t="s">
        <v>390</v>
      </c>
      <c r="E22" s="8" t="s">
        <v>390</v>
      </c>
    </row>
    <row r="23" spans="1:5">
      <c r="A23" s="1">
        <v>2402587673</v>
      </c>
      <c r="B23" t="s">
        <v>382</v>
      </c>
      <c r="C23" s="19" t="s">
        <v>384</v>
      </c>
      <c r="D23" s="8" t="s">
        <v>294</v>
      </c>
      <c r="E23" s="8" t="s">
        <v>294</v>
      </c>
    </row>
    <row r="24" spans="1:5" ht="17.25" thickBot="1">
      <c r="A24" s="1">
        <v>2402587673</v>
      </c>
      <c r="B24" t="s">
        <v>386</v>
      </c>
      <c r="C24" s="19" t="s">
        <v>387</v>
      </c>
      <c r="D24" s="8" t="s">
        <v>391</v>
      </c>
      <c r="E24" s="8" t="s">
        <v>391</v>
      </c>
    </row>
    <row r="25" spans="1:5">
      <c r="A25" s="35">
        <v>4200445704</v>
      </c>
      <c r="B25" s="36" t="s">
        <v>585</v>
      </c>
      <c r="C25" s="36" t="s">
        <v>231</v>
      </c>
      <c r="D25" s="37">
        <v>0.5</v>
      </c>
      <c r="E25" s="38" t="s">
        <v>70</v>
      </c>
    </row>
    <row r="26" spans="1:5">
      <c r="A26" s="39">
        <v>4200445704</v>
      </c>
      <c r="B26" t="s">
        <v>586</v>
      </c>
      <c r="C26" t="s">
        <v>533</v>
      </c>
      <c r="D26" s="8">
        <v>0.5</v>
      </c>
      <c r="E26" s="40" t="s">
        <v>70</v>
      </c>
    </row>
    <row r="27" spans="1:5">
      <c r="A27" s="39">
        <v>4200445704</v>
      </c>
      <c r="B27" t="s">
        <v>587</v>
      </c>
      <c r="C27" t="s">
        <v>232</v>
      </c>
      <c r="D27" s="8">
        <v>0.5</v>
      </c>
      <c r="E27" s="40" t="s">
        <v>70</v>
      </c>
    </row>
    <row r="28" spans="1:5">
      <c r="A28" s="39">
        <v>4200445704</v>
      </c>
      <c r="B28" t="s">
        <v>588</v>
      </c>
      <c r="C28" t="s">
        <v>237</v>
      </c>
      <c r="D28" s="8">
        <v>0.5</v>
      </c>
      <c r="E28" s="40" t="s">
        <v>70</v>
      </c>
    </row>
    <row r="29" spans="1:5">
      <c r="A29" s="39">
        <v>4200445704</v>
      </c>
      <c r="B29" t="s">
        <v>589</v>
      </c>
      <c r="C29" t="s">
        <v>534</v>
      </c>
      <c r="D29" s="8">
        <v>0.5</v>
      </c>
      <c r="E29" s="40" t="s">
        <v>70</v>
      </c>
    </row>
    <row r="30" spans="1:5">
      <c r="A30" s="39">
        <v>4200445704</v>
      </c>
      <c r="B30" t="s">
        <v>590</v>
      </c>
      <c r="C30" t="s">
        <v>238</v>
      </c>
      <c r="D30" s="8">
        <v>0.5</v>
      </c>
      <c r="E30" s="40" t="s">
        <v>70</v>
      </c>
    </row>
    <row r="31" spans="1:5">
      <c r="A31" s="39">
        <v>4200445704</v>
      </c>
      <c r="B31" t="s">
        <v>591</v>
      </c>
      <c r="C31" t="s">
        <v>239</v>
      </c>
      <c r="D31" s="8">
        <v>0.5</v>
      </c>
      <c r="E31" s="40" t="s">
        <v>70</v>
      </c>
    </row>
    <row r="32" spans="1:5">
      <c r="A32" s="39">
        <v>4200445704</v>
      </c>
      <c r="B32" t="s">
        <v>592</v>
      </c>
      <c r="C32" t="s">
        <v>535</v>
      </c>
      <c r="D32" s="8">
        <v>0.5</v>
      </c>
      <c r="E32" s="40" t="s">
        <v>70</v>
      </c>
    </row>
    <row r="33" spans="1:5" ht="17.25" thickBot="1">
      <c r="A33" s="41">
        <v>4200445704</v>
      </c>
      <c r="B33" s="42" t="s">
        <v>593</v>
      </c>
      <c r="C33" s="42" t="s">
        <v>240</v>
      </c>
      <c r="D33" s="43">
        <v>0.5</v>
      </c>
      <c r="E33" s="44" t="s">
        <v>70</v>
      </c>
    </row>
    <row r="34" spans="1:5">
      <c r="A34" s="35">
        <v>4200445704</v>
      </c>
      <c r="B34" s="36" t="s">
        <v>2543</v>
      </c>
      <c r="C34" s="36" t="s">
        <v>245</v>
      </c>
      <c r="D34" s="37">
        <v>0.5</v>
      </c>
      <c r="E34" s="38" t="s">
        <v>70</v>
      </c>
    </row>
    <row r="35" spans="1:5">
      <c r="A35" s="39">
        <v>4200445704</v>
      </c>
      <c r="B35" t="s">
        <v>2544</v>
      </c>
      <c r="C35" t="s">
        <v>536</v>
      </c>
      <c r="D35" s="8">
        <v>0.5</v>
      </c>
      <c r="E35" s="40" t="s">
        <v>70</v>
      </c>
    </row>
    <row r="36" spans="1:5">
      <c r="A36" s="39">
        <v>4200445704</v>
      </c>
      <c r="B36" t="s">
        <v>2545</v>
      </c>
      <c r="C36" t="s">
        <v>246</v>
      </c>
      <c r="D36" s="8">
        <v>0.5</v>
      </c>
      <c r="E36" s="40" t="s">
        <v>70</v>
      </c>
    </row>
    <row r="37" spans="1:5">
      <c r="A37" s="39">
        <v>4200445704</v>
      </c>
      <c r="B37" t="s">
        <v>2546</v>
      </c>
      <c r="C37" t="s">
        <v>241</v>
      </c>
      <c r="D37" s="8">
        <v>0.5</v>
      </c>
      <c r="E37" s="40" t="s">
        <v>70</v>
      </c>
    </row>
    <row r="38" spans="1:5">
      <c r="A38" s="39">
        <v>4200445704</v>
      </c>
      <c r="B38" t="s">
        <v>2547</v>
      </c>
      <c r="C38" t="s">
        <v>537</v>
      </c>
      <c r="D38" s="8">
        <v>0.5</v>
      </c>
      <c r="E38" s="40" t="s">
        <v>70</v>
      </c>
    </row>
    <row r="39" spans="1:5">
      <c r="A39" s="39">
        <v>4200445704</v>
      </c>
      <c r="B39" t="s">
        <v>2548</v>
      </c>
      <c r="C39" t="s">
        <v>242</v>
      </c>
      <c r="D39" s="8">
        <v>0.5</v>
      </c>
      <c r="E39" s="40" t="s">
        <v>70</v>
      </c>
    </row>
    <row r="40" spans="1:5">
      <c r="A40" s="39">
        <v>4200445704</v>
      </c>
      <c r="B40" t="s">
        <v>2374</v>
      </c>
      <c r="C40" t="s">
        <v>243</v>
      </c>
      <c r="D40" s="8">
        <v>0.5</v>
      </c>
      <c r="E40" s="40" t="s">
        <v>70</v>
      </c>
    </row>
    <row r="41" spans="1:5">
      <c r="A41" s="39">
        <v>4200445704</v>
      </c>
      <c r="B41" t="s">
        <v>2549</v>
      </c>
      <c r="C41" t="s">
        <v>538</v>
      </c>
      <c r="D41" s="8">
        <v>0.5</v>
      </c>
      <c r="E41" s="40" t="s">
        <v>70</v>
      </c>
    </row>
    <row r="42" spans="1:5" ht="17.25" thickBot="1">
      <c r="A42" s="41">
        <v>4200445704</v>
      </c>
      <c r="B42" s="42" t="s">
        <v>2383</v>
      </c>
      <c r="C42" s="42" t="s">
        <v>244</v>
      </c>
      <c r="D42" s="43">
        <v>0.5</v>
      </c>
      <c r="E42" s="44" t="s">
        <v>70</v>
      </c>
    </row>
    <row r="43" spans="1:5">
      <c r="A43" s="39">
        <v>4200445704</v>
      </c>
      <c r="B43" s="18" t="s">
        <v>2542</v>
      </c>
      <c r="C43" s="18" t="s">
        <v>220</v>
      </c>
      <c r="D43" s="24">
        <v>0.5</v>
      </c>
      <c r="E43" s="45" t="s">
        <v>70</v>
      </c>
    </row>
    <row r="44" spans="1:5">
      <c r="A44" s="39">
        <v>4200445704</v>
      </c>
      <c r="B44" s="18" t="s">
        <v>579</v>
      </c>
      <c r="C44" s="18" t="s">
        <v>539</v>
      </c>
      <c r="D44" s="24">
        <v>0.5</v>
      </c>
      <c r="E44" s="45" t="s">
        <v>70</v>
      </c>
    </row>
    <row r="45" spans="1:5">
      <c r="A45" s="39">
        <v>4200445704</v>
      </c>
      <c r="B45" s="18" t="s">
        <v>570</v>
      </c>
      <c r="C45" s="18" t="s">
        <v>221</v>
      </c>
      <c r="D45" s="24">
        <v>0.5</v>
      </c>
      <c r="E45" s="45" t="s">
        <v>70</v>
      </c>
    </row>
    <row r="46" spans="1:5">
      <c r="A46" s="39">
        <v>4200445704</v>
      </c>
      <c r="B46" s="18" t="s">
        <v>580</v>
      </c>
      <c r="C46" s="18" t="s">
        <v>222</v>
      </c>
      <c r="D46" s="24">
        <v>0.5</v>
      </c>
      <c r="E46" s="45" t="s">
        <v>70</v>
      </c>
    </row>
    <row r="47" spans="1:5">
      <c r="A47" s="39">
        <v>4200445704</v>
      </c>
      <c r="B47" s="18" t="s">
        <v>581</v>
      </c>
      <c r="C47" s="18" t="s">
        <v>540</v>
      </c>
      <c r="D47" s="24">
        <v>0.5</v>
      </c>
      <c r="E47" s="45" t="s">
        <v>70</v>
      </c>
    </row>
    <row r="48" spans="1:5">
      <c r="A48" s="39">
        <v>4200445704</v>
      </c>
      <c r="B48" s="18" t="s">
        <v>571</v>
      </c>
      <c r="C48" s="18" t="s">
        <v>223</v>
      </c>
      <c r="D48" s="24">
        <v>0.5</v>
      </c>
      <c r="E48" s="45" t="s">
        <v>70</v>
      </c>
    </row>
    <row r="49" spans="1:5">
      <c r="A49" s="39">
        <v>4200445704</v>
      </c>
      <c r="B49" s="18" t="s">
        <v>582</v>
      </c>
      <c r="C49" s="18" t="s">
        <v>467</v>
      </c>
      <c r="D49" s="24">
        <v>0.5</v>
      </c>
      <c r="E49" s="45" t="s">
        <v>70</v>
      </c>
    </row>
    <row r="50" spans="1:5">
      <c r="A50" s="39">
        <v>4200445704</v>
      </c>
      <c r="B50" s="18" t="s">
        <v>583</v>
      </c>
      <c r="C50" s="18" t="s">
        <v>541</v>
      </c>
      <c r="D50" s="24">
        <v>0.5</v>
      </c>
      <c r="E50" s="45" t="s">
        <v>70</v>
      </c>
    </row>
    <row r="51" spans="1:5" ht="17.25" thickBot="1">
      <c r="A51" s="41">
        <v>4200445704</v>
      </c>
      <c r="B51" s="46" t="s">
        <v>584</v>
      </c>
      <c r="C51" s="46" t="s">
        <v>468</v>
      </c>
      <c r="D51" s="47">
        <v>0.5</v>
      </c>
      <c r="E51" s="48" t="s">
        <v>70</v>
      </c>
    </row>
    <row r="52" spans="1:5">
      <c r="A52" s="35">
        <v>4200445704</v>
      </c>
      <c r="B52" s="36" t="s">
        <v>594</v>
      </c>
      <c r="C52" s="36" t="s">
        <v>251</v>
      </c>
      <c r="D52" s="37">
        <v>0.5</v>
      </c>
      <c r="E52" s="38" t="s">
        <v>70</v>
      </c>
    </row>
    <row r="53" spans="1:5">
      <c r="A53" s="39">
        <v>4200445704</v>
      </c>
      <c r="B53" t="s">
        <v>595</v>
      </c>
      <c r="C53" t="s">
        <v>542</v>
      </c>
      <c r="D53" s="8">
        <v>0.5</v>
      </c>
      <c r="E53" s="40" t="s">
        <v>70</v>
      </c>
    </row>
    <row r="54" spans="1:5">
      <c r="A54" s="39">
        <v>4200445704</v>
      </c>
      <c r="B54" t="s">
        <v>596</v>
      </c>
      <c r="C54" t="s">
        <v>252</v>
      </c>
      <c r="D54" s="8">
        <v>0.5</v>
      </c>
      <c r="E54" s="40" t="s">
        <v>70</v>
      </c>
    </row>
    <row r="55" spans="1:5">
      <c r="A55" s="39">
        <v>4200445704</v>
      </c>
      <c r="B55" t="s">
        <v>575</v>
      </c>
      <c r="C55" t="s">
        <v>247</v>
      </c>
      <c r="D55" s="8">
        <v>0.5</v>
      </c>
      <c r="E55" s="40" t="s">
        <v>70</v>
      </c>
    </row>
    <row r="56" spans="1:5">
      <c r="A56" s="39">
        <v>4200445704</v>
      </c>
      <c r="B56" t="s">
        <v>597</v>
      </c>
      <c r="C56" t="s">
        <v>543</v>
      </c>
      <c r="D56" s="8">
        <v>0.5</v>
      </c>
      <c r="E56" s="40" t="s">
        <v>70</v>
      </c>
    </row>
    <row r="57" spans="1:5">
      <c r="A57" s="39">
        <v>4200445704</v>
      </c>
      <c r="B57" t="s">
        <v>598</v>
      </c>
      <c r="C57" t="s">
        <v>248</v>
      </c>
      <c r="D57" s="8">
        <v>0.5</v>
      </c>
      <c r="E57" s="40" t="s">
        <v>70</v>
      </c>
    </row>
    <row r="58" spans="1:5">
      <c r="A58" s="39">
        <v>4200445704</v>
      </c>
      <c r="B58" t="s">
        <v>599</v>
      </c>
      <c r="C58" t="s">
        <v>249</v>
      </c>
      <c r="D58" s="8">
        <v>0.5</v>
      </c>
      <c r="E58" s="40" t="s">
        <v>70</v>
      </c>
    </row>
    <row r="59" spans="1:5">
      <c r="A59" s="39">
        <v>4200445704</v>
      </c>
      <c r="B59" t="s">
        <v>600</v>
      </c>
      <c r="C59" t="s">
        <v>544</v>
      </c>
      <c r="D59" s="8">
        <v>0.5</v>
      </c>
      <c r="E59" s="40" t="s">
        <v>70</v>
      </c>
    </row>
    <row r="60" spans="1:5" ht="17.25" thickBot="1">
      <c r="A60" s="41">
        <v>4200445704</v>
      </c>
      <c r="B60" s="42" t="s">
        <v>601</v>
      </c>
      <c r="C60" s="42" t="s">
        <v>250</v>
      </c>
      <c r="D60" s="43">
        <v>0.5</v>
      </c>
      <c r="E60" s="44" t="s">
        <v>70</v>
      </c>
    </row>
    <row r="61" spans="1:5">
      <c r="A61" s="35">
        <v>4200445704</v>
      </c>
      <c r="B61" s="36" t="s">
        <v>2550</v>
      </c>
      <c r="C61" s="36" t="s">
        <v>253</v>
      </c>
      <c r="D61" s="37">
        <v>0.5</v>
      </c>
      <c r="E61" s="38" t="s">
        <v>70</v>
      </c>
    </row>
    <row r="62" spans="1:5">
      <c r="A62" s="39">
        <v>4200445704</v>
      </c>
      <c r="B62" t="s">
        <v>2551</v>
      </c>
      <c r="C62" t="s">
        <v>545</v>
      </c>
      <c r="D62" s="8">
        <v>0.5</v>
      </c>
      <c r="E62" s="40" t="s">
        <v>70</v>
      </c>
    </row>
    <row r="63" spans="1:5">
      <c r="A63" s="39">
        <v>4200445704</v>
      </c>
      <c r="B63" t="s">
        <v>2552</v>
      </c>
      <c r="C63" t="s">
        <v>254</v>
      </c>
      <c r="D63" s="8">
        <v>0.5</v>
      </c>
      <c r="E63" s="40" t="s">
        <v>70</v>
      </c>
    </row>
    <row r="64" spans="1:5">
      <c r="A64" s="39">
        <v>4200445704</v>
      </c>
      <c r="B64" t="s">
        <v>2553</v>
      </c>
      <c r="C64" t="s">
        <v>259</v>
      </c>
      <c r="D64" s="8">
        <v>0.5</v>
      </c>
      <c r="E64" s="40" t="s">
        <v>70</v>
      </c>
    </row>
    <row r="65" spans="1:5">
      <c r="A65" s="39">
        <v>4200445704</v>
      </c>
      <c r="B65" t="s">
        <v>2554</v>
      </c>
      <c r="C65" t="s">
        <v>546</v>
      </c>
      <c r="D65" s="8">
        <v>0.5</v>
      </c>
      <c r="E65" s="40" t="s">
        <v>70</v>
      </c>
    </row>
    <row r="66" spans="1:5">
      <c r="A66" s="39">
        <v>4200445704</v>
      </c>
      <c r="B66" t="s">
        <v>2274</v>
      </c>
      <c r="C66" t="s">
        <v>260</v>
      </c>
      <c r="D66" s="8">
        <v>0.5</v>
      </c>
      <c r="E66" s="40" t="s">
        <v>70</v>
      </c>
    </row>
    <row r="67" spans="1:5">
      <c r="A67" s="39">
        <v>4200445704</v>
      </c>
      <c r="B67" t="s">
        <v>2555</v>
      </c>
      <c r="C67" t="s">
        <v>261</v>
      </c>
      <c r="D67" s="8">
        <v>0.5</v>
      </c>
      <c r="E67" s="40" t="s">
        <v>70</v>
      </c>
    </row>
    <row r="68" spans="1:5">
      <c r="A68" s="39">
        <v>4200445704</v>
      </c>
      <c r="B68" t="s">
        <v>2556</v>
      </c>
      <c r="C68" t="s">
        <v>547</v>
      </c>
      <c r="D68" s="8">
        <v>0.5</v>
      </c>
      <c r="E68" s="40" t="s">
        <v>70</v>
      </c>
    </row>
    <row r="69" spans="1:5" ht="17.25" thickBot="1">
      <c r="A69" s="41">
        <v>4200445704</v>
      </c>
      <c r="B69" s="42" t="s">
        <v>2557</v>
      </c>
      <c r="C69" s="42" t="s">
        <v>262</v>
      </c>
      <c r="D69" s="43">
        <v>0.5</v>
      </c>
      <c r="E69" s="44" t="s">
        <v>70</v>
      </c>
    </row>
    <row r="70" spans="1:5" s="18" customFormat="1">
      <c r="A70" s="35">
        <v>4200445704</v>
      </c>
      <c r="B70" s="49" t="s">
        <v>602</v>
      </c>
      <c r="C70" s="49" t="s">
        <v>430</v>
      </c>
      <c r="D70" s="50">
        <v>0.5</v>
      </c>
      <c r="E70" s="51" t="s">
        <v>70</v>
      </c>
    </row>
    <row r="71" spans="1:5" s="18" customFormat="1">
      <c r="A71" s="39">
        <v>4200445704</v>
      </c>
      <c r="B71" s="18" t="s">
        <v>603</v>
      </c>
      <c r="C71" s="18" t="s">
        <v>548</v>
      </c>
      <c r="D71" s="24">
        <v>0.5</v>
      </c>
      <c r="E71" s="45" t="s">
        <v>70</v>
      </c>
    </row>
    <row r="72" spans="1:5" s="18" customFormat="1">
      <c r="A72" s="39">
        <v>4200445704</v>
      </c>
      <c r="B72" s="18" t="s">
        <v>576</v>
      </c>
      <c r="C72" s="18" t="s">
        <v>431</v>
      </c>
      <c r="D72" s="24">
        <v>0.5</v>
      </c>
      <c r="E72" s="45" t="s">
        <v>70</v>
      </c>
    </row>
    <row r="73" spans="1:5" s="18" customFormat="1">
      <c r="A73" s="39">
        <v>4200445704</v>
      </c>
      <c r="B73" s="18" t="s">
        <v>604</v>
      </c>
      <c r="C73" s="18" t="s">
        <v>459</v>
      </c>
      <c r="D73" s="24">
        <v>0.5</v>
      </c>
      <c r="E73" s="45" t="s">
        <v>70</v>
      </c>
    </row>
    <row r="74" spans="1:5" s="18" customFormat="1">
      <c r="A74" s="39">
        <v>4200445704</v>
      </c>
      <c r="B74" s="18" t="s">
        <v>605</v>
      </c>
      <c r="C74" s="18" t="s">
        <v>453</v>
      </c>
      <c r="D74" s="24">
        <v>0.5</v>
      </c>
      <c r="E74" s="45" t="s">
        <v>70</v>
      </c>
    </row>
    <row r="75" spans="1:5" s="18" customFormat="1">
      <c r="A75" s="39">
        <v>4200445704</v>
      </c>
      <c r="B75" s="18" t="s">
        <v>606</v>
      </c>
      <c r="C75" s="18" t="s">
        <v>549</v>
      </c>
      <c r="D75" s="24">
        <v>0.5</v>
      </c>
      <c r="E75" s="45" t="s">
        <v>70</v>
      </c>
    </row>
    <row r="76" spans="1:5" s="18" customFormat="1" ht="17.25" thickBot="1">
      <c r="A76" s="41">
        <v>4200445704</v>
      </c>
      <c r="B76" s="46" t="s">
        <v>607</v>
      </c>
      <c r="C76" s="46" t="s">
        <v>454</v>
      </c>
      <c r="D76" s="47">
        <v>0.5</v>
      </c>
      <c r="E76" s="48" t="s">
        <v>70</v>
      </c>
    </row>
    <row r="77" spans="1:5">
      <c r="A77" s="1">
        <v>4670410800</v>
      </c>
      <c r="B77" t="s">
        <v>371</v>
      </c>
      <c r="C77" s="19" t="s">
        <v>369</v>
      </c>
      <c r="D77" s="8" t="s">
        <v>294</v>
      </c>
      <c r="E77" s="8" t="s">
        <v>294</v>
      </c>
    </row>
    <row r="78" spans="1:5">
      <c r="A78" s="1">
        <v>4670410800</v>
      </c>
      <c r="B78" t="s">
        <v>372</v>
      </c>
      <c r="C78" s="19" t="s">
        <v>369</v>
      </c>
      <c r="D78" s="8" t="s">
        <v>294</v>
      </c>
      <c r="E78" s="8" t="s">
        <v>294</v>
      </c>
    </row>
    <row r="79" spans="1:5">
      <c r="A79" s="1">
        <v>4670410800</v>
      </c>
      <c r="B79" t="s">
        <v>373</v>
      </c>
      <c r="C79" s="19" t="s">
        <v>374</v>
      </c>
      <c r="D79" s="8" t="s">
        <v>301</v>
      </c>
      <c r="E79" s="8" t="s">
        <v>301</v>
      </c>
    </row>
    <row r="80" spans="1:5">
      <c r="A80" s="1">
        <v>4670410800</v>
      </c>
      <c r="B80" t="s">
        <v>368</v>
      </c>
      <c r="C80" s="19" t="s">
        <v>369</v>
      </c>
      <c r="D80" s="8" t="s">
        <v>294</v>
      </c>
      <c r="E80" s="8" t="s">
        <v>294</v>
      </c>
    </row>
    <row r="81" spans="1:5">
      <c r="A81" s="1">
        <v>4670410800</v>
      </c>
      <c r="B81" t="s">
        <v>370</v>
      </c>
      <c r="C81" s="19" t="s">
        <v>369</v>
      </c>
      <c r="D81" s="8" t="s">
        <v>294</v>
      </c>
      <c r="E81" s="8" t="s">
        <v>294</v>
      </c>
    </row>
    <row r="82" spans="1:5">
      <c r="A82" s="1">
        <v>4670410800</v>
      </c>
      <c r="B82" t="s">
        <v>364</v>
      </c>
      <c r="C82" s="19" t="s">
        <v>362</v>
      </c>
      <c r="D82" s="8" t="s">
        <v>354</v>
      </c>
      <c r="E82" s="8" t="s">
        <v>354</v>
      </c>
    </row>
    <row r="83" spans="1:5">
      <c r="A83" s="1">
        <v>4670410800</v>
      </c>
      <c r="B83" t="s">
        <v>365</v>
      </c>
      <c r="C83" s="19" t="s">
        <v>362</v>
      </c>
      <c r="D83" s="8" t="s">
        <v>354</v>
      </c>
      <c r="E83" s="8" t="s">
        <v>354</v>
      </c>
    </row>
    <row r="84" spans="1:5">
      <c r="A84" s="1">
        <v>4670410800</v>
      </c>
      <c r="B84" t="s">
        <v>366</v>
      </c>
      <c r="C84" s="19" t="s">
        <v>367</v>
      </c>
      <c r="D84" s="8" t="s">
        <v>360</v>
      </c>
      <c r="E84" s="8" t="s">
        <v>360</v>
      </c>
    </row>
    <row r="85" spans="1:5">
      <c r="A85" s="1">
        <v>4670410800</v>
      </c>
      <c r="B85" t="s">
        <v>361</v>
      </c>
      <c r="C85" s="19" t="s">
        <v>362</v>
      </c>
      <c r="D85" s="8" t="s">
        <v>354</v>
      </c>
      <c r="E85" s="8" t="s">
        <v>354</v>
      </c>
    </row>
    <row r="86" spans="1:5">
      <c r="A86" s="1">
        <v>4670410800</v>
      </c>
      <c r="B86" t="s">
        <v>363</v>
      </c>
      <c r="C86" s="19" t="s">
        <v>362</v>
      </c>
      <c r="D86" s="8" t="s">
        <v>354</v>
      </c>
      <c r="E86" s="8" t="s">
        <v>354</v>
      </c>
    </row>
    <row r="87" spans="1:5">
      <c r="A87" s="1">
        <v>4670410800</v>
      </c>
      <c r="B87" t="s">
        <v>359</v>
      </c>
      <c r="C87" s="19" t="s">
        <v>293</v>
      </c>
      <c r="D87" s="8" t="s">
        <v>294</v>
      </c>
      <c r="E87" s="8" t="s">
        <v>294</v>
      </c>
    </row>
    <row r="88" spans="1:5">
      <c r="A88" s="1">
        <v>4670410800</v>
      </c>
      <c r="B88" t="s">
        <v>358</v>
      </c>
      <c r="C88" s="19" t="s">
        <v>293</v>
      </c>
      <c r="D88" s="8" t="s">
        <v>294</v>
      </c>
      <c r="E88" s="8" t="s">
        <v>294</v>
      </c>
    </row>
    <row r="89" spans="1:5">
      <c r="A89" s="1">
        <v>4670410800</v>
      </c>
      <c r="B89" t="s">
        <v>357</v>
      </c>
      <c r="C89" s="19" t="s">
        <v>300</v>
      </c>
      <c r="D89" s="8" t="s">
        <v>301</v>
      </c>
      <c r="E89" s="8" t="s">
        <v>301</v>
      </c>
    </row>
    <row r="90" spans="1:5">
      <c r="A90" s="1">
        <v>4670410800</v>
      </c>
      <c r="B90" t="s">
        <v>355</v>
      </c>
      <c r="C90" s="19" t="s">
        <v>293</v>
      </c>
      <c r="D90" s="8" t="s">
        <v>294</v>
      </c>
      <c r="E90" s="8" t="s">
        <v>294</v>
      </c>
    </row>
    <row r="91" spans="1:5">
      <c r="A91" s="1">
        <v>4670410800</v>
      </c>
      <c r="B91" t="s">
        <v>356</v>
      </c>
      <c r="C91" s="19" t="s">
        <v>293</v>
      </c>
      <c r="D91" s="8" t="s">
        <v>294</v>
      </c>
      <c r="E91" s="8" t="s">
        <v>294</v>
      </c>
    </row>
    <row r="92" spans="1:5">
      <c r="A92" s="1">
        <v>4670410800</v>
      </c>
      <c r="B92" t="s">
        <v>378</v>
      </c>
      <c r="C92" s="19" t="s">
        <v>376</v>
      </c>
      <c r="D92" s="8" t="s">
        <v>294</v>
      </c>
      <c r="E92" s="8" t="s">
        <v>294</v>
      </c>
    </row>
    <row r="93" spans="1:5">
      <c r="A93" s="1">
        <v>4670410800</v>
      </c>
      <c r="B93" t="s">
        <v>379</v>
      </c>
      <c r="C93" s="19" t="s">
        <v>376</v>
      </c>
      <c r="D93" s="8" t="s">
        <v>294</v>
      </c>
      <c r="E93" s="8" t="s">
        <v>294</v>
      </c>
    </row>
    <row r="94" spans="1:5">
      <c r="A94" s="1">
        <v>4670410800</v>
      </c>
      <c r="B94" t="s">
        <v>380</v>
      </c>
      <c r="C94" s="19" t="s">
        <v>381</v>
      </c>
      <c r="D94" s="8" t="s">
        <v>301</v>
      </c>
      <c r="E94" s="8" t="s">
        <v>301</v>
      </c>
    </row>
    <row r="95" spans="1:5">
      <c r="A95" s="1">
        <v>4670410800</v>
      </c>
      <c r="B95" t="s">
        <v>375</v>
      </c>
      <c r="C95" s="19" t="s">
        <v>376</v>
      </c>
      <c r="D95" s="8" t="s">
        <v>294</v>
      </c>
      <c r="E95" s="8" t="s">
        <v>294</v>
      </c>
    </row>
    <row r="96" spans="1:5">
      <c r="A96" s="1">
        <v>4670410800</v>
      </c>
      <c r="B96" t="s">
        <v>377</v>
      </c>
      <c r="C96" s="19" t="s">
        <v>376</v>
      </c>
      <c r="D96" s="8" t="s">
        <v>294</v>
      </c>
      <c r="E96" s="8" t="s">
        <v>294</v>
      </c>
    </row>
    <row r="97" spans="1:6">
      <c r="A97">
        <v>4723369915</v>
      </c>
      <c r="B97" t="s">
        <v>104</v>
      </c>
      <c r="C97" t="s">
        <v>287</v>
      </c>
      <c r="D97" s="20" t="s">
        <v>274</v>
      </c>
      <c r="E97" s="20" t="s">
        <v>274</v>
      </c>
    </row>
    <row r="98" spans="1:6">
      <c r="A98">
        <v>4723369915</v>
      </c>
      <c r="B98" t="s">
        <v>105</v>
      </c>
      <c r="C98" t="s">
        <v>288</v>
      </c>
      <c r="D98" s="20" t="s">
        <v>274</v>
      </c>
      <c r="E98" s="20" t="s">
        <v>274</v>
      </c>
    </row>
    <row r="99" spans="1:6">
      <c r="A99">
        <v>5569937047</v>
      </c>
      <c r="B99" t="s">
        <v>79</v>
      </c>
      <c r="C99" t="s">
        <v>160</v>
      </c>
      <c r="D99" s="20" t="s">
        <v>274</v>
      </c>
      <c r="E99" s="20" t="s">
        <v>274</v>
      </c>
    </row>
    <row r="100" spans="1:6">
      <c r="A100">
        <v>5569937047</v>
      </c>
      <c r="B100" t="s">
        <v>75</v>
      </c>
      <c r="C100" t="s">
        <v>158</v>
      </c>
      <c r="D100" s="20" t="s">
        <v>274</v>
      </c>
      <c r="E100" s="20" t="s">
        <v>274</v>
      </c>
    </row>
    <row r="101" spans="1:6">
      <c r="A101">
        <v>5569937047</v>
      </c>
      <c r="B101" t="s">
        <v>83</v>
      </c>
      <c r="C101" t="s">
        <v>162</v>
      </c>
      <c r="D101" s="20" t="s">
        <v>274</v>
      </c>
      <c r="E101" s="20" t="s">
        <v>274</v>
      </c>
    </row>
    <row r="102" spans="1:6">
      <c r="A102">
        <v>5569937047</v>
      </c>
      <c r="B102" t="s">
        <v>91</v>
      </c>
      <c r="C102" t="s">
        <v>166</v>
      </c>
      <c r="D102" s="20" t="s">
        <v>274</v>
      </c>
      <c r="E102" s="20" t="s">
        <v>274</v>
      </c>
    </row>
    <row r="103" spans="1:6">
      <c r="A103">
        <v>5569937047</v>
      </c>
      <c r="B103" t="s">
        <v>87</v>
      </c>
      <c r="C103" t="s">
        <v>164</v>
      </c>
      <c r="D103" s="20" t="s">
        <v>274</v>
      </c>
      <c r="E103" s="20" t="s">
        <v>274</v>
      </c>
    </row>
    <row r="104" spans="1:6">
      <c r="A104">
        <v>5569937047</v>
      </c>
      <c r="B104" t="s">
        <v>95</v>
      </c>
      <c r="C104" t="s">
        <v>168</v>
      </c>
      <c r="D104" s="20" t="s">
        <v>274</v>
      </c>
      <c r="E104" s="20" t="s">
        <v>274</v>
      </c>
    </row>
    <row r="105" spans="1:6" s="18" customFormat="1">
      <c r="A105" s="18">
        <v>5569937047</v>
      </c>
      <c r="B105" s="18" t="s">
        <v>77</v>
      </c>
      <c r="C105" s="18" t="s">
        <v>523</v>
      </c>
      <c r="D105" s="52" t="s">
        <v>469</v>
      </c>
      <c r="E105" s="52" t="s">
        <v>274</v>
      </c>
      <c r="F105" s="53"/>
    </row>
    <row r="106" spans="1:6" s="18" customFormat="1">
      <c r="A106" s="18">
        <v>5569937047</v>
      </c>
      <c r="B106" s="18" t="s">
        <v>73</v>
      </c>
      <c r="C106" s="18" t="s">
        <v>524</v>
      </c>
      <c r="D106" s="52" t="s">
        <v>470</v>
      </c>
      <c r="E106" s="52" t="s">
        <v>274</v>
      </c>
    </row>
    <row r="107" spans="1:6" s="18" customFormat="1">
      <c r="A107" s="18">
        <v>5569937047</v>
      </c>
      <c r="B107" s="18" t="s">
        <v>81</v>
      </c>
      <c r="C107" s="18" t="s">
        <v>525</v>
      </c>
      <c r="D107" s="52" t="s">
        <v>471</v>
      </c>
      <c r="E107" s="52" t="s">
        <v>274</v>
      </c>
    </row>
    <row r="108" spans="1:6" s="18" customFormat="1">
      <c r="A108" s="18">
        <v>5569937047</v>
      </c>
      <c r="B108" s="18" t="s">
        <v>89</v>
      </c>
      <c r="C108" s="18" t="s">
        <v>526</v>
      </c>
      <c r="D108" s="52" t="s">
        <v>469</v>
      </c>
      <c r="E108" s="52" t="s">
        <v>274</v>
      </c>
    </row>
    <row r="109" spans="1:6" s="18" customFormat="1">
      <c r="A109" s="18">
        <v>5569937047</v>
      </c>
      <c r="B109" s="18" t="s">
        <v>85</v>
      </c>
      <c r="C109" s="18" t="s">
        <v>527</v>
      </c>
      <c r="D109" s="52" t="s">
        <v>470</v>
      </c>
      <c r="E109" s="52" t="s">
        <v>274</v>
      </c>
    </row>
    <row r="110" spans="1:6" s="18" customFormat="1">
      <c r="A110" s="18">
        <v>5569937047</v>
      </c>
      <c r="B110" s="18" t="s">
        <v>93</v>
      </c>
      <c r="C110" s="18" t="s">
        <v>528</v>
      </c>
      <c r="D110" s="52" t="s">
        <v>471</v>
      </c>
      <c r="E110" s="52" t="s">
        <v>274</v>
      </c>
    </row>
    <row r="111" spans="1:6">
      <c r="A111">
        <v>5569937047</v>
      </c>
      <c r="B111" t="s">
        <v>78</v>
      </c>
      <c r="C111" t="s">
        <v>159</v>
      </c>
      <c r="D111" s="20" t="s">
        <v>274</v>
      </c>
      <c r="E111" s="20" t="s">
        <v>274</v>
      </c>
    </row>
    <row r="112" spans="1:6">
      <c r="A112">
        <v>5569937047</v>
      </c>
      <c r="B112" t="s">
        <v>74</v>
      </c>
      <c r="C112" t="s">
        <v>157</v>
      </c>
      <c r="D112" s="20" t="s">
        <v>274</v>
      </c>
      <c r="E112" s="20" t="s">
        <v>274</v>
      </c>
    </row>
    <row r="113" spans="1:5">
      <c r="A113">
        <v>5569937047</v>
      </c>
      <c r="B113" t="s">
        <v>82</v>
      </c>
      <c r="C113" t="s">
        <v>161</v>
      </c>
      <c r="D113" s="20" t="s">
        <v>274</v>
      </c>
      <c r="E113" s="20" t="s">
        <v>274</v>
      </c>
    </row>
    <row r="114" spans="1:5">
      <c r="A114">
        <v>5569937047</v>
      </c>
      <c r="B114" t="s">
        <v>90</v>
      </c>
      <c r="C114" t="s">
        <v>165</v>
      </c>
      <c r="D114" s="20" t="s">
        <v>274</v>
      </c>
      <c r="E114" s="20" t="s">
        <v>274</v>
      </c>
    </row>
    <row r="115" spans="1:5">
      <c r="A115">
        <v>5569937047</v>
      </c>
      <c r="B115" t="s">
        <v>86</v>
      </c>
      <c r="C115" t="s">
        <v>163</v>
      </c>
      <c r="D115" s="20" t="s">
        <v>274</v>
      </c>
      <c r="E115" s="20" t="s">
        <v>274</v>
      </c>
    </row>
    <row r="116" spans="1:5">
      <c r="A116">
        <v>5569937047</v>
      </c>
      <c r="B116" t="s">
        <v>94</v>
      </c>
      <c r="C116" t="s">
        <v>167</v>
      </c>
      <c r="D116" s="20" t="s">
        <v>274</v>
      </c>
      <c r="E116" s="20" t="s">
        <v>274</v>
      </c>
    </row>
    <row r="117" spans="1:5" s="18" customFormat="1">
      <c r="A117" s="18">
        <v>5569937047</v>
      </c>
      <c r="B117" s="18" t="s">
        <v>76</v>
      </c>
      <c r="C117" s="18" t="s">
        <v>518</v>
      </c>
      <c r="D117" s="52" t="s">
        <v>469</v>
      </c>
      <c r="E117" s="52" t="s">
        <v>274</v>
      </c>
    </row>
    <row r="118" spans="1:5" s="18" customFormat="1">
      <c r="A118" s="18">
        <v>5569937047</v>
      </c>
      <c r="B118" s="18" t="s">
        <v>72</v>
      </c>
      <c r="C118" s="18" t="s">
        <v>517</v>
      </c>
      <c r="D118" s="52" t="s">
        <v>470</v>
      </c>
      <c r="E118" s="52"/>
    </row>
    <row r="119" spans="1:5" s="18" customFormat="1">
      <c r="A119" s="18">
        <v>5569937047</v>
      </c>
      <c r="B119" s="18" t="s">
        <v>80</v>
      </c>
      <c r="C119" s="18" t="s">
        <v>519</v>
      </c>
      <c r="D119" s="52" t="s">
        <v>471</v>
      </c>
      <c r="E119" s="52" t="s">
        <v>274</v>
      </c>
    </row>
    <row r="120" spans="1:5" s="18" customFormat="1">
      <c r="A120" s="18">
        <v>5569937047</v>
      </c>
      <c r="B120" s="18" t="s">
        <v>88</v>
      </c>
      <c r="C120" s="18" t="s">
        <v>520</v>
      </c>
      <c r="D120" s="52" t="s">
        <v>469</v>
      </c>
      <c r="E120" s="52" t="s">
        <v>274</v>
      </c>
    </row>
    <row r="121" spans="1:5" s="18" customFormat="1">
      <c r="A121" s="18">
        <v>5569937047</v>
      </c>
      <c r="B121" s="18" t="s">
        <v>84</v>
      </c>
      <c r="C121" s="18" t="s">
        <v>521</v>
      </c>
      <c r="D121" s="52" t="s">
        <v>470</v>
      </c>
      <c r="E121" s="52" t="s">
        <v>274</v>
      </c>
    </row>
    <row r="122" spans="1:5" s="18" customFormat="1" ht="17.25" thickBot="1">
      <c r="A122" s="18">
        <v>5569937047</v>
      </c>
      <c r="B122" s="18" t="s">
        <v>92</v>
      </c>
      <c r="C122" s="18" t="s">
        <v>522</v>
      </c>
      <c r="D122" s="52" t="s">
        <v>471</v>
      </c>
      <c r="E122" s="52" t="s">
        <v>274</v>
      </c>
    </row>
    <row r="123" spans="1:5">
      <c r="A123" s="54">
        <v>5994906898</v>
      </c>
      <c r="B123" s="36" t="s">
        <v>1398</v>
      </c>
      <c r="C123" s="36" t="s">
        <v>278</v>
      </c>
      <c r="D123" s="55" t="s">
        <v>274</v>
      </c>
      <c r="E123" s="56" t="s">
        <v>274</v>
      </c>
    </row>
    <row r="124" spans="1:5">
      <c r="A124" s="57">
        <v>5994906898</v>
      </c>
      <c r="B124" t="s">
        <v>1399</v>
      </c>
      <c r="C124" t="s">
        <v>282</v>
      </c>
      <c r="D124" s="21" t="s">
        <v>274</v>
      </c>
      <c r="E124" s="58" t="s">
        <v>274</v>
      </c>
    </row>
    <row r="125" spans="1:5">
      <c r="A125" s="57">
        <v>5994906898</v>
      </c>
      <c r="B125" t="s">
        <v>1400</v>
      </c>
      <c r="C125" t="s">
        <v>277</v>
      </c>
      <c r="D125" s="21" t="s">
        <v>274</v>
      </c>
      <c r="E125" s="58" t="s">
        <v>274</v>
      </c>
    </row>
    <row r="126" spans="1:5">
      <c r="A126" s="57">
        <v>5994906898</v>
      </c>
      <c r="B126" t="s">
        <v>1401</v>
      </c>
      <c r="C126" t="s">
        <v>281</v>
      </c>
      <c r="D126" s="21" t="s">
        <v>274</v>
      </c>
      <c r="E126" s="58" t="s">
        <v>274</v>
      </c>
    </row>
    <row r="127" spans="1:5">
      <c r="A127" s="57">
        <v>5994906898</v>
      </c>
      <c r="B127" t="s">
        <v>1402</v>
      </c>
      <c r="C127" t="s">
        <v>285</v>
      </c>
      <c r="D127" s="21" t="s">
        <v>274</v>
      </c>
      <c r="E127" s="58" t="s">
        <v>274</v>
      </c>
    </row>
    <row r="128" spans="1:5">
      <c r="A128" s="57">
        <v>5994906898</v>
      </c>
      <c r="B128" t="s">
        <v>1403</v>
      </c>
      <c r="C128" t="s">
        <v>286</v>
      </c>
      <c r="D128" s="21" t="s">
        <v>274</v>
      </c>
      <c r="E128" s="58" t="s">
        <v>274</v>
      </c>
    </row>
    <row r="129" spans="1:5">
      <c r="A129" s="57">
        <v>5994906898</v>
      </c>
      <c r="B129" t="s">
        <v>1404</v>
      </c>
      <c r="C129" t="s">
        <v>280</v>
      </c>
      <c r="D129" s="21" t="s">
        <v>274</v>
      </c>
      <c r="E129" s="58" t="s">
        <v>274</v>
      </c>
    </row>
    <row r="130" spans="1:5">
      <c r="A130" s="57">
        <v>5994906898</v>
      </c>
      <c r="B130" t="s">
        <v>1405</v>
      </c>
      <c r="C130" t="s">
        <v>284</v>
      </c>
      <c r="D130" s="21" t="s">
        <v>274</v>
      </c>
      <c r="E130" s="58" t="s">
        <v>274</v>
      </c>
    </row>
    <row r="131" spans="1:5">
      <c r="A131" s="57">
        <v>5994906898</v>
      </c>
      <c r="B131" t="s">
        <v>1406</v>
      </c>
      <c r="C131" t="s">
        <v>279</v>
      </c>
      <c r="D131" s="21" t="s">
        <v>274</v>
      </c>
      <c r="E131" s="58" t="s">
        <v>274</v>
      </c>
    </row>
    <row r="132" spans="1:5">
      <c r="A132" s="57">
        <v>5994906898</v>
      </c>
      <c r="B132" t="s">
        <v>1407</v>
      </c>
      <c r="C132" t="s">
        <v>283</v>
      </c>
      <c r="D132" s="21" t="s">
        <v>274</v>
      </c>
      <c r="E132" s="58" t="s">
        <v>274</v>
      </c>
    </row>
    <row r="133" spans="1:5">
      <c r="A133" s="57">
        <v>5994906898</v>
      </c>
      <c r="B133" t="s">
        <v>1408</v>
      </c>
      <c r="C133" t="s">
        <v>444</v>
      </c>
      <c r="D133" s="21"/>
      <c r="E133" s="58"/>
    </row>
    <row r="134" spans="1:5" ht="17.25" thickBot="1">
      <c r="A134" s="59">
        <v>5994906898</v>
      </c>
      <c r="B134" s="42" t="s">
        <v>1409</v>
      </c>
      <c r="C134" s="42" t="s">
        <v>445</v>
      </c>
      <c r="D134" s="60"/>
      <c r="E134" s="61"/>
    </row>
    <row r="135" spans="1:5">
      <c r="A135" s="57">
        <v>5994906898</v>
      </c>
      <c r="B135" t="s">
        <v>1410</v>
      </c>
      <c r="C135" t="s">
        <v>577</v>
      </c>
      <c r="D135" s="21"/>
      <c r="E135" s="58"/>
    </row>
    <row r="136" spans="1:5" ht="17.25" thickBot="1">
      <c r="A136" s="59">
        <v>5994906898</v>
      </c>
      <c r="B136" s="42" t="s">
        <v>1411</v>
      </c>
      <c r="C136" s="42" t="s">
        <v>578</v>
      </c>
      <c r="D136" s="60"/>
      <c r="E136" s="61"/>
    </row>
    <row r="137" spans="1:5">
      <c r="A137" s="23"/>
      <c r="D137" s="21"/>
      <c r="E137" s="21"/>
    </row>
    <row r="138" spans="1:5">
      <c r="A138" s="23">
        <v>5994903887</v>
      </c>
      <c r="B138" t="s">
        <v>58</v>
      </c>
      <c r="C138" t="s">
        <v>281</v>
      </c>
      <c r="D138" s="21"/>
      <c r="E138" s="21"/>
    </row>
    <row r="139" spans="1:5">
      <c r="A139" s="23">
        <v>5994903887</v>
      </c>
      <c r="B139" t="s">
        <v>443</v>
      </c>
      <c r="C139" t="s">
        <v>277</v>
      </c>
      <c r="D139" s="21"/>
      <c r="E139" s="21"/>
    </row>
    <row r="140" spans="1:5">
      <c r="A140" s="23">
        <v>5994903887</v>
      </c>
      <c r="B140" t="s">
        <v>448</v>
      </c>
      <c r="C140" t="s">
        <v>284</v>
      </c>
      <c r="D140" s="21"/>
      <c r="E140" s="21"/>
    </row>
    <row r="141" spans="1:5">
      <c r="A141" s="23">
        <v>5994903887</v>
      </c>
      <c r="B141" t="s">
        <v>447</v>
      </c>
      <c r="C141" t="s">
        <v>280</v>
      </c>
      <c r="D141" s="21"/>
      <c r="E141" s="21"/>
    </row>
    <row r="142" spans="1:5">
      <c r="A142" s="23">
        <v>5994903887</v>
      </c>
      <c r="B142" t="s">
        <v>449</v>
      </c>
      <c r="C142" t="s">
        <v>283</v>
      </c>
      <c r="D142" s="21"/>
      <c r="E142" s="21"/>
    </row>
    <row r="143" spans="1:5">
      <c r="A143" s="23">
        <v>5994903887</v>
      </c>
      <c r="B143" t="s">
        <v>446</v>
      </c>
      <c r="C143" t="s">
        <v>279</v>
      </c>
      <c r="D143" s="21"/>
      <c r="E143" s="21"/>
    </row>
    <row r="144" spans="1:5">
      <c r="A144" s="23">
        <v>5994903887</v>
      </c>
      <c r="B144" t="s">
        <v>450</v>
      </c>
      <c r="C144" t="s">
        <v>282</v>
      </c>
      <c r="D144" s="21"/>
      <c r="E144" s="21"/>
    </row>
    <row r="145" spans="1:5">
      <c r="A145" s="23">
        <v>5994903887</v>
      </c>
      <c r="B145" t="s">
        <v>451</v>
      </c>
      <c r="C145" t="s">
        <v>278</v>
      </c>
      <c r="D145" s="21"/>
      <c r="E145" s="21"/>
    </row>
    <row r="146" spans="1:5">
      <c r="A146" s="23">
        <v>5994903887</v>
      </c>
      <c r="B146" t="s">
        <v>529</v>
      </c>
      <c r="C146" t="s">
        <v>530</v>
      </c>
      <c r="D146" s="21"/>
      <c r="E146" s="21"/>
    </row>
    <row r="147" spans="1:5">
      <c r="A147" s="23">
        <v>5994903887</v>
      </c>
      <c r="B147" t="s">
        <v>531</v>
      </c>
      <c r="C147" t="s">
        <v>532</v>
      </c>
      <c r="D147" s="21"/>
      <c r="E147" s="21"/>
    </row>
    <row r="148" spans="1:5">
      <c r="A148" s="23"/>
      <c r="D148" s="21"/>
      <c r="E148" s="21"/>
    </row>
    <row r="149" spans="1:5">
      <c r="A149" s="23"/>
      <c r="D149" s="21"/>
      <c r="E149" s="21"/>
    </row>
    <row r="150" spans="1:5">
      <c r="A150" s="18">
        <v>6092903705</v>
      </c>
      <c r="B150" t="s">
        <v>57</v>
      </c>
      <c r="C150" t="s">
        <v>287</v>
      </c>
      <c r="D150" s="20" t="s">
        <v>274</v>
      </c>
    </row>
    <row r="151" spans="1:5">
      <c r="A151" s="18">
        <v>6092903705</v>
      </c>
      <c r="B151" t="s">
        <v>59</v>
      </c>
      <c r="C151" t="s">
        <v>288</v>
      </c>
      <c r="D151" s="20" t="s">
        <v>274</v>
      </c>
    </row>
    <row r="152" spans="1:5">
      <c r="A152" s="18">
        <v>6092903705</v>
      </c>
      <c r="B152" t="s">
        <v>1419</v>
      </c>
      <c r="C152" t="s">
        <v>425</v>
      </c>
      <c r="D152" s="8">
        <v>10</v>
      </c>
      <c r="E152" s="8" t="s">
        <v>190</v>
      </c>
    </row>
    <row r="153" spans="1:5">
      <c r="A153" s="18">
        <v>6092903705</v>
      </c>
      <c r="B153" t="s">
        <v>1420</v>
      </c>
      <c r="C153" t="s">
        <v>425</v>
      </c>
      <c r="D153" s="8">
        <v>1</v>
      </c>
      <c r="E153" s="8" t="s">
        <v>172</v>
      </c>
    </row>
    <row r="154" spans="1:5">
      <c r="A154" s="18">
        <v>6092903705</v>
      </c>
      <c r="B154" t="s">
        <v>1421</v>
      </c>
      <c r="C154" t="s">
        <v>425</v>
      </c>
      <c r="D154" s="8">
        <v>10.5</v>
      </c>
      <c r="E154" s="8" t="s">
        <v>338</v>
      </c>
    </row>
    <row r="155" spans="1:5">
      <c r="A155" s="18">
        <v>6092903705</v>
      </c>
      <c r="B155" t="s">
        <v>1422</v>
      </c>
      <c r="C155" t="s">
        <v>425</v>
      </c>
      <c r="D155" s="8">
        <v>11</v>
      </c>
      <c r="E155" s="8" t="s">
        <v>340</v>
      </c>
    </row>
    <row r="156" spans="1:5">
      <c r="A156" s="18">
        <v>6092903705</v>
      </c>
      <c r="B156" t="s">
        <v>1423</v>
      </c>
      <c r="C156" t="s">
        <v>425</v>
      </c>
      <c r="D156" s="8">
        <v>11.5</v>
      </c>
      <c r="E156" s="8" t="s">
        <v>342</v>
      </c>
    </row>
    <row r="157" spans="1:5">
      <c r="A157" s="18">
        <v>6092903705</v>
      </c>
      <c r="B157" t="s">
        <v>1424</v>
      </c>
      <c r="C157" t="s">
        <v>425</v>
      </c>
      <c r="D157" s="8">
        <v>12</v>
      </c>
      <c r="E157" s="8" t="s">
        <v>344</v>
      </c>
    </row>
    <row r="158" spans="1:5">
      <c r="A158" s="18">
        <v>6092903705</v>
      </c>
      <c r="B158" t="s">
        <v>1425</v>
      </c>
      <c r="C158" t="s">
        <v>425</v>
      </c>
      <c r="D158" s="8">
        <v>1.5</v>
      </c>
      <c r="E158" s="8" t="s">
        <v>320</v>
      </c>
    </row>
    <row r="159" spans="1:5">
      <c r="A159" s="18">
        <v>6092903705</v>
      </c>
      <c r="B159" t="s">
        <v>1426</v>
      </c>
      <c r="C159" t="s">
        <v>425</v>
      </c>
      <c r="D159" s="8">
        <v>2</v>
      </c>
      <c r="E159" s="8" t="s">
        <v>174</v>
      </c>
    </row>
    <row r="160" spans="1:5">
      <c r="A160" s="18">
        <v>6092903705</v>
      </c>
      <c r="B160" t="s">
        <v>1427</v>
      </c>
      <c r="C160" t="s">
        <v>425</v>
      </c>
      <c r="D160" s="8">
        <v>2.5</v>
      </c>
      <c r="E160" s="8" t="s">
        <v>169</v>
      </c>
    </row>
    <row r="161" spans="1:5">
      <c r="A161" s="18">
        <v>6092903705</v>
      </c>
      <c r="B161" t="s">
        <v>1428</v>
      </c>
      <c r="C161" t="s">
        <v>425</v>
      </c>
      <c r="D161" s="8">
        <v>3</v>
      </c>
      <c r="E161" s="8" t="s">
        <v>176</v>
      </c>
    </row>
    <row r="162" spans="1:5">
      <c r="A162" s="18">
        <v>6092903705</v>
      </c>
      <c r="B162" t="s">
        <v>1429</v>
      </c>
      <c r="C162" t="s">
        <v>425</v>
      </c>
      <c r="D162" s="8">
        <v>3.5</v>
      </c>
      <c r="E162" s="8" t="s">
        <v>323</v>
      </c>
    </row>
    <row r="163" spans="1:5">
      <c r="A163" s="18">
        <v>6092903705</v>
      </c>
      <c r="B163" t="s">
        <v>1430</v>
      </c>
      <c r="C163" t="s">
        <v>425</v>
      </c>
      <c r="D163" s="8">
        <v>4</v>
      </c>
      <c r="E163" s="8" t="s">
        <v>178</v>
      </c>
    </row>
    <row r="164" spans="1:5">
      <c r="A164" s="18">
        <v>6092903705</v>
      </c>
      <c r="B164" t="s">
        <v>1431</v>
      </c>
      <c r="C164" t="s">
        <v>425</v>
      </c>
      <c r="D164" s="8">
        <v>4.5</v>
      </c>
      <c r="E164" s="8" t="s">
        <v>324</v>
      </c>
    </row>
    <row r="165" spans="1:5">
      <c r="A165" s="18">
        <v>6092903705</v>
      </c>
      <c r="B165" t="s">
        <v>1432</v>
      </c>
      <c r="C165" t="s">
        <v>425</v>
      </c>
      <c r="D165" s="8">
        <v>5</v>
      </c>
      <c r="E165" s="8" t="s">
        <v>180</v>
      </c>
    </row>
    <row r="166" spans="1:5">
      <c r="A166" s="18">
        <v>6092903705</v>
      </c>
      <c r="B166" t="s">
        <v>1433</v>
      </c>
      <c r="C166" t="s">
        <v>425</v>
      </c>
      <c r="D166" s="8">
        <v>5.5</v>
      </c>
      <c r="E166" s="8" t="s">
        <v>325</v>
      </c>
    </row>
    <row r="167" spans="1:5">
      <c r="A167" s="18">
        <v>6092903705</v>
      </c>
      <c r="B167" t="s">
        <v>1434</v>
      </c>
      <c r="C167" t="s">
        <v>425</v>
      </c>
      <c r="D167" s="8">
        <v>6</v>
      </c>
      <c r="E167" s="8" t="s">
        <v>182</v>
      </c>
    </row>
    <row r="168" spans="1:5">
      <c r="A168" s="18">
        <v>6092903705</v>
      </c>
      <c r="B168" t="s">
        <v>1435</v>
      </c>
      <c r="C168" t="s">
        <v>425</v>
      </c>
      <c r="D168" s="8">
        <v>6.5</v>
      </c>
      <c r="E168" s="8" t="s">
        <v>326</v>
      </c>
    </row>
    <row r="169" spans="1:5">
      <c r="A169" s="18">
        <v>6092903705</v>
      </c>
      <c r="B169" t="s">
        <v>1436</v>
      </c>
      <c r="C169" t="s">
        <v>425</v>
      </c>
      <c r="D169" s="8">
        <v>7</v>
      </c>
      <c r="E169" s="8" t="s">
        <v>184</v>
      </c>
    </row>
    <row r="170" spans="1:5">
      <c r="A170" s="18">
        <v>6092903705</v>
      </c>
      <c r="B170" t="s">
        <v>1437</v>
      </c>
      <c r="C170" t="s">
        <v>425</v>
      </c>
      <c r="D170" s="8">
        <v>7.5</v>
      </c>
      <c r="E170" s="8" t="s">
        <v>330</v>
      </c>
    </row>
    <row r="171" spans="1:5">
      <c r="A171" s="18">
        <v>6092903705</v>
      </c>
      <c r="B171" t="s">
        <v>1438</v>
      </c>
      <c r="C171" t="s">
        <v>425</v>
      </c>
      <c r="D171" s="8">
        <v>8</v>
      </c>
      <c r="E171" s="8" t="s">
        <v>186</v>
      </c>
    </row>
    <row r="172" spans="1:5">
      <c r="A172" s="18">
        <v>6092903705</v>
      </c>
      <c r="B172" t="s">
        <v>1439</v>
      </c>
      <c r="C172" t="s">
        <v>425</v>
      </c>
      <c r="D172" s="8">
        <v>8.5</v>
      </c>
      <c r="E172" s="8" t="s">
        <v>333</v>
      </c>
    </row>
    <row r="173" spans="1:5">
      <c r="A173" s="18">
        <v>6092903705</v>
      </c>
      <c r="B173" t="s">
        <v>1440</v>
      </c>
      <c r="C173" t="s">
        <v>425</v>
      </c>
      <c r="D173" s="8">
        <v>9</v>
      </c>
      <c r="E173" s="8" t="s">
        <v>188</v>
      </c>
    </row>
    <row r="174" spans="1:5">
      <c r="A174" s="18">
        <v>6092903705</v>
      </c>
      <c r="B174" t="s">
        <v>1441</v>
      </c>
      <c r="C174" t="s">
        <v>425</v>
      </c>
      <c r="D174" s="8">
        <v>9.5</v>
      </c>
      <c r="E174" s="8" t="s">
        <v>335</v>
      </c>
    </row>
    <row r="175" spans="1:5" s="76" customFormat="1">
      <c r="A175" s="76">
        <v>6092903705</v>
      </c>
      <c r="B175" s="76" t="s">
        <v>1442</v>
      </c>
      <c r="C175" s="76" t="s">
        <v>549</v>
      </c>
      <c r="D175" s="77">
        <v>1</v>
      </c>
      <c r="E175" s="77" t="s">
        <v>172</v>
      </c>
    </row>
    <row r="176" spans="1:5" s="76" customFormat="1">
      <c r="A176" s="76">
        <v>6092903705</v>
      </c>
      <c r="B176" s="76" t="s">
        <v>1443</v>
      </c>
      <c r="C176" s="76" t="s">
        <v>549</v>
      </c>
      <c r="D176" s="77">
        <v>10.5</v>
      </c>
      <c r="E176" s="77" t="s">
        <v>338</v>
      </c>
    </row>
    <row r="177" spans="1:5" s="76" customFormat="1">
      <c r="A177" s="76">
        <v>6092903705</v>
      </c>
      <c r="B177" s="76" t="s">
        <v>1444</v>
      </c>
      <c r="C177" s="76" t="s">
        <v>549</v>
      </c>
      <c r="D177" s="77">
        <v>11</v>
      </c>
      <c r="E177" s="77" t="s">
        <v>340</v>
      </c>
    </row>
    <row r="178" spans="1:5" s="76" customFormat="1">
      <c r="A178" s="76">
        <v>6092903705</v>
      </c>
      <c r="B178" s="76" t="s">
        <v>1445</v>
      </c>
      <c r="C178" s="76" t="s">
        <v>549</v>
      </c>
      <c r="D178" s="77">
        <v>11.5</v>
      </c>
      <c r="E178" s="77" t="s">
        <v>342</v>
      </c>
    </row>
    <row r="179" spans="1:5" s="76" customFormat="1">
      <c r="A179" s="76">
        <v>6092903705</v>
      </c>
      <c r="B179" s="76" t="s">
        <v>1446</v>
      </c>
      <c r="C179" s="76" t="s">
        <v>549</v>
      </c>
      <c r="D179" s="77">
        <v>12</v>
      </c>
      <c r="E179" s="77" t="s">
        <v>344</v>
      </c>
    </row>
    <row r="180" spans="1:5" s="76" customFormat="1">
      <c r="A180" s="76">
        <v>6092903705</v>
      </c>
      <c r="B180" s="76" t="s">
        <v>1447</v>
      </c>
      <c r="C180" s="76" t="s">
        <v>549</v>
      </c>
      <c r="D180" s="77">
        <v>1.5</v>
      </c>
      <c r="E180" s="77" t="s">
        <v>320</v>
      </c>
    </row>
    <row r="181" spans="1:5" s="76" customFormat="1">
      <c r="A181" s="76">
        <v>6092903705</v>
      </c>
      <c r="B181" s="76" t="s">
        <v>1448</v>
      </c>
      <c r="C181" s="76" t="s">
        <v>549</v>
      </c>
      <c r="D181" s="77">
        <v>2</v>
      </c>
      <c r="E181" s="77" t="s">
        <v>174</v>
      </c>
    </row>
    <row r="182" spans="1:5" s="76" customFormat="1">
      <c r="A182" s="76">
        <v>6092903705</v>
      </c>
      <c r="B182" s="76" t="s">
        <v>1449</v>
      </c>
      <c r="C182" s="76" t="s">
        <v>549</v>
      </c>
      <c r="D182" s="77">
        <v>2.5</v>
      </c>
      <c r="E182" s="77" t="s">
        <v>169</v>
      </c>
    </row>
    <row r="183" spans="1:5" s="76" customFormat="1">
      <c r="A183" s="76">
        <v>6092903705</v>
      </c>
      <c r="B183" s="76" t="s">
        <v>1450</v>
      </c>
      <c r="C183" s="76" t="s">
        <v>549</v>
      </c>
      <c r="D183" s="77">
        <v>3</v>
      </c>
      <c r="E183" s="77" t="s">
        <v>176</v>
      </c>
    </row>
    <row r="184" spans="1:5" s="76" customFormat="1">
      <c r="A184" s="76">
        <v>6092903705</v>
      </c>
      <c r="B184" s="76" t="s">
        <v>1451</v>
      </c>
      <c r="C184" s="76" t="s">
        <v>549</v>
      </c>
      <c r="D184" s="77">
        <v>3.5</v>
      </c>
      <c r="E184" s="77" t="s">
        <v>323</v>
      </c>
    </row>
    <row r="185" spans="1:5" s="76" customFormat="1">
      <c r="A185" s="76">
        <v>6092903705</v>
      </c>
      <c r="B185" s="76" t="s">
        <v>1452</v>
      </c>
      <c r="C185" s="76" t="s">
        <v>549</v>
      </c>
      <c r="D185" s="77">
        <v>4</v>
      </c>
      <c r="E185" s="77" t="s">
        <v>178</v>
      </c>
    </row>
    <row r="186" spans="1:5" s="76" customFormat="1">
      <c r="A186" s="76">
        <v>6092903705</v>
      </c>
      <c r="B186" s="76" t="s">
        <v>1453</v>
      </c>
      <c r="C186" s="76" t="s">
        <v>549</v>
      </c>
      <c r="D186" s="77">
        <v>4.5</v>
      </c>
      <c r="E186" s="77" t="s">
        <v>324</v>
      </c>
    </row>
    <row r="187" spans="1:5" s="76" customFormat="1">
      <c r="A187" s="76">
        <v>6092903705</v>
      </c>
      <c r="B187" s="76" t="s">
        <v>1454</v>
      </c>
      <c r="C187" s="76" t="s">
        <v>549</v>
      </c>
      <c r="D187" s="77">
        <v>5</v>
      </c>
      <c r="E187" s="77" t="s">
        <v>180</v>
      </c>
    </row>
    <row r="188" spans="1:5" s="76" customFormat="1">
      <c r="A188" s="76">
        <v>6092903705</v>
      </c>
      <c r="B188" s="76" t="s">
        <v>1455</v>
      </c>
      <c r="C188" s="76" t="s">
        <v>549</v>
      </c>
      <c r="D188" s="77">
        <v>5.5</v>
      </c>
      <c r="E188" s="77" t="s">
        <v>325</v>
      </c>
    </row>
    <row r="189" spans="1:5" s="76" customFormat="1">
      <c r="A189" s="76">
        <v>6092903705</v>
      </c>
      <c r="B189" s="76" t="s">
        <v>1456</v>
      </c>
      <c r="C189" s="76" t="s">
        <v>549</v>
      </c>
      <c r="D189" s="77">
        <v>6</v>
      </c>
      <c r="E189" s="77" t="s">
        <v>182</v>
      </c>
    </row>
    <row r="190" spans="1:5" s="76" customFormat="1">
      <c r="A190" s="76">
        <v>6092903705</v>
      </c>
      <c r="B190" s="76" t="s">
        <v>1457</v>
      </c>
      <c r="C190" s="76" t="s">
        <v>549</v>
      </c>
      <c r="D190" s="77">
        <v>6.5</v>
      </c>
      <c r="E190" s="77" t="s">
        <v>326</v>
      </c>
    </row>
    <row r="191" spans="1:5" s="76" customFormat="1">
      <c r="A191" s="76">
        <v>6092903705</v>
      </c>
      <c r="B191" s="76" t="s">
        <v>1458</v>
      </c>
      <c r="C191" s="76" t="s">
        <v>549</v>
      </c>
      <c r="D191" s="77">
        <v>7</v>
      </c>
      <c r="E191" s="77" t="s">
        <v>184</v>
      </c>
    </row>
    <row r="192" spans="1:5" s="76" customFormat="1">
      <c r="A192" s="76">
        <v>6092903705</v>
      </c>
      <c r="B192" s="76" t="s">
        <v>1459</v>
      </c>
      <c r="C192" s="76" t="s">
        <v>549</v>
      </c>
      <c r="D192" s="77">
        <v>7.5</v>
      </c>
      <c r="E192" s="77" t="s">
        <v>330</v>
      </c>
    </row>
    <row r="193" spans="1:5" s="76" customFormat="1">
      <c r="A193" s="76">
        <v>6092903705</v>
      </c>
      <c r="B193" s="76" t="s">
        <v>1460</v>
      </c>
      <c r="C193" s="76" t="s">
        <v>549</v>
      </c>
      <c r="D193" s="77">
        <v>8</v>
      </c>
      <c r="E193" s="77" t="s">
        <v>186</v>
      </c>
    </row>
    <row r="194" spans="1:5" s="76" customFormat="1">
      <c r="A194" s="76">
        <v>6092903705</v>
      </c>
      <c r="B194" s="76" t="s">
        <v>1461</v>
      </c>
      <c r="C194" s="76" t="s">
        <v>549</v>
      </c>
      <c r="D194" s="77">
        <v>8.5</v>
      </c>
      <c r="E194" s="77" t="s">
        <v>333</v>
      </c>
    </row>
    <row r="195" spans="1:5" s="76" customFormat="1">
      <c r="A195" s="76">
        <v>6092903705</v>
      </c>
      <c r="B195" s="76" t="s">
        <v>1462</v>
      </c>
      <c r="C195" s="76" t="s">
        <v>549</v>
      </c>
      <c r="D195" s="77">
        <v>9</v>
      </c>
      <c r="E195" s="77" t="s">
        <v>188</v>
      </c>
    </row>
    <row r="196" spans="1:5" s="76" customFormat="1">
      <c r="A196" s="76">
        <v>6092903705</v>
      </c>
      <c r="B196" s="76" t="s">
        <v>1463</v>
      </c>
      <c r="C196" s="76" t="s">
        <v>549</v>
      </c>
      <c r="D196" s="77">
        <v>9.5</v>
      </c>
      <c r="E196" s="77" t="s">
        <v>335</v>
      </c>
    </row>
    <row r="197" spans="1:5">
      <c r="A197" s="18">
        <v>6092903705</v>
      </c>
      <c r="B197" t="s">
        <v>1464</v>
      </c>
      <c r="C197" t="s">
        <v>426</v>
      </c>
      <c r="D197" s="8">
        <v>10</v>
      </c>
      <c r="E197" s="8" t="s">
        <v>190</v>
      </c>
    </row>
    <row r="198" spans="1:5">
      <c r="A198" s="18">
        <v>6092903705</v>
      </c>
      <c r="B198" t="s">
        <v>1465</v>
      </c>
      <c r="C198" t="s">
        <v>426</v>
      </c>
      <c r="D198" s="8">
        <v>1</v>
      </c>
      <c r="E198" s="8" t="s">
        <v>172</v>
      </c>
    </row>
    <row r="199" spans="1:5">
      <c r="A199" s="18">
        <v>6092903705</v>
      </c>
      <c r="B199" t="s">
        <v>1466</v>
      </c>
      <c r="C199" t="s">
        <v>426</v>
      </c>
      <c r="D199" s="8">
        <v>10.5</v>
      </c>
      <c r="E199" s="8" t="s">
        <v>338</v>
      </c>
    </row>
    <row r="200" spans="1:5">
      <c r="A200" s="18">
        <v>6092903705</v>
      </c>
      <c r="B200" t="s">
        <v>1467</v>
      </c>
      <c r="C200" t="s">
        <v>426</v>
      </c>
      <c r="D200" s="8">
        <v>11</v>
      </c>
      <c r="E200" s="8" t="s">
        <v>340</v>
      </c>
    </row>
    <row r="201" spans="1:5">
      <c r="A201" s="18">
        <v>6092903705</v>
      </c>
      <c r="B201" t="s">
        <v>1468</v>
      </c>
      <c r="C201" t="s">
        <v>426</v>
      </c>
      <c r="D201" s="8">
        <v>11.5</v>
      </c>
      <c r="E201" s="8" t="s">
        <v>342</v>
      </c>
    </row>
    <row r="202" spans="1:5">
      <c r="A202" s="18">
        <v>6092903705</v>
      </c>
      <c r="B202" t="s">
        <v>1469</v>
      </c>
      <c r="C202" t="s">
        <v>426</v>
      </c>
      <c r="D202" s="8">
        <v>12</v>
      </c>
      <c r="E202" s="8" t="s">
        <v>344</v>
      </c>
    </row>
    <row r="203" spans="1:5">
      <c r="A203" s="18">
        <v>6092903705</v>
      </c>
      <c r="B203" t="s">
        <v>1470</v>
      </c>
      <c r="C203" t="s">
        <v>426</v>
      </c>
      <c r="D203" s="8">
        <v>1.5</v>
      </c>
      <c r="E203" s="8" t="s">
        <v>320</v>
      </c>
    </row>
    <row r="204" spans="1:5">
      <c r="A204" s="18">
        <v>6092903705</v>
      </c>
      <c r="B204" t="s">
        <v>1471</v>
      </c>
      <c r="C204" t="s">
        <v>426</v>
      </c>
      <c r="D204" s="8">
        <v>2</v>
      </c>
      <c r="E204" s="8" t="s">
        <v>174</v>
      </c>
    </row>
    <row r="205" spans="1:5">
      <c r="A205" s="18">
        <v>6092903705</v>
      </c>
      <c r="B205" t="s">
        <v>1472</v>
      </c>
      <c r="C205" t="s">
        <v>426</v>
      </c>
      <c r="D205" s="8">
        <v>2.5</v>
      </c>
      <c r="E205" s="8" t="s">
        <v>169</v>
      </c>
    </row>
    <row r="206" spans="1:5">
      <c r="A206" s="18">
        <v>6092903705</v>
      </c>
      <c r="B206" t="s">
        <v>1473</v>
      </c>
      <c r="C206" t="s">
        <v>426</v>
      </c>
      <c r="D206" s="8">
        <v>3</v>
      </c>
      <c r="E206" s="8" t="s">
        <v>176</v>
      </c>
    </row>
    <row r="207" spans="1:5">
      <c r="A207" s="18">
        <v>6092903705</v>
      </c>
      <c r="B207" t="s">
        <v>1474</v>
      </c>
      <c r="C207" t="s">
        <v>426</v>
      </c>
      <c r="D207" s="8">
        <v>3.5</v>
      </c>
      <c r="E207" s="8" t="s">
        <v>323</v>
      </c>
    </row>
    <row r="208" spans="1:5">
      <c r="A208" s="18">
        <v>6092903705</v>
      </c>
      <c r="B208" t="s">
        <v>1475</v>
      </c>
      <c r="C208" t="s">
        <v>426</v>
      </c>
      <c r="D208" s="8">
        <v>4</v>
      </c>
      <c r="E208" s="8" t="s">
        <v>178</v>
      </c>
    </row>
    <row r="209" spans="1:5">
      <c r="A209" s="18">
        <v>6092903705</v>
      </c>
      <c r="B209" t="s">
        <v>1476</v>
      </c>
      <c r="C209" t="s">
        <v>426</v>
      </c>
      <c r="D209" s="8">
        <v>4.5</v>
      </c>
      <c r="E209" s="8" t="s">
        <v>324</v>
      </c>
    </row>
    <row r="210" spans="1:5">
      <c r="A210" s="18">
        <v>6092903705</v>
      </c>
      <c r="B210" t="s">
        <v>1477</v>
      </c>
      <c r="C210" t="s">
        <v>426</v>
      </c>
      <c r="D210" s="8">
        <v>5</v>
      </c>
      <c r="E210" s="8" t="s">
        <v>180</v>
      </c>
    </row>
    <row r="211" spans="1:5">
      <c r="A211" s="18">
        <v>6092903705</v>
      </c>
      <c r="B211" t="s">
        <v>1478</v>
      </c>
      <c r="C211" t="s">
        <v>426</v>
      </c>
      <c r="D211" s="8">
        <v>5.5</v>
      </c>
      <c r="E211" s="8" t="s">
        <v>325</v>
      </c>
    </row>
    <row r="212" spans="1:5">
      <c r="A212" s="18">
        <v>6092903705</v>
      </c>
      <c r="B212" t="s">
        <v>1479</v>
      </c>
      <c r="C212" t="s">
        <v>426</v>
      </c>
      <c r="D212" s="8">
        <v>6</v>
      </c>
      <c r="E212" s="8" t="s">
        <v>182</v>
      </c>
    </row>
    <row r="213" spans="1:5">
      <c r="A213" s="18">
        <v>6092903705</v>
      </c>
      <c r="B213" t="s">
        <v>1479</v>
      </c>
      <c r="C213" t="s">
        <v>426</v>
      </c>
      <c r="D213" s="8">
        <v>6</v>
      </c>
      <c r="E213" s="8" t="s">
        <v>182</v>
      </c>
    </row>
    <row r="214" spans="1:5">
      <c r="A214" s="18">
        <v>6092903705</v>
      </c>
      <c r="B214" t="s">
        <v>1480</v>
      </c>
      <c r="C214" t="s">
        <v>426</v>
      </c>
      <c r="D214" s="8">
        <v>6.5</v>
      </c>
      <c r="E214" s="8" t="s">
        <v>326</v>
      </c>
    </row>
    <row r="215" spans="1:5">
      <c r="A215" s="18">
        <v>6092903705</v>
      </c>
      <c r="B215" t="s">
        <v>1481</v>
      </c>
      <c r="C215" t="s">
        <v>426</v>
      </c>
      <c r="D215" s="8">
        <v>7</v>
      </c>
      <c r="E215" s="8" t="s">
        <v>184</v>
      </c>
    </row>
    <row r="216" spans="1:5">
      <c r="A216" s="18">
        <v>6092903705</v>
      </c>
      <c r="B216" t="s">
        <v>1482</v>
      </c>
      <c r="C216" t="s">
        <v>426</v>
      </c>
      <c r="D216" s="8">
        <v>7.5</v>
      </c>
      <c r="E216" s="8" t="s">
        <v>330</v>
      </c>
    </row>
    <row r="217" spans="1:5">
      <c r="A217" s="18">
        <v>6092903705</v>
      </c>
      <c r="B217" t="s">
        <v>1483</v>
      </c>
      <c r="C217" t="s">
        <v>426</v>
      </c>
      <c r="D217" s="8">
        <v>8</v>
      </c>
      <c r="E217" s="8" t="s">
        <v>186</v>
      </c>
    </row>
    <row r="218" spans="1:5">
      <c r="A218" s="18">
        <v>6092903705</v>
      </c>
      <c r="B218" t="s">
        <v>1484</v>
      </c>
      <c r="C218" t="s">
        <v>426</v>
      </c>
      <c r="D218" s="8">
        <v>8.5</v>
      </c>
      <c r="E218" s="8" t="s">
        <v>333</v>
      </c>
    </row>
    <row r="219" spans="1:5">
      <c r="A219" s="18">
        <v>6092903705</v>
      </c>
      <c r="B219" t="s">
        <v>1485</v>
      </c>
      <c r="C219" t="s">
        <v>426</v>
      </c>
      <c r="D219" s="8">
        <v>9</v>
      </c>
      <c r="E219" s="8" t="s">
        <v>188</v>
      </c>
    </row>
    <row r="220" spans="1:5">
      <c r="A220" s="18">
        <v>6092903705</v>
      </c>
      <c r="B220" t="s">
        <v>1486</v>
      </c>
      <c r="C220" t="s">
        <v>426</v>
      </c>
      <c r="D220" s="8">
        <v>9.5</v>
      </c>
      <c r="E220" s="8" t="s">
        <v>335</v>
      </c>
    </row>
    <row r="221" spans="1:5">
      <c r="A221" s="18">
        <v>6092903705</v>
      </c>
      <c r="B221" t="s">
        <v>1487</v>
      </c>
      <c r="C221" t="s">
        <v>423</v>
      </c>
      <c r="D221" s="8">
        <v>10</v>
      </c>
      <c r="E221" s="8" t="s">
        <v>190</v>
      </c>
    </row>
    <row r="222" spans="1:5">
      <c r="A222" s="18">
        <v>6092903705</v>
      </c>
      <c r="B222" t="s">
        <v>1488</v>
      </c>
      <c r="C222" t="s">
        <v>423</v>
      </c>
      <c r="D222" s="8">
        <v>1</v>
      </c>
      <c r="E222" s="8" t="s">
        <v>172</v>
      </c>
    </row>
    <row r="223" spans="1:5">
      <c r="A223" s="18">
        <v>6092903705</v>
      </c>
      <c r="B223" t="s">
        <v>1489</v>
      </c>
      <c r="C223" t="s">
        <v>423</v>
      </c>
      <c r="D223" s="8">
        <v>10.5</v>
      </c>
      <c r="E223" s="8" t="s">
        <v>338</v>
      </c>
    </row>
    <row r="224" spans="1:5">
      <c r="A224" s="18">
        <v>6092903705</v>
      </c>
      <c r="B224" t="s">
        <v>1490</v>
      </c>
      <c r="C224" t="s">
        <v>423</v>
      </c>
      <c r="D224" s="8">
        <v>11</v>
      </c>
      <c r="E224" s="8" t="s">
        <v>340</v>
      </c>
    </row>
    <row r="225" spans="1:5">
      <c r="A225" s="18">
        <v>6092903705</v>
      </c>
      <c r="B225" t="s">
        <v>1491</v>
      </c>
      <c r="C225" t="s">
        <v>423</v>
      </c>
      <c r="D225" s="8">
        <v>11.5</v>
      </c>
      <c r="E225" s="8" t="s">
        <v>342</v>
      </c>
    </row>
    <row r="226" spans="1:5" s="18" customFormat="1">
      <c r="A226" s="18">
        <v>6092903705</v>
      </c>
      <c r="B226" s="18" t="s">
        <v>1492</v>
      </c>
      <c r="C226" s="18" t="s">
        <v>457</v>
      </c>
      <c r="D226" s="24">
        <v>1</v>
      </c>
      <c r="E226" s="24" t="s">
        <v>458</v>
      </c>
    </row>
    <row r="227" spans="1:5" s="18" customFormat="1">
      <c r="A227" s="18">
        <v>6092903705</v>
      </c>
      <c r="B227" s="18" t="s">
        <v>1493</v>
      </c>
      <c r="C227" s="18" t="s">
        <v>457</v>
      </c>
      <c r="D227" s="24">
        <v>1.5</v>
      </c>
      <c r="E227" s="24" t="s">
        <v>1392</v>
      </c>
    </row>
    <row r="228" spans="1:5" s="18" customFormat="1">
      <c r="A228" s="18">
        <v>6092903705</v>
      </c>
      <c r="B228" s="18" t="s">
        <v>1494</v>
      </c>
      <c r="C228" s="18" t="s">
        <v>457</v>
      </c>
      <c r="D228" s="24">
        <v>2</v>
      </c>
      <c r="E228" s="24" t="s">
        <v>174</v>
      </c>
    </row>
    <row r="229" spans="1:5" s="18" customFormat="1">
      <c r="A229" s="18">
        <v>6092903705</v>
      </c>
      <c r="B229" s="18" t="s">
        <v>1495</v>
      </c>
      <c r="C229" s="18" t="s">
        <v>457</v>
      </c>
      <c r="D229" s="24">
        <v>2.5</v>
      </c>
      <c r="E229" s="24" t="s">
        <v>1393</v>
      </c>
    </row>
    <row r="230" spans="1:5" s="18" customFormat="1">
      <c r="A230" s="18">
        <v>6092903705</v>
      </c>
      <c r="B230" s="18" t="s">
        <v>1496</v>
      </c>
      <c r="C230" s="18" t="s">
        <v>457</v>
      </c>
      <c r="D230" s="24">
        <v>3</v>
      </c>
      <c r="E230" s="24" t="s">
        <v>1394</v>
      </c>
    </row>
    <row r="231" spans="1:5" s="18" customFormat="1">
      <c r="A231" s="18">
        <v>6092903705</v>
      </c>
      <c r="B231" s="18" t="s">
        <v>1497</v>
      </c>
      <c r="C231" s="18" t="s">
        <v>457</v>
      </c>
      <c r="D231" s="24">
        <v>3.5</v>
      </c>
      <c r="E231" s="24" t="s">
        <v>1395</v>
      </c>
    </row>
    <row r="232" spans="1:5" s="18" customFormat="1">
      <c r="A232" s="18">
        <v>6092903705</v>
      </c>
      <c r="B232" s="18" t="s">
        <v>1498</v>
      </c>
      <c r="C232" s="18" t="s">
        <v>1391</v>
      </c>
      <c r="D232" s="24">
        <v>4</v>
      </c>
      <c r="E232" s="24" t="s">
        <v>1396</v>
      </c>
    </row>
    <row r="233" spans="1:5" s="18" customFormat="1">
      <c r="A233" s="18">
        <v>6092903705</v>
      </c>
      <c r="B233" s="18" t="s">
        <v>1499</v>
      </c>
      <c r="C233" s="18" t="s">
        <v>1391</v>
      </c>
      <c r="D233" s="24">
        <v>4.5</v>
      </c>
      <c r="E233" s="24" t="s">
        <v>1397</v>
      </c>
    </row>
    <row r="234" spans="1:5" s="18" customFormat="1">
      <c r="A234" s="18">
        <v>6092903705</v>
      </c>
      <c r="B234" s="18" t="s">
        <v>1500</v>
      </c>
      <c r="C234" s="18" t="s">
        <v>457</v>
      </c>
      <c r="D234" s="24">
        <v>5</v>
      </c>
      <c r="E234" s="24" t="s">
        <v>180</v>
      </c>
    </row>
    <row r="235" spans="1:5">
      <c r="A235" s="18">
        <v>6092903705</v>
      </c>
      <c r="B235" t="s">
        <v>1501</v>
      </c>
      <c r="C235" t="s">
        <v>423</v>
      </c>
      <c r="D235" s="8">
        <v>12</v>
      </c>
      <c r="E235" s="8" t="s">
        <v>344</v>
      </c>
    </row>
    <row r="236" spans="1:5">
      <c r="A236" s="18">
        <v>6092903705</v>
      </c>
      <c r="B236" t="s">
        <v>1502</v>
      </c>
      <c r="C236" t="s">
        <v>423</v>
      </c>
      <c r="D236" s="8">
        <v>1.5</v>
      </c>
      <c r="E236" s="8" t="s">
        <v>320</v>
      </c>
    </row>
    <row r="237" spans="1:5">
      <c r="A237" s="18">
        <v>6092903705</v>
      </c>
      <c r="B237" t="s">
        <v>1503</v>
      </c>
      <c r="C237" t="s">
        <v>423</v>
      </c>
      <c r="D237" s="8">
        <v>2</v>
      </c>
      <c r="E237" s="8" t="s">
        <v>174</v>
      </c>
    </row>
    <row r="238" spans="1:5">
      <c r="A238" s="18">
        <v>6092903705</v>
      </c>
      <c r="B238" t="s">
        <v>1504</v>
      </c>
      <c r="C238" t="s">
        <v>423</v>
      </c>
      <c r="D238" s="8">
        <v>2.5</v>
      </c>
      <c r="E238" s="8" t="s">
        <v>169</v>
      </c>
    </row>
    <row r="239" spans="1:5">
      <c r="A239" s="18">
        <v>6092903705</v>
      </c>
      <c r="B239" t="s">
        <v>1505</v>
      </c>
      <c r="C239" t="s">
        <v>423</v>
      </c>
      <c r="D239" s="8">
        <v>3</v>
      </c>
      <c r="E239" s="8" t="s">
        <v>176</v>
      </c>
    </row>
    <row r="240" spans="1:5">
      <c r="A240" s="18">
        <v>6092903705</v>
      </c>
      <c r="B240" t="s">
        <v>1506</v>
      </c>
      <c r="C240" t="s">
        <v>423</v>
      </c>
      <c r="D240" s="8">
        <v>3.5</v>
      </c>
      <c r="E240" s="8" t="s">
        <v>323</v>
      </c>
    </row>
    <row r="241" spans="1:5">
      <c r="A241" s="18">
        <v>6092903705</v>
      </c>
      <c r="B241" t="s">
        <v>1507</v>
      </c>
      <c r="C241" t="s">
        <v>423</v>
      </c>
      <c r="D241" s="8">
        <v>4</v>
      </c>
      <c r="E241" s="8" t="s">
        <v>178</v>
      </c>
    </row>
    <row r="242" spans="1:5">
      <c r="A242" s="18">
        <v>6092903705</v>
      </c>
      <c r="B242" t="s">
        <v>1508</v>
      </c>
      <c r="C242" t="s">
        <v>423</v>
      </c>
      <c r="D242" s="8">
        <v>4.5</v>
      </c>
      <c r="E242" s="8" t="s">
        <v>324</v>
      </c>
    </row>
    <row r="243" spans="1:5">
      <c r="A243" s="18">
        <v>6092903705</v>
      </c>
      <c r="B243" t="s">
        <v>1509</v>
      </c>
      <c r="C243" t="s">
        <v>423</v>
      </c>
      <c r="D243" s="8">
        <v>5</v>
      </c>
      <c r="E243" s="8" t="s">
        <v>180</v>
      </c>
    </row>
    <row r="244" spans="1:5">
      <c r="A244" s="18">
        <v>6092903705</v>
      </c>
      <c r="B244" t="s">
        <v>1510</v>
      </c>
      <c r="C244" t="s">
        <v>423</v>
      </c>
      <c r="D244" s="8">
        <v>5.5</v>
      </c>
      <c r="E244" s="8" t="s">
        <v>325</v>
      </c>
    </row>
    <row r="245" spans="1:5">
      <c r="A245" s="18">
        <v>6092903705</v>
      </c>
      <c r="B245" t="s">
        <v>1511</v>
      </c>
      <c r="C245" t="s">
        <v>423</v>
      </c>
      <c r="D245" s="8">
        <v>6</v>
      </c>
      <c r="E245" s="8" t="s">
        <v>182</v>
      </c>
    </row>
    <row r="246" spans="1:5">
      <c r="A246" s="18">
        <v>6092903705</v>
      </c>
      <c r="B246" t="s">
        <v>1512</v>
      </c>
      <c r="C246" t="s">
        <v>423</v>
      </c>
      <c r="D246" s="8">
        <v>6.5</v>
      </c>
      <c r="E246" s="8" t="s">
        <v>326</v>
      </c>
    </row>
    <row r="247" spans="1:5">
      <c r="A247" s="18">
        <v>6092903705</v>
      </c>
      <c r="B247" t="s">
        <v>1513</v>
      </c>
      <c r="C247" t="s">
        <v>423</v>
      </c>
      <c r="D247" s="8">
        <v>7</v>
      </c>
      <c r="E247" s="8" t="s">
        <v>184</v>
      </c>
    </row>
    <row r="248" spans="1:5">
      <c r="A248" s="18">
        <v>6092903705</v>
      </c>
      <c r="B248" t="s">
        <v>1514</v>
      </c>
      <c r="C248" t="s">
        <v>423</v>
      </c>
      <c r="D248" s="8">
        <v>7.5</v>
      </c>
      <c r="E248" s="8" t="s">
        <v>330</v>
      </c>
    </row>
    <row r="249" spans="1:5">
      <c r="A249" s="18">
        <v>6092903705</v>
      </c>
      <c r="B249" t="s">
        <v>1515</v>
      </c>
      <c r="C249" t="s">
        <v>423</v>
      </c>
      <c r="D249" s="8">
        <v>8</v>
      </c>
      <c r="E249" s="8" t="s">
        <v>186</v>
      </c>
    </row>
    <row r="250" spans="1:5">
      <c r="A250" s="18">
        <v>6092903705</v>
      </c>
      <c r="B250" t="s">
        <v>1516</v>
      </c>
      <c r="C250" t="s">
        <v>423</v>
      </c>
      <c r="D250" s="8">
        <v>8.5</v>
      </c>
      <c r="E250" s="8" t="s">
        <v>333</v>
      </c>
    </row>
    <row r="251" spans="1:5">
      <c r="A251" s="18">
        <v>6092903705</v>
      </c>
      <c r="B251" t="s">
        <v>1517</v>
      </c>
      <c r="C251" t="s">
        <v>423</v>
      </c>
      <c r="D251" s="8">
        <v>9</v>
      </c>
      <c r="E251" s="8" t="s">
        <v>188</v>
      </c>
    </row>
    <row r="252" spans="1:5">
      <c r="A252" s="18">
        <v>6092903705</v>
      </c>
      <c r="B252" t="s">
        <v>1518</v>
      </c>
      <c r="C252" t="s">
        <v>423</v>
      </c>
      <c r="D252" s="8">
        <v>9.5</v>
      </c>
      <c r="E252" s="8" t="s">
        <v>335</v>
      </c>
    </row>
    <row r="253" spans="1:5" s="76" customFormat="1">
      <c r="A253" s="76">
        <v>6092903705</v>
      </c>
      <c r="B253" s="76" t="s">
        <v>1519</v>
      </c>
      <c r="C253" s="76" t="s">
        <v>550</v>
      </c>
      <c r="D253" s="77">
        <v>1</v>
      </c>
      <c r="E253" s="77" t="s">
        <v>510</v>
      </c>
    </row>
    <row r="254" spans="1:5" s="76" customFormat="1">
      <c r="A254" s="76">
        <v>6092903705</v>
      </c>
      <c r="B254" s="76" t="s">
        <v>1520</v>
      </c>
      <c r="C254" s="76" t="s">
        <v>550</v>
      </c>
      <c r="D254" s="77">
        <v>1.5</v>
      </c>
      <c r="E254" s="77" t="s">
        <v>320</v>
      </c>
    </row>
    <row r="255" spans="1:5" s="76" customFormat="1">
      <c r="A255" s="76">
        <v>6092903705</v>
      </c>
      <c r="B255" s="76" t="s">
        <v>1521</v>
      </c>
      <c r="C255" s="76" t="s">
        <v>550</v>
      </c>
      <c r="D255" s="77">
        <v>2</v>
      </c>
      <c r="E255" s="77" t="s">
        <v>174</v>
      </c>
    </row>
    <row r="256" spans="1:5" s="76" customFormat="1">
      <c r="A256" s="76">
        <v>6092903705</v>
      </c>
      <c r="B256" s="76" t="s">
        <v>1522</v>
      </c>
      <c r="C256" s="76" t="s">
        <v>550</v>
      </c>
      <c r="D256" s="77">
        <v>2.5</v>
      </c>
      <c r="E256" s="77" t="s">
        <v>169</v>
      </c>
    </row>
    <row r="257" spans="1:5" s="76" customFormat="1">
      <c r="A257" s="76">
        <v>6092903705</v>
      </c>
      <c r="B257" s="76" t="s">
        <v>1523</v>
      </c>
      <c r="C257" s="76" t="s">
        <v>550</v>
      </c>
      <c r="D257" s="77">
        <v>3</v>
      </c>
      <c r="E257" s="77" t="s">
        <v>176</v>
      </c>
    </row>
    <row r="258" spans="1:5" s="76" customFormat="1">
      <c r="A258" s="76">
        <v>6092903705</v>
      </c>
      <c r="B258" s="76" t="s">
        <v>1524</v>
      </c>
      <c r="C258" s="76" t="s">
        <v>550</v>
      </c>
      <c r="D258" s="77">
        <v>3.5</v>
      </c>
      <c r="E258" s="77" t="s">
        <v>323</v>
      </c>
    </row>
    <row r="259" spans="1:5" s="76" customFormat="1">
      <c r="A259" s="76">
        <v>6092903705</v>
      </c>
      <c r="B259" s="76" t="s">
        <v>1525</v>
      </c>
      <c r="C259" s="76" t="s">
        <v>550</v>
      </c>
      <c r="D259" s="77">
        <v>4</v>
      </c>
      <c r="E259" s="77" t="s">
        <v>178</v>
      </c>
    </row>
    <row r="260" spans="1:5" s="76" customFormat="1">
      <c r="A260" s="76">
        <v>6092903705</v>
      </c>
      <c r="B260" s="76" t="s">
        <v>1526</v>
      </c>
      <c r="C260" s="76" t="s">
        <v>550</v>
      </c>
      <c r="D260" s="77">
        <v>4.5</v>
      </c>
      <c r="E260" s="77" t="s">
        <v>324</v>
      </c>
    </row>
    <row r="261" spans="1:5" s="76" customFormat="1">
      <c r="A261" s="76">
        <v>6092903705</v>
      </c>
      <c r="B261" s="76" t="s">
        <v>1527</v>
      </c>
      <c r="C261" s="76" t="s">
        <v>550</v>
      </c>
      <c r="D261" s="77">
        <v>5</v>
      </c>
      <c r="E261" s="77" t="s">
        <v>180</v>
      </c>
    </row>
    <row r="262" spans="1:5" s="76" customFormat="1">
      <c r="A262" s="76">
        <v>6092903705</v>
      </c>
      <c r="B262" s="76" t="s">
        <v>1528</v>
      </c>
      <c r="C262" s="76" t="s">
        <v>550</v>
      </c>
      <c r="D262" s="77">
        <v>5.5</v>
      </c>
      <c r="E262" s="77" t="s">
        <v>325</v>
      </c>
    </row>
    <row r="263" spans="1:5" s="76" customFormat="1">
      <c r="A263" s="76">
        <v>6092903705</v>
      </c>
      <c r="B263" s="76" t="s">
        <v>1529</v>
      </c>
      <c r="C263" s="76" t="s">
        <v>550</v>
      </c>
      <c r="D263" s="77">
        <v>6</v>
      </c>
      <c r="E263" s="77" t="s">
        <v>182</v>
      </c>
    </row>
    <row r="264" spans="1:5" s="76" customFormat="1">
      <c r="A264" s="76">
        <v>6092903705</v>
      </c>
      <c r="B264" s="76" t="s">
        <v>1530</v>
      </c>
      <c r="C264" s="76" t="s">
        <v>550</v>
      </c>
      <c r="D264" s="77">
        <v>6.5</v>
      </c>
      <c r="E264" s="77" t="s">
        <v>326</v>
      </c>
    </row>
    <row r="265" spans="1:5" s="76" customFormat="1">
      <c r="A265" s="76">
        <v>6092903705</v>
      </c>
      <c r="B265" s="76" t="s">
        <v>1531</v>
      </c>
      <c r="C265" s="76" t="s">
        <v>550</v>
      </c>
      <c r="D265" s="77">
        <v>7</v>
      </c>
      <c r="E265" s="77" t="s">
        <v>184</v>
      </c>
    </row>
    <row r="266" spans="1:5" s="76" customFormat="1">
      <c r="A266" s="76">
        <v>6092903705</v>
      </c>
      <c r="B266" s="76" t="s">
        <v>1532</v>
      </c>
      <c r="C266" s="76" t="s">
        <v>550</v>
      </c>
      <c r="D266" s="77">
        <v>7.5</v>
      </c>
      <c r="E266" s="77" t="s">
        <v>330</v>
      </c>
    </row>
    <row r="267" spans="1:5" s="76" customFormat="1">
      <c r="A267" s="76">
        <v>6092903705</v>
      </c>
      <c r="B267" s="76" t="s">
        <v>1414</v>
      </c>
      <c r="C267" s="76" t="s">
        <v>550</v>
      </c>
      <c r="D267" s="77">
        <v>8</v>
      </c>
      <c r="E267" s="77" t="s">
        <v>186</v>
      </c>
    </row>
    <row r="268" spans="1:5" s="76" customFormat="1">
      <c r="A268" s="76">
        <v>6092903705</v>
      </c>
      <c r="B268" s="76" t="s">
        <v>1533</v>
      </c>
      <c r="C268" s="76" t="s">
        <v>550</v>
      </c>
      <c r="D268" s="77">
        <v>8.5</v>
      </c>
      <c r="E268" s="77" t="s">
        <v>333</v>
      </c>
    </row>
    <row r="269" spans="1:5" s="76" customFormat="1">
      <c r="A269" s="76">
        <v>6092903705</v>
      </c>
      <c r="B269" s="76" t="s">
        <v>1534</v>
      </c>
      <c r="C269" s="76" t="s">
        <v>550</v>
      </c>
      <c r="D269" s="77">
        <v>9</v>
      </c>
      <c r="E269" s="77" t="s">
        <v>188</v>
      </c>
    </row>
    <row r="270" spans="1:5" s="76" customFormat="1">
      <c r="A270" s="76">
        <v>6092903705</v>
      </c>
      <c r="B270" s="76" t="s">
        <v>1535</v>
      </c>
      <c r="C270" s="76" t="s">
        <v>550</v>
      </c>
      <c r="D270" s="77">
        <v>9.5</v>
      </c>
      <c r="E270" s="77" t="s">
        <v>335</v>
      </c>
    </row>
    <row r="271" spans="1:5" s="22" customFormat="1">
      <c r="A271" s="22">
        <v>6092903705</v>
      </c>
      <c r="B271" s="22" t="s">
        <v>1536</v>
      </c>
      <c r="C271" s="22" t="s">
        <v>460</v>
      </c>
      <c r="D271" s="32">
        <v>1</v>
      </c>
      <c r="E271" s="32" t="s">
        <v>510</v>
      </c>
    </row>
    <row r="272" spans="1:5" s="22" customFormat="1">
      <c r="A272" s="22">
        <v>6092903705</v>
      </c>
      <c r="B272" s="22" t="s">
        <v>1537</v>
      </c>
      <c r="C272" s="22" t="s">
        <v>460</v>
      </c>
      <c r="D272" s="32">
        <v>1.5</v>
      </c>
      <c r="E272" s="32" t="s">
        <v>320</v>
      </c>
    </row>
    <row r="273" spans="1:5" s="22" customFormat="1">
      <c r="A273" s="22">
        <v>6092903705</v>
      </c>
      <c r="B273" s="22" t="s">
        <v>1538</v>
      </c>
      <c r="C273" s="22" t="s">
        <v>460</v>
      </c>
      <c r="D273" s="32">
        <v>2</v>
      </c>
      <c r="E273" s="32" t="s">
        <v>174</v>
      </c>
    </row>
    <row r="274" spans="1:5" s="22" customFormat="1">
      <c r="A274" s="22">
        <v>6092903705</v>
      </c>
      <c r="B274" s="22" t="s">
        <v>1416</v>
      </c>
      <c r="C274" s="22" t="s">
        <v>460</v>
      </c>
      <c r="D274" s="32">
        <v>2.5</v>
      </c>
      <c r="E274" s="32" t="s">
        <v>169</v>
      </c>
    </row>
    <row r="275" spans="1:5" s="22" customFormat="1">
      <c r="A275" s="22">
        <v>6092903705</v>
      </c>
      <c r="B275" s="22" t="s">
        <v>1539</v>
      </c>
      <c r="C275" s="22" t="s">
        <v>460</v>
      </c>
      <c r="D275" s="32">
        <v>3</v>
      </c>
      <c r="E275" s="32" t="s">
        <v>176</v>
      </c>
    </row>
    <row r="276" spans="1:5" s="22" customFormat="1">
      <c r="A276" s="22">
        <v>6092903705</v>
      </c>
      <c r="B276" s="22" t="s">
        <v>1540</v>
      </c>
      <c r="C276" s="22" t="s">
        <v>460</v>
      </c>
      <c r="D276" s="32">
        <v>3.5</v>
      </c>
      <c r="E276" s="32" t="s">
        <v>323</v>
      </c>
    </row>
    <row r="277" spans="1:5" s="22" customFormat="1">
      <c r="A277" s="22">
        <v>6092903705</v>
      </c>
      <c r="B277" s="22" t="s">
        <v>1541</v>
      </c>
      <c r="C277" s="22" t="s">
        <v>460</v>
      </c>
      <c r="D277" s="32">
        <v>4</v>
      </c>
      <c r="E277" s="32" t="s">
        <v>178</v>
      </c>
    </row>
    <row r="278" spans="1:5" s="22" customFormat="1">
      <c r="A278" s="22">
        <v>6092903705</v>
      </c>
      <c r="B278" s="22" t="s">
        <v>1542</v>
      </c>
      <c r="C278" s="22" t="s">
        <v>460</v>
      </c>
      <c r="D278" s="32">
        <v>4.5</v>
      </c>
      <c r="E278" s="32" t="s">
        <v>324</v>
      </c>
    </row>
    <row r="279" spans="1:5" s="22" customFormat="1">
      <c r="A279" s="22">
        <v>6092903705</v>
      </c>
      <c r="B279" s="22" t="s">
        <v>1543</v>
      </c>
      <c r="C279" s="22" t="s">
        <v>460</v>
      </c>
      <c r="D279" s="32">
        <v>5</v>
      </c>
      <c r="E279" s="32" t="s">
        <v>180</v>
      </c>
    </row>
    <row r="280" spans="1:5" s="22" customFormat="1">
      <c r="A280" s="22">
        <v>6092903705</v>
      </c>
      <c r="B280" s="22" t="s">
        <v>1544</v>
      </c>
      <c r="C280" s="22" t="s">
        <v>460</v>
      </c>
      <c r="D280" s="32">
        <v>5.5</v>
      </c>
      <c r="E280" s="32" t="s">
        <v>325</v>
      </c>
    </row>
    <row r="281" spans="1:5" s="22" customFormat="1">
      <c r="A281" s="22">
        <v>6092903705</v>
      </c>
      <c r="B281" s="22" t="s">
        <v>1545</v>
      </c>
      <c r="C281" s="22" t="s">
        <v>460</v>
      </c>
      <c r="D281" s="32">
        <v>6</v>
      </c>
      <c r="E281" s="32" t="s">
        <v>182</v>
      </c>
    </row>
    <row r="282" spans="1:5" s="33" customFormat="1">
      <c r="A282" s="33">
        <v>6092903705</v>
      </c>
      <c r="B282" s="33" t="s">
        <v>1546</v>
      </c>
      <c r="C282" s="33" t="s">
        <v>551</v>
      </c>
      <c r="D282" s="34">
        <v>1</v>
      </c>
      <c r="E282" s="34" t="s">
        <v>510</v>
      </c>
    </row>
    <row r="283" spans="1:5" s="33" customFormat="1">
      <c r="A283" s="33">
        <v>6092903705</v>
      </c>
      <c r="B283" s="33" t="s">
        <v>1547</v>
      </c>
      <c r="C283" s="33" t="s">
        <v>551</v>
      </c>
      <c r="D283" s="34">
        <v>1.5</v>
      </c>
      <c r="E283" s="34" t="s">
        <v>320</v>
      </c>
    </row>
    <row r="284" spans="1:5" s="33" customFormat="1">
      <c r="A284" s="33">
        <v>6092903705</v>
      </c>
      <c r="B284" s="33" t="s">
        <v>1548</v>
      </c>
      <c r="C284" s="33" t="s">
        <v>551</v>
      </c>
      <c r="D284" s="34">
        <v>2</v>
      </c>
      <c r="E284" s="34" t="s">
        <v>174</v>
      </c>
    </row>
    <row r="285" spans="1:5" s="33" customFormat="1">
      <c r="A285" s="33">
        <v>6092903705</v>
      </c>
      <c r="B285" s="33" t="s">
        <v>1415</v>
      </c>
      <c r="C285" s="33" t="s">
        <v>551</v>
      </c>
      <c r="D285" s="34">
        <v>2.5</v>
      </c>
      <c r="E285" s="34" t="s">
        <v>169</v>
      </c>
    </row>
    <row r="286" spans="1:5" s="33" customFormat="1">
      <c r="A286" s="33">
        <v>6092903705</v>
      </c>
      <c r="B286" s="33" t="s">
        <v>1549</v>
      </c>
      <c r="C286" s="33" t="s">
        <v>551</v>
      </c>
      <c r="D286" s="34">
        <v>3</v>
      </c>
      <c r="E286" s="34" t="s">
        <v>176</v>
      </c>
    </row>
    <row r="287" spans="1:5" s="33" customFormat="1">
      <c r="A287" s="33">
        <v>6092903705</v>
      </c>
      <c r="B287" s="33" t="s">
        <v>1550</v>
      </c>
      <c r="C287" s="33" t="s">
        <v>551</v>
      </c>
      <c r="D287" s="34">
        <v>3.5</v>
      </c>
      <c r="E287" s="34" t="s">
        <v>323</v>
      </c>
    </row>
    <row r="288" spans="1:5" s="33" customFormat="1">
      <c r="A288" s="33">
        <v>6092903705</v>
      </c>
      <c r="B288" s="33" t="s">
        <v>1551</v>
      </c>
      <c r="C288" s="33" t="s">
        <v>551</v>
      </c>
      <c r="D288" s="34">
        <v>4</v>
      </c>
      <c r="E288" s="34" t="s">
        <v>178</v>
      </c>
    </row>
    <row r="289" spans="1:5" s="33" customFormat="1">
      <c r="A289" s="33">
        <v>6092903705</v>
      </c>
      <c r="B289" s="33" t="s">
        <v>1552</v>
      </c>
      <c r="C289" s="33" t="s">
        <v>551</v>
      </c>
      <c r="D289" s="34">
        <v>4.5</v>
      </c>
      <c r="E289" s="34" t="s">
        <v>324</v>
      </c>
    </row>
    <row r="290" spans="1:5" s="33" customFormat="1">
      <c r="A290" s="33">
        <v>6092903705</v>
      </c>
      <c r="B290" s="33" t="s">
        <v>1553</v>
      </c>
      <c r="C290" s="33" t="s">
        <v>551</v>
      </c>
      <c r="D290" s="34">
        <v>5</v>
      </c>
      <c r="E290" s="34" t="s">
        <v>180</v>
      </c>
    </row>
    <row r="291" spans="1:5" s="33" customFormat="1">
      <c r="A291" s="33">
        <v>6092903705</v>
      </c>
      <c r="B291" s="33" t="s">
        <v>1554</v>
      </c>
      <c r="C291" s="33" t="s">
        <v>551</v>
      </c>
      <c r="D291" s="34">
        <v>5.5</v>
      </c>
      <c r="E291" s="34" t="s">
        <v>325</v>
      </c>
    </row>
    <row r="292" spans="1:5" s="33" customFormat="1">
      <c r="A292" s="33">
        <v>6092903705</v>
      </c>
      <c r="B292" s="33" t="s">
        <v>1555</v>
      </c>
      <c r="C292" s="33" t="s">
        <v>551</v>
      </c>
      <c r="D292" s="34">
        <v>6</v>
      </c>
      <c r="E292" s="34" t="s">
        <v>182</v>
      </c>
    </row>
    <row r="293" spans="1:5" s="30" customFormat="1">
      <c r="A293" s="30">
        <v>6092903705</v>
      </c>
      <c r="B293" s="30" t="s">
        <v>1556</v>
      </c>
      <c r="C293" s="30" t="s">
        <v>423</v>
      </c>
      <c r="D293" s="31">
        <v>10</v>
      </c>
      <c r="E293" s="31" t="s">
        <v>190</v>
      </c>
    </row>
    <row r="294" spans="1:5" s="30" customFormat="1">
      <c r="A294" s="30">
        <v>6092903705</v>
      </c>
      <c r="B294" s="30" t="s">
        <v>1519</v>
      </c>
      <c r="C294" s="30" t="s">
        <v>452</v>
      </c>
      <c r="D294" s="31">
        <v>1</v>
      </c>
      <c r="E294" s="31" t="s">
        <v>172</v>
      </c>
    </row>
    <row r="295" spans="1:5" s="30" customFormat="1">
      <c r="A295" s="30">
        <v>6092903705</v>
      </c>
      <c r="B295" s="30" t="s">
        <v>1557</v>
      </c>
      <c r="C295" s="30" t="s">
        <v>452</v>
      </c>
      <c r="D295" s="31">
        <v>10.5</v>
      </c>
      <c r="E295" s="31" t="s">
        <v>338</v>
      </c>
    </row>
    <row r="296" spans="1:5" s="30" customFormat="1">
      <c r="A296" s="30">
        <v>6092903705</v>
      </c>
      <c r="B296" s="30" t="s">
        <v>1558</v>
      </c>
      <c r="C296" s="30" t="s">
        <v>452</v>
      </c>
      <c r="D296" s="31">
        <v>11</v>
      </c>
      <c r="E296" s="31" t="s">
        <v>340</v>
      </c>
    </row>
    <row r="297" spans="1:5" s="30" customFormat="1">
      <c r="A297" s="30">
        <v>6092903705</v>
      </c>
      <c r="B297" s="30" t="s">
        <v>1559</v>
      </c>
      <c r="C297" s="30" t="s">
        <v>452</v>
      </c>
      <c r="D297" s="31">
        <v>11.5</v>
      </c>
      <c r="E297" s="31" t="s">
        <v>342</v>
      </c>
    </row>
    <row r="298" spans="1:5" s="30" customFormat="1">
      <c r="A298" s="30">
        <v>6092903705</v>
      </c>
      <c r="B298" s="30" t="s">
        <v>1560</v>
      </c>
      <c r="C298" s="30" t="s">
        <v>452</v>
      </c>
      <c r="D298" s="31">
        <v>12</v>
      </c>
      <c r="E298" s="31" t="s">
        <v>344</v>
      </c>
    </row>
    <row r="299" spans="1:5" s="30" customFormat="1">
      <c r="A299" s="30">
        <v>6092903705</v>
      </c>
      <c r="B299" s="30" t="s">
        <v>1520</v>
      </c>
      <c r="C299" s="30" t="s">
        <v>452</v>
      </c>
      <c r="D299" s="31">
        <v>1.5</v>
      </c>
      <c r="E299" s="31" t="s">
        <v>320</v>
      </c>
    </row>
    <row r="300" spans="1:5" s="30" customFormat="1">
      <c r="A300" s="30">
        <v>6092903705</v>
      </c>
      <c r="B300" s="30" t="s">
        <v>1521</v>
      </c>
      <c r="C300" s="30" t="s">
        <v>452</v>
      </c>
      <c r="D300" s="31">
        <v>2</v>
      </c>
      <c r="E300" s="31" t="s">
        <v>174</v>
      </c>
    </row>
    <row r="301" spans="1:5" s="30" customFormat="1">
      <c r="A301" s="30">
        <v>6092903705</v>
      </c>
      <c r="B301" s="30" t="s">
        <v>1522</v>
      </c>
      <c r="C301" s="30" t="s">
        <v>452</v>
      </c>
      <c r="D301" s="31">
        <v>2.5</v>
      </c>
      <c r="E301" s="31" t="s">
        <v>169</v>
      </c>
    </row>
    <row r="302" spans="1:5" s="30" customFormat="1">
      <c r="A302" s="30">
        <v>6092903705</v>
      </c>
      <c r="B302" s="30" t="s">
        <v>1523</v>
      </c>
      <c r="C302" s="30" t="s">
        <v>452</v>
      </c>
      <c r="D302" s="31">
        <v>3</v>
      </c>
      <c r="E302" s="31" t="s">
        <v>176</v>
      </c>
    </row>
    <row r="303" spans="1:5" s="30" customFormat="1">
      <c r="A303" s="30">
        <v>6092903705</v>
      </c>
      <c r="B303" s="30" t="s">
        <v>1524</v>
      </c>
      <c r="C303" s="30" t="s">
        <v>452</v>
      </c>
      <c r="D303" s="31">
        <v>3.5</v>
      </c>
      <c r="E303" s="31" t="s">
        <v>323</v>
      </c>
    </row>
    <row r="304" spans="1:5" s="30" customFormat="1">
      <c r="A304" s="30">
        <v>6092903705</v>
      </c>
      <c r="B304" s="30" t="s">
        <v>1525</v>
      </c>
      <c r="C304" s="30" t="s">
        <v>452</v>
      </c>
      <c r="D304" s="31">
        <v>4</v>
      </c>
      <c r="E304" s="31" t="s">
        <v>178</v>
      </c>
    </row>
    <row r="305" spans="1:5" s="30" customFormat="1">
      <c r="A305" s="30">
        <v>6092903705</v>
      </c>
      <c r="B305" s="30" t="s">
        <v>1526</v>
      </c>
      <c r="C305" s="30" t="s">
        <v>452</v>
      </c>
      <c r="D305" s="31">
        <v>4.5</v>
      </c>
      <c r="E305" s="31" t="s">
        <v>324</v>
      </c>
    </row>
    <row r="306" spans="1:5" s="30" customFormat="1">
      <c r="A306" s="30">
        <v>6092903705</v>
      </c>
      <c r="B306" s="30" t="s">
        <v>1527</v>
      </c>
      <c r="C306" s="30" t="s">
        <v>452</v>
      </c>
      <c r="D306" s="31">
        <v>5</v>
      </c>
      <c r="E306" s="31" t="s">
        <v>180</v>
      </c>
    </row>
    <row r="307" spans="1:5" s="30" customFormat="1">
      <c r="A307" s="30">
        <v>6092903705</v>
      </c>
      <c r="B307" s="30" t="s">
        <v>1528</v>
      </c>
      <c r="C307" s="30" t="s">
        <v>452</v>
      </c>
      <c r="D307" s="31">
        <v>5.5</v>
      </c>
      <c r="E307" s="31" t="s">
        <v>325</v>
      </c>
    </row>
    <row r="308" spans="1:5" s="30" customFormat="1">
      <c r="A308" s="30">
        <v>6092903705</v>
      </c>
      <c r="B308" s="30" t="s">
        <v>1529</v>
      </c>
      <c r="C308" s="30" t="s">
        <v>452</v>
      </c>
      <c r="D308" s="31">
        <v>6</v>
      </c>
      <c r="E308" s="31" t="s">
        <v>182</v>
      </c>
    </row>
    <row r="309" spans="1:5" s="30" customFormat="1">
      <c r="A309" s="30">
        <v>6092903705</v>
      </c>
      <c r="B309" s="30" t="s">
        <v>1530</v>
      </c>
      <c r="C309" s="30" t="s">
        <v>452</v>
      </c>
      <c r="D309" s="31">
        <v>6.5</v>
      </c>
      <c r="E309" s="31" t="s">
        <v>326</v>
      </c>
    </row>
    <row r="310" spans="1:5" s="30" customFormat="1">
      <c r="A310" s="30">
        <v>6092903705</v>
      </c>
      <c r="B310" s="30" t="s">
        <v>1531</v>
      </c>
      <c r="C310" s="30" t="s">
        <v>452</v>
      </c>
      <c r="D310" s="31">
        <v>7</v>
      </c>
      <c r="E310" s="31" t="s">
        <v>184</v>
      </c>
    </row>
    <row r="311" spans="1:5" s="30" customFormat="1">
      <c r="A311" s="30">
        <v>6092903705</v>
      </c>
      <c r="B311" s="30" t="s">
        <v>1532</v>
      </c>
      <c r="C311" s="30" t="s">
        <v>452</v>
      </c>
      <c r="D311" s="31">
        <v>7.5</v>
      </c>
      <c r="E311" s="31" t="s">
        <v>330</v>
      </c>
    </row>
    <row r="312" spans="1:5" s="30" customFormat="1">
      <c r="A312" s="30">
        <v>6092903705</v>
      </c>
      <c r="B312" s="30" t="s">
        <v>1414</v>
      </c>
      <c r="C312" s="30" t="s">
        <v>452</v>
      </c>
      <c r="D312" s="31">
        <v>8</v>
      </c>
      <c r="E312" s="31" t="s">
        <v>186</v>
      </c>
    </row>
    <row r="313" spans="1:5">
      <c r="A313" s="18">
        <v>6092903705</v>
      </c>
      <c r="B313" t="s">
        <v>1561</v>
      </c>
      <c r="C313" t="s">
        <v>424</v>
      </c>
      <c r="D313" s="8">
        <v>10</v>
      </c>
      <c r="E313" s="8" t="s">
        <v>190</v>
      </c>
    </row>
    <row r="314" spans="1:5">
      <c r="A314" s="18">
        <v>6092903705</v>
      </c>
      <c r="B314" t="s">
        <v>1562</v>
      </c>
      <c r="C314" t="s">
        <v>424</v>
      </c>
      <c r="D314" s="8">
        <v>1</v>
      </c>
      <c r="E314" s="8" t="s">
        <v>172</v>
      </c>
    </row>
    <row r="315" spans="1:5">
      <c r="A315" s="18">
        <v>6092903705</v>
      </c>
      <c r="B315" t="s">
        <v>1563</v>
      </c>
      <c r="C315" t="s">
        <v>424</v>
      </c>
      <c r="D315" s="8">
        <v>10.5</v>
      </c>
      <c r="E315" s="8" t="s">
        <v>338</v>
      </c>
    </row>
    <row r="316" spans="1:5">
      <c r="A316" s="18">
        <v>6092903705</v>
      </c>
      <c r="B316" t="s">
        <v>1564</v>
      </c>
      <c r="C316" t="s">
        <v>424</v>
      </c>
      <c r="D316" s="8">
        <v>11</v>
      </c>
      <c r="E316" s="8" t="s">
        <v>340</v>
      </c>
    </row>
    <row r="317" spans="1:5">
      <c r="A317" s="18">
        <v>6092903705</v>
      </c>
      <c r="B317" t="s">
        <v>1565</v>
      </c>
      <c r="C317" t="s">
        <v>424</v>
      </c>
      <c r="D317" s="8">
        <v>11.5</v>
      </c>
      <c r="E317" s="8" t="s">
        <v>342</v>
      </c>
    </row>
    <row r="318" spans="1:5">
      <c r="A318" s="18">
        <v>6092903705</v>
      </c>
      <c r="B318" t="s">
        <v>1566</v>
      </c>
      <c r="C318" t="s">
        <v>424</v>
      </c>
      <c r="D318" s="8">
        <v>12</v>
      </c>
      <c r="E318" s="8" t="s">
        <v>344</v>
      </c>
    </row>
    <row r="319" spans="1:5">
      <c r="A319" s="18">
        <v>6092903705</v>
      </c>
      <c r="B319" t="s">
        <v>1567</v>
      </c>
      <c r="C319" t="s">
        <v>424</v>
      </c>
      <c r="D319" s="8">
        <v>1.5</v>
      </c>
      <c r="E319" s="8" t="s">
        <v>320</v>
      </c>
    </row>
    <row r="320" spans="1:5">
      <c r="A320" s="18">
        <v>6092903705</v>
      </c>
      <c r="B320" t="s">
        <v>1568</v>
      </c>
      <c r="C320" t="s">
        <v>424</v>
      </c>
      <c r="D320" s="8">
        <v>2</v>
      </c>
      <c r="E320" s="8" t="s">
        <v>174</v>
      </c>
    </row>
    <row r="321" spans="1:5">
      <c r="A321" s="18">
        <v>6092903705</v>
      </c>
      <c r="B321" t="s">
        <v>1413</v>
      </c>
      <c r="C321" t="s">
        <v>424</v>
      </c>
      <c r="D321" s="8">
        <v>2.5</v>
      </c>
      <c r="E321" s="8" t="s">
        <v>169</v>
      </c>
    </row>
    <row r="322" spans="1:5">
      <c r="A322" s="18">
        <v>6092903705</v>
      </c>
      <c r="B322" t="s">
        <v>1569</v>
      </c>
      <c r="C322" t="s">
        <v>424</v>
      </c>
      <c r="D322" s="8">
        <v>3</v>
      </c>
      <c r="E322" s="8" t="s">
        <v>176</v>
      </c>
    </row>
    <row r="323" spans="1:5">
      <c r="A323" s="18">
        <v>6092903705</v>
      </c>
      <c r="B323" t="s">
        <v>1570</v>
      </c>
      <c r="C323" t="s">
        <v>424</v>
      </c>
      <c r="D323" s="8">
        <v>3.5</v>
      </c>
      <c r="E323" s="8" t="s">
        <v>323</v>
      </c>
    </row>
    <row r="324" spans="1:5">
      <c r="A324" s="18">
        <v>6092903705</v>
      </c>
      <c r="B324" t="s">
        <v>1412</v>
      </c>
      <c r="C324" t="s">
        <v>424</v>
      </c>
      <c r="D324" s="8">
        <v>4</v>
      </c>
      <c r="E324" s="8" t="s">
        <v>178</v>
      </c>
    </row>
    <row r="325" spans="1:5">
      <c r="A325" s="18">
        <v>6092903705</v>
      </c>
      <c r="B325" t="s">
        <v>1571</v>
      </c>
      <c r="C325" t="s">
        <v>424</v>
      </c>
      <c r="D325" s="8">
        <v>4.5</v>
      </c>
      <c r="E325" s="8" t="s">
        <v>324</v>
      </c>
    </row>
    <row r="326" spans="1:5">
      <c r="A326" s="18">
        <v>6092903705</v>
      </c>
      <c r="B326" t="s">
        <v>1572</v>
      </c>
      <c r="C326" t="s">
        <v>424</v>
      </c>
      <c r="D326" s="8">
        <v>5</v>
      </c>
      <c r="E326" s="8" t="s">
        <v>180</v>
      </c>
    </row>
    <row r="327" spans="1:5">
      <c r="A327" s="18">
        <v>6092903705</v>
      </c>
      <c r="B327" t="s">
        <v>1573</v>
      </c>
      <c r="C327" t="s">
        <v>424</v>
      </c>
      <c r="D327" s="8">
        <v>5.5</v>
      </c>
      <c r="E327" s="8" t="s">
        <v>325</v>
      </c>
    </row>
    <row r="328" spans="1:5">
      <c r="A328" s="18">
        <v>6092903705</v>
      </c>
      <c r="B328" t="s">
        <v>1574</v>
      </c>
      <c r="C328" t="s">
        <v>424</v>
      </c>
      <c r="D328" s="8">
        <v>6</v>
      </c>
      <c r="E328" s="8" t="s">
        <v>182</v>
      </c>
    </row>
    <row r="329" spans="1:5">
      <c r="A329" s="18">
        <v>6092903705</v>
      </c>
      <c r="B329" t="s">
        <v>1575</v>
      </c>
      <c r="C329" t="s">
        <v>424</v>
      </c>
      <c r="D329" s="8">
        <v>6.5</v>
      </c>
      <c r="E329" s="8" t="s">
        <v>326</v>
      </c>
    </row>
    <row r="330" spans="1:5">
      <c r="A330" s="18">
        <v>6092903705</v>
      </c>
      <c r="B330" t="s">
        <v>1418</v>
      </c>
      <c r="C330" t="s">
        <v>424</v>
      </c>
      <c r="D330" s="8">
        <v>7</v>
      </c>
      <c r="E330" s="8" t="s">
        <v>184</v>
      </c>
    </row>
    <row r="331" spans="1:5">
      <c r="A331" s="18">
        <v>6092903705</v>
      </c>
      <c r="B331" t="s">
        <v>1576</v>
      </c>
      <c r="C331" t="s">
        <v>424</v>
      </c>
      <c r="D331" s="8">
        <v>7.5</v>
      </c>
      <c r="E331" s="8" t="s">
        <v>330</v>
      </c>
    </row>
    <row r="332" spans="1:5">
      <c r="A332" s="18">
        <v>6092903705</v>
      </c>
      <c r="B332" t="s">
        <v>1577</v>
      </c>
      <c r="C332" t="s">
        <v>424</v>
      </c>
      <c r="D332" s="8">
        <v>8</v>
      </c>
      <c r="E332" s="8" t="s">
        <v>186</v>
      </c>
    </row>
    <row r="333" spans="1:5">
      <c r="A333" s="18">
        <v>6092903705</v>
      </c>
      <c r="B333" t="s">
        <v>1578</v>
      </c>
      <c r="C333" t="s">
        <v>424</v>
      </c>
      <c r="D333" s="8">
        <v>8.5</v>
      </c>
      <c r="E333" s="8" t="s">
        <v>333</v>
      </c>
    </row>
    <row r="334" spans="1:5">
      <c r="A334" s="18">
        <v>6092903705</v>
      </c>
      <c r="B334" t="s">
        <v>1579</v>
      </c>
      <c r="C334" t="s">
        <v>424</v>
      </c>
      <c r="D334" s="8">
        <v>9</v>
      </c>
      <c r="E334" s="8" t="s">
        <v>188</v>
      </c>
    </row>
    <row r="335" spans="1:5">
      <c r="A335" s="18">
        <v>6092903705</v>
      </c>
      <c r="B335" t="s">
        <v>1580</v>
      </c>
      <c r="C335" t="s">
        <v>424</v>
      </c>
      <c r="D335" s="8">
        <v>9.5</v>
      </c>
      <c r="E335" s="8" t="s">
        <v>335</v>
      </c>
    </row>
    <row r="336" spans="1:5">
      <c r="A336" s="18">
        <v>6092903705</v>
      </c>
      <c r="B336" t="s">
        <v>1673</v>
      </c>
      <c r="C336" t="s">
        <v>215</v>
      </c>
      <c r="D336" s="8">
        <v>10</v>
      </c>
      <c r="E336" s="8" t="s">
        <v>337</v>
      </c>
    </row>
    <row r="337" spans="1:5">
      <c r="A337" s="18">
        <v>6092903705</v>
      </c>
      <c r="B337" t="s">
        <v>1674</v>
      </c>
      <c r="C337" t="s">
        <v>215</v>
      </c>
      <c r="D337" s="8">
        <v>1</v>
      </c>
      <c r="E337" s="8" t="s">
        <v>319</v>
      </c>
    </row>
    <row r="338" spans="1:5">
      <c r="A338" s="18">
        <v>6092903705</v>
      </c>
      <c r="B338" t="s">
        <v>1675</v>
      </c>
      <c r="C338" t="s">
        <v>215</v>
      </c>
      <c r="D338" s="8">
        <v>10.5</v>
      </c>
      <c r="E338" s="8" t="s">
        <v>339</v>
      </c>
    </row>
    <row r="339" spans="1:5">
      <c r="A339" s="18">
        <v>6092903705</v>
      </c>
      <c r="B339" t="s">
        <v>1676</v>
      </c>
      <c r="C339" t="s">
        <v>215</v>
      </c>
      <c r="D339" s="8">
        <v>11</v>
      </c>
      <c r="E339" s="8" t="s">
        <v>341</v>
      </c>
    </row>
    <row r="340" spans="1:5">
      <c r="A340" s="18">
        <v>6092903705</v>
      </c>
      <c r="B340" t="s">
        <v>1677</v>
      </c>
      <c r="C340" t="s">
        <v>215</v>
      </c>
      <c r="D340" s="8">
        <v>11.5</v>
      </c>
      <c r="E340" s="8" t="s">
        <v>343</v>
      </c>
    </row>
    <row r="341" spans="1:5">
      <c r="A341" s="18">
        <v>6092903705</v>
      </c>
      <c r="B341" t="s">
        <v>1678</v>
      </c>
      <c r="C341" t="s">
        <v>215</v>
      </c>
      <c r="D341" s="8">
        <v>12</v>
      </c>
      <c r="E341" s="8" t="s">
        <v>345</v>
      </c>
    </row>
    <row r="342" spans="1:5">
      <c r="A342" s="18">
        <v>6092903705</v>
      </c>
      <c r="B342" t="s">
        <v>1679</v>
      </c>
      <c r="C342" t="s">
        <v>215</v>
      </c>
      <c r="D342" s="8">
        <v>1.5</v>
      </c>
      <c r="E342" s="8" t="s">
        <v>321</v>
      </c>
    </row>
    <row r="343" spans="1:5">
      <c r="A343" s="18">
        <v>6092903705</v>
      </c>
      <c r="B343" t="s">
        <v>1680</v>
      </c>
      <c r="C343" t="s">
        <v>215</v>
      </c>
      <c r="D343" s="8">
        <v>2</v>
      </c>
      <c r="E343" s="8" t="s">
        <v>313</v>
      </c>
    </row>
    <row r="344" spans="1:5">
      <c r="A344" s="18">
        <v>6092903705</v>
      </c>
      <c r="B344" t="s">
        <v>1681</v>
      </c>
      <c r="C344" t="s">
        <v>215</v>
      </c>
      <c r="D344" s="8">
        <v>2.5</v>
      </c>
      <c r="E344" s="8" t="s">
        <v>311</v>
      </c>
    </row>
    <row r="345" spans="1:5">
      <c r="A345" s="18">
        <v>6092903705</v>
      </c>
      <c r="B345" t="s">
        <v>1682</v>
      </c>
      <c r="C345" t="s">
        <v>215</v>
      </c>
      <c r="D345" s="8">
        <v>3</v>
      </c>
      <c r="E345" s="8" t="s">
        <v>322</v>
      </c>
    </row>
    <row r="346" spans="1:5">
      <c r="A346" s="18">
        <v>6092903705</v>
      </c>
      <c r="B346" t="s">
        <v>1683</v>
      </c>
      <c r="C346" t="s">
        <v>215</v>
      </c>
      <c r="D346" s="8">
        <v>3.5</v>
      </c>
      <c r="E346" s="8" t="s">
        <v>310</v>
      </c>
    </row>
    <row r="347" spans="1:5">
      <c r="A347" s="18">
        <v>6092903705</v>
      </c>
      <c r="B347" t="s">
        <v>1684</v>
      </c>
      <c r="C347" t="s">
        <v>215</v>
      </c>
      <c r="D347" s="8">
        <v>4</v>
      </c>
      <c r="E347" s="8" t="s">
        <v>309</v>
      </c>
    </row>
    <row r="348" spans="1:5">
      <c r="A348" s="18">
        <v>6092903705</v>
      </c>
      <c r="B348" t="s">
        <v>1685</v>
      </c>
      <c r="C348" t="s">
        <v>215</v>
      </c>
      <c r="D348" s="8">
        <v>4.5</v>
      </c>
      <c r="E348" s="8" t="s">
        <v>316</v>
      </c>
    </row>
    <row r="349" spans="1:5">
      <c r="A349" s="18">
        <v>6092903705</v>
      </c>
      <c r="B349" t="s">
        <v>1686</v>
      </c>
      <c r="C349" t="s">
        <v>215</v>
      </c>
      <c r="D349" s="8">
        <v>5</v>
      </c>
      <c r="E349" s="8" t="s">
        <v>314</v>
      </c>
    </row>
    <row r="350" spans="1:5">
      <c r="A350" s="18">
        <v>6092903705</v>
      </c>
      <c r="B350" t="s">
        <v>1687</v>
      </c>
      <c r="C350" t="s">
        <v>215</v>
      </c>
      <c r="D350" s="8">
        <v>5.5</v>
      </c>
      <c r="E350" s="8" t="s">
        <v>315</v>
      </c>
    </row>
    <row r="351" spans="1:5">
      <c r="A351" s="18">
        <v>6092903705</v>
      </c>
      <c r="B351" t="s">
        <v>1688</v>
      </c>
      <c r="C351" t="s">
        <v>215</v>
      </c>
      <c r="D351" s="8">
        <v>6</v>
      </c>
      <c r="E351" s="8" t="s">
        <v>332</v>
      </c>
    </row>
    <row r="352" spans="1:5">
      <c r="A352" s="18">
        <v>6092903705</v>
      </c>
      <c r="B352" t="s">
        <v>1689</v>
      </c>
      <c r="C352" t="s">
        <v>215</v>
      </c>
      <c r="D352" s="8">
        <v>6.5</v>
      </c>
      <c r="E352" s="8" t="s">
        <v>327</v>
      </c>
    </row>
    <row r="353" spans="1:5">
      <c r="A353" s="18">
        <v>6092903705</v>
      </c>
      <c r="B353" t="s">
        <v>1690</v>
      </c>
      <c r="C353" t="s">
        <v>215</v>
      </c>
      <c r="D353" s="8">
        <v>7</v>
      </c>
      <c r="E353" s="8" t="s">
        <v>328</v>
      </c>
    </row>
    <row r="354" spans="1:5">
      <c r="A354" s="18">
        <v>6092903705</v>
      </c>
      <c r="B354" t="s">
        <v>1691</v>
      </c>
      <c r="C354" t="s">
        <v>215</v>
      </c>
      <c r="D354" s="8">
        <v>7.5</v>
      </c>
      <c r="E354" s="8" t="s">
        <v>331</v>
      </c>
    </row>
    <row r="355" spans="1:5">
      <c r="A355" s="18">
        <v>6092903705</v>
      </c>
      <c r="B355" t="s">
        <v>1692</v>
      </c>
      <c r="C355" t="s">
        <v>215</v>
      </c>
      <c r="D355" s="8">
        <v>8</v>
      </c>
      <c r="E355" s="8" t="s">
        <v>329</v>
      </c>
    </row>
    <row r="356" spans="1:5">
      <c r="A356" s="18">
        <v>6092903705</v>
      </c>
      <c r="B356" t="s">
        <v>1693</v>
      </c>
      <c r="C356" t="s">
        <v>215</v>
      </c>
      <c r="D356" s="8">
        <v>8.5</v>
      </c>
      <c r="E356" s="8" t="s">
        <v>334</v>
      </c>
    </row>
    <row r="357" spans="1:5">
      <c r="A357" s="18">
        <v>6092903705</v>
      </c>
      <c r="B357" t="s">
        <v>1694</v>
      </c>
      <c r="C357" t="s">
        <v>215</v>
      </c>
      <c r="D357" s="8">
        <v>9</v>
      </c>
      <c r="E357" s="8" t="s">
        <v>312</v>
      </c>
    </row>
    <row r="358" spans="1:5">
      <c r="A358" s="18">
        <v>6092903705</v>
      </c>
      <c r="B358" t="s">
        <v>1695</v>
      </c>
      <c r="C358" t="s">
        <v>215</v>
      </c>
      <c r="D358" s="8">
        <v>9.5</v>
      </c>
      <c r="E358" s="8" t="s">
        <v>336</v>
      </c>
    </row>
    <row r="359" spans="1:5">
      <c r="A359" s="18">
        <v>6092903705</v>
      </c>
      <c r="B359" t="s">
        <v>1696</v>
      </c>
      <c r="C359" t="s">
        <v>541</v>
      </c>
      <c r="D359" s="8">
        <v>10</v>
      </c>
      <c r="E359" s="8" t="s">
        <v>190</v>
      </c>
    </row>
    <row r="360" spans="1:5">
      <c r="A360" s="18">
        <v>6092903705</v>
      </c>
      <c r="B360" t="s">
        <v>1697</v>
      </c>
      <c r="C360" t="s">
        <v>541</v>
      </c>
      <c r="D360" s="8">
        <v>1</v>
      </c>
      <c r="E360" s="8" t="s">
        <v>172</v>
      </c>
    </row>
    <row r="361" spans="1:5">
      <c r="A361" s="18">
        <v>6092903705</v>
      </c>
      <c r="B361" t="s">
        <v>1698</v>
      </c>
      <c r="C361" t="s">
        <v>541</v>
      </c>
      <c r="D361" s="8">
        <v>10.5</v>
      </c>
      <c r="E361" s="8" t="s">
        <v>338</v>
      </c>
    </row>
    <row r="362" spans="1:5">
      <c r="A362" s="18">
        <v>6092903705</v>
      </c>
      <c r="B362" t="s">
        <v>1699</v>
      </c>
      <c r="C362" t="s">
        <v>541</v>
      </c>
      <c r="D362" s="8">
        <v>11</v>
      </c>
      <c r="E362" s="8" t="s">
        <v>340</v>
      </c>
    </row>
    <row r="363" spans="1:5">
      <c r="A363" s="18">
        <v>6092903705</v>
      </c>
      <c r="B363" t="s">
        <v>1700</v>
      </c>
      <c r="C363" t="s">
        <v>541</v>
      </c>
      <c r="D363" s="8">
        <v>11.5</v>
      </c>
      <c r="E363" s="8" t="s">
        <v>342</v>
      </c>
    </row>
    <row r="364" spans="1:5">
      <c r="A364" s="18">
        <v>6092903705</v>
      </c>
      <c r="B364" t="s">
        <v>1701</v>
      </c>
      <c r="C364" t="s">
        <v>541</v>
      </c>
      <c r="D364" s="8">
        <v>12</v>
      </c>
      <c r="E364" s="8" t="s">
        <v>344</v>
      </c>
    </row>
    <row r="365" spans="1:5">
      <c r="A365" s="18">
        <v>6092903705</v>
      </c>
      <c r="B365" t="s">
        <v>1702</v>
      </c>
      <c r="C365" t="s">
        <v>541</v>
      </c>
      <c r="D365" s="8">
        <v>1.5</v>
      </c>
      <c r="E365" s="8" t="s">
        <v>320</v>
      </c>
    </row>
    <row r="366" spans="1:5">
      <c r="A366" s="18">
        <v>6092903705</v>
      </c>
      <c r="B366" t="s">
        <v>1703</v>
      </c>
      <c r="C366" t="s">
        <v>541</v>
      </c>
      <c r="D366" s="8">
        <v>2</v>
      </c>
      <c r="E366" s="8" t="s">
        <v>174</v>
      </c>
    </row>
    <row r="367" spans="1:5">
      <c r="A367" s="18">
        <v>6092903705</v>
      </c>
      <c r="B367" t="s">
        <v>1704</v>
      </c>
      <c r="C367" t="s">
        <v>541</v>
      </c>
      <c r="D367" s="8">
        <v>2.5</v>
      </c>
      <c r="E367" s="8" t="s">
        <v>169</v>
      </c>
    </row>
    <row r="368" spans="1:5">
      <c r="A368" s="18">
        <v>6092903705</v>
      </c>
      <c r="B368" t="s">
        <v>1705</v>
      </c>
      <c r="C368" t="s">
        <v>541</v>
      </c>
      <c r="D368" s="8">
        <v>3</v>
      </c>
      <c r="E368" s="8" t="s">
        <v>176</v>
      </c>
    </row>
    <row r="369" spans="1:5">
      <c r="A369" s="18">
        <v>6092903705</v>
      </c>
      <c r="B369" t="s">
        <v>1706</v>
      </c>
      <c r="C369" t="s">
        <v>541</v>
      </c>
      <c r="D369" s="8">
        <v>3.5</v>
      </c>
      <c r="E369" s="8" t="s">
        <v>323</v>
      </c>
    </row>
    <row r="370" spans="1:5">
      <c r="A370" s="18">
        <v>6092903705</v>
      </c>
      <c r="B370" t="s">
        <v>1707</v>
      </c>
      <c r="C370" t="s">
        <v>541</v>
      </c>
      <c r="D370" s="8">
        <v>4</v>
      </c>
      <c r="E370" s="8" t="s">
        <v>178</v>
      </c>
    </row>
    <row r="371" spans="1:5">
      <c r="A371" s="18">
        <v>6092903705</v>
      </c>
      <c r="B371" t="s">
        <v>1708</v>
      </c>
      <c r="C371" t="s">
        <v>541</v>
      </c>
      <c r="D371" s="8">
        <v>4.5</v>
      </c>
      <c r="E371" s="8" t="s">
        <v>324</v>
      </c>
    </row>
    <row r="372" spans="1:5">
      <c r="A372" s="18">
        <v>6092903705</v>
      </c>
      <c r="B372" t="s">
        <v>1709</v>
      </c>
      <c r="C372" t="s">
        <v>541</v>
      </c>
      <c r="D372" s="8">
        <v>5</v>
      </c>
      <c r="E372" s="8" t="s">
        <v>180</v>
      </c>
    </row>
    <row r="373" spans="1:5">
      <c r="A373" s="18">
        <v>6092903705</v>
      </c>
      <c r="B373" t="s">
        <v>1710</v>
      </c>
      <c r="C373" t="s">
        <v>541</v>
      </c>
      <c r="D373" s="8">
        <v>5.5</v>
      </c>
      <c r="E373" s="8" t="s">
        <v>325</v>
      </c>
    </row>
    <row r="374" spans="1:5">
      <c r="A374" s="18">
        <v>6092903705</v>
      </c>
      <c r="B374" t="s">
        <v>1711</v>
      </c>
      <c r="C374" t="s">
        <v>541</v>
      </c>
      <c r="D374" s="8">
        <v>6</v>
      </c>
      <c r="E374" s="8" t="s">
        <v>182</v>
      </c>
    </row>
    <row r="375" spans="1:5">
      <c r="A375" s="18">
        <v>6092903705</v>
      </c>
      <c r="B375" t="s">
        <v>1712</v>
      </c>
      <c r="C375" t="s">
        <v>541</v>
      </c>
      <c r="D375" s="8">
        <v>6.5</v>
      </c>
      <c r="E375" s="8" t="s">
        <v>326</v>
      </c>
    </row>
    <row r="376" spans="1:5">
      <c r="A376" s="18">
        <v>6092903705</v>
      </c>
      <c r="B376" t="s">
        <v>1713</v>
      </c>
      <c r="C376" t="s">
        <v>541</v>
      </c>
      <c r="D376" s="8">
        <v>7</v>
      </c>
      <c r="E376" s="8" t="s">
        <v>184</v>
      </c>
    </row>
    <row r="377" spans="1:5">
      <c r="A377" s="18">
        <v>6092903705</v>
      </c>
      <c r="B377" t="s">
        <v>1714</v>
      </c>
      <c r="C377" t="s">
        <v>541</v>
      </c>
      <c r="D377" s="8">
        <v>7.5</v>
      </c>
      <c r="E377" s="8" t="s">
        <v>330</v>
      </c>
    </row>
    <row r="378" spans="1:5">
      <c r="A378" s="18">
        <v>6092903705</v>
      </c>
      <c r="B378" t="s">
        <v>1715</v>
      </c>
      <c r="C378" t="s">
        <v>541</v>
      </c>
      <c r="D378" s="8">
        <v>8</v>
      </c>
      <c r="E378" s="8" t="s">
        <v>186</v>
      </c>
    </row>
    <row r="379" spans="1:5">
      <c r="A379" s="18">
        <v>6092903705</v>
      </c>
      <c r="B379" t="s">
        <v>1716</v>
      </c>
      <c r="C379" t="s">
        <v>541</v>
      </c>
      <c r="D379" s="8">
        <v>8.5</v>
      </c>
      <c r="E379" s="8" t="s">
        <v>333</v>
      </c>
    </row>
    <row r="380" spans="1:5">
      <c r="A380" s="18">
        <v>6092903705</v>
      </c>
      <c r="B380" t="s">
        <v>1717</v>
      </c>
      <c r="C380" t="s">
        <v>541</v>
      </c>
      <c r="D380" s="8">
        <v>9</v>
      </c>
      <c r="E380" s="8" t="s">
        <v>188</v>
      </c>
    </row>
    <row r="381" spans="1:5">
      <c r="A381" s="18">
        <v>6092903705</v>
      </c>
      <c r="B381" t="s">
        <v>1718</v>
      </c>
      <c r="C381" t="s">
        <v>541</v>
      </c>
      <c r="D381" s="8">
        <v>9.5</v>
      </c>
      <c r="E381" s="8" t="s">
        <v>335</v>
      </c>
    </row>
    <row r="382" spans="1:5">
      <c r="A382" s="18">
        <v>6092903705</v>
      </c>
      <c r="B382" t="s">
        <v>1719</v>
      </c>
      <c r="C382" t="s">
        <v>216</v>
      </c>
      <c r="D382" s="8">
        <v>10</v>
      </c>
      <c r="E382" s="8" t="s">
        <v>190</v>
      </c>
    </row>
    <row r="383" spans="1:5">
      <c r="A383" s="18">
        <v>6092903705</v>
      </c>
      <c r="B383" t="s">
        <v>1720</v>
      </c>
      <c r="C383" t="s">
        <v>216</v>
      </c>
      <c r="D383" s="8">
        <v>1</v>
      </c>
      <c r="E383" s="8" t="s">
        <v>172</v>
      </c>
    </row>
    <row r="384" spans="1:5">
      <c r="A384" s="18">
        <v>6092903705</v>
      </c>
      <c r="B384" t="s">
        <v>1721</v>
      </c>
      <c r="C384" t="s">
        <v>216</v>
      </c>
      <c r="D384" s="8">
        <v>10.5</v>
      </c>
      <c r="E384" s="8" t="s">
        <v>338</v>
      </c>
    </row>
    <row r="385" spans="1:5">
      <c r="A385" s="18">
        <v>6092903705</v>
      </c>
      <c r="B385" t="s">
        <v>1722</v>
      </c>
      <c r="C385" t="s">
        <v>216</v>
      </c>
      <c r="D385" s="8">
        <v>11</v>
      </c>
      <c r="E385" s="8" t="s">
        <v>340</v>
      </c>
    </row>
    <row r="386" spans="1:5">
      <c r="A386" s="18">
        <v>6092903705</v>
      </c>
      <c r="B386" t="s">
        <v>1723</v>
      </c>
      <c r="C386" t="s">
        <v>216</v>
      </c>
      <c r="D386" s="8">
        <v>11.5</v>
      </c>
      <c r="E386" s="8" t="s">
        <v>342</v>
      </c>
    </row>
    <row r="387" spans="1:5">
      <c r="A387" s="18">
        <v>6092903705</v>
      </c>
      <c r="B387" t="s">
        <v>1724</v>
      </c>
      <c r="C387" t="s">
        <v>216</v>
      </c>
      <c r="D387" s="8">
        <v>12</v>
      </c>
      <c r="E387" s="8" t="s">
        <v>344</v>
      </c>
    </row>
    <row r="388" spans="1:5">
      <c r="A388" s="18">
        <v>6092903705</v>
      </c>
      <c r="B388" t="s">
        <v>1725</v>
      </c>
      <c r="C388" t="s">
        <v>216</v>
      </c>
      <c r="D388" s="8">
        <v>1.5</v>
      </c>
      <c r="E388" s="8" t="s">
        <v>320</v>
      </c>
    </row>
    <row r="389" spans="1:5">
      <c r="A389" s="18">
        <v>6092903705</v>
      </c>
      <c r="B389" t="s">
        <v>1726</v>
      </c>
      <c r="C389" t="s">
        <v>216</v>
      </c>
      <c r="D389" s="8">
        <v>2</v>
      </c>
      <c r="E389" s="8" t="s">
        <v>174</v>
      </c>
    </row>
    <row r="390" spans="1:5">
      <c r="A390" s="18">
        <v>6092903705</v>
      </c>
      <c r="B390" t="s">
        <v>1727</v>
      </c>
      <c r="C390" t="s">
        <v>216</v>
      </c>
      <c r="D390" s="8">
        <v>2.5</v>
      </c>
      <c r="E390" s="8" t="s">
        <v>169</v>
      </c>
    </row>
    <row r="391" spans="1:5">
      <c r="A391" s="18">
        <v>6092903705</v>
      </c>
      <c r="B391" t="s">
        <v>1728</v>
      </c>
      <c r="C391" t="s">
        <v>216</v>
      </c>
      <c r="D391" s="8">
        <v>3</v>
      </c>
      <c r="E391" s="8" t="s">
        <v>176</v>
      </c>
    </row>
    <row r="392" spans="1:5">
      <c r="A392" s="18">
        <v>6092903705</v>
      </c>
      <c r="B392" t="s">
        <v>1729</v>
      </c>
      <c r="C392" t="s">
        <v>216</v>
      </c>
      <c r="D392" s="8">
        <v>3.5</v>
      </c>
      <c r="E392" s="8" t="s">
        <v>323</v>
      </c>
    </row>
    <row r="393" spans="1:5">
      <c r="A393" s="18">
        <v>6092903705</v>
      </c>
      <c r="B393" t="s">
        <v>1730</v>
      </c>
      <c r="C393" t="s">
        <v>216</v>
      </c>
      <c r="D393" s="8">
        <v>4</v>
      </c>
      <c r="E393" s="8" t="s">
        <v>178</v>
      </c>
    </row>
    <row r="394" spans="1:5">
      <c r="A394" s="18">
        <v>6092903705</v>
      </c>
      <c r="B394" t="s">
        <v>1731</v>
      </c>
      <c r="C394" t="s">
        <v>216</v>
      </c>
      <c r="D394" s="8">
        <v>4.5</v>
      </c>
      <c r="E394" s="8" t="s">
        <v>324</v>
      </c>
    </row>
    <row r="395" spans="1:5">
      <c r="A395" s="18">
        <v>6092903705</v>
      </c>
      <c r="B395" t="s">
        <v>1732</v>
      </c>
      <c r="C395" t="s">
        <v>216</v>
      </c>
      <c r="D395" s="8">
        <v>5</v>
      </c>
      <c r="E395" s="8" t="s">
        <v>180</v>
      </c>
    </row>
    <row r="396" spans="1:5">
      <c r="A396" s="18">
        <v>6092903705</v>
      </c>
      <c r="B396" t="s">
        <v>1733</v>
      </c>
      <c r="C396" t="s">
        <v>216</v>
      </c>
      <c r="D396" s="8">
        <v>5.5</v>
      </c>
      <c r="E396" s="8" t="s">
        <v>325</v>
      </c>
    </row>
    <row r="397" spans="1:5">
      <c r="A397" s="18">
        <v>6092903705</v>
      </c>
      <c r="B397" t="s">
        <v>1734</v>
      </c>
      <c r="C397" t="s">
        <v>216</v>
      </c>
      <c r="D397" s="8">
        <v>6</v>
      </c>
      <c r="E397" s="8" t="s">
        <v>182</v>
      </c>
    </row>
    <row r="398" spans="1:5">
      <c r="A398" s="18">
        <v>6092903705</v>
      </c>
      <c r="B398" t="s">
        <v>1735</v>
      </c>
      <c r="C398" t="s">
        <v>216</v>
      </c>
      <c r="D398" s="8">
        <v>6.5</v>
      </c>
      <c r="E398" s="8" t="s">
        <v>326</v>
      </c>
    </row>
    <row r="399" spans="1:5">
      <c r="A399" s="18">
        <v>6092903705</v>
      </c>
      <c r="B399" t="s">
        <v>1736</v>
      </c>
      <c r="C399" t="s">
        <v>216</v>
      </c>
      <c r="D399" s="8">
        <v>7</v>
      </c>
      <c r="E399" s="8" t="s">
        <v>184</v>
      </c>
    </row>
    <row r="400" spans="1:5">
      <c r="A400" s="18">
        <v>6092903705</v>
      </c>
      <c r="B400" t="s">
        <v>1737</v>
      </c>
      <c r="C400" t="s">
        <v>216</v>
      </c>
      <c r="D400" s="8">
        <v>7.5</v>
      </c>
      <c r="E400" s="8" t="s">
        <v>330</v>
      </c>
    </row>
    <row r="401" spans="1:5">
      <c r="A401" s="18">
        <v>6092903705</v>
      </c>
      <c r="B401" t="s">
        <v>1738</v>
      </c>
      <c r="C401" t="s">
        <v>216</v>
      </c>
      <c r="D401" s="8">
        <v>8</v>
      </c>
      <c r="E401" s="8" t="s">
        <v>186</v>
      </c>
    </row>
    <row r="402" spans="1:5">
      <c r="A402" s="18">
        <v>6092903705</v>
      </c>
      <c r="B402" t="s">
        <v>1739</v>
      </c>
      <c r="C402" t="s">
        <v>216</v>
      </c>
      <c r="D402" s="8">
        <v>8.5</v>
      </c>
      <c r="E402" s="8" t="s">
        <v>333</v>
      </c>
    </row>
    <row r="403" spans="1:5">
      <c r="A403" s="18">
        <v>6092903705</v>
      </c>
      <c r="B403" t="s">
        <v>1740</v>
      </c>
      <c r="C403" t="s">
        <v>216</v>
      </c>
      <c r="D403" s="8">
        <v>9</v>
      </c>
      <c r="E403" s="8" t="s">
        <v>188</v>
      </c>
    </row>
    <row r="404" spans="1:5">
      <c r="A404" s="18">
        <v>6092903705</v>
      </c>
      <c r="B404" t="s">
        <v>1741</v>
      </c>
      <c r="C404" t="s">
        <v>216</v>
      </c>
      <c r="D404" s="8">
        <v>9.5</v>
      </c>
      <c r="E404" s="8" t="s">
        <v>335</v>
      </c>
    </row>
    <row r="405" spans="1:5">
      <c r="A405" s="18">
        <v>6092903705</v>
      </c>
      <c r="B405" t="s">
        <v>1742</v>
      </c>
      <c r="C405" t="s">
        <v>217</v>
      </c>
      <c r="D405" s="8">
        <v>10</v>
      </c>
      <c r="E405" s="8" t="s">
        <v>190</v>
      </c>
    </row>
    <row r="406" spans="1:5">
      <c r="A406" s="18">
        <v>6092903705</v>
      </c>
      <c r="B406" t="s">
        <v>1743</v>
      </c>
      <c r="C406" t="s">
        <v>217</v>
      </c>
      <c r="D406" s="8">
        <v>1</v>
      </c>
      <c r="E406" s="8" t="s">
        <v>172</v>
      </c>
    </row>
    <row r="407" spans="1:5">
      <c r="A407" s="18">
        <v>6092903705</v>
      </c>
      <c r="B407" t="s">
        <v>1744</v>
      </c>
      <c r="C407" t="s">
        <v>217</v>
      </c>
      <c r="D407" s="8">
        <v>10.5</v>
      </c>
      <c r="E407" s="8" t="s">
        <v>338</v>
      </c>
    </row>
    <row r="408" spans="1:5">
      <c r="A408" s="18">
        <v>6092903705</v>
      </c>
      <c r="B408" t="s">
        <v>1745</v>
      </c>
      <c r="C408" t="s">
        <v>217</v>
      </c>
      <c r="D408" s="8">
        <v>11</v>
      </c>
      <c r="E408" s="8" t="s">
        <v>340</v>
      </c>
    </row>
    <row r="409" spans="1:5">
      <c r="A409" s="18">
        <v>6092903705</v>
      </c>
      <c r="B409" t="s">
        <v>1746</v>
      </c>
      <c r="C409" t="s">
        <v>217</v>
      </c>
      <c r="D409" s="8">
        <v>11.5</v>
      </c>
      <c r="E409" s="8" t="s">
        <v>342</v>
      </c>
    </row>
    <row r="410" spans="1:5">
      <c r="A410" s="18">
        <v>6092903705</v>
      </c>
      <c r="B410" t="s">
        <v>1747</v>
      </c>
      <c r="C410" t="s">
        <v>217</v>
      </c>
      <c r="D410" s="8">
        <v>12</v>
      </c>
      <c r="E410" s="8" t="s">
        <v>344</v>
      </c>
    </row>
    <row r="411" spans="1:5">
      <c r="A411" s="18">
        <v>6092903705</v>
      </c>
      <c r="B411" t="s">
        <v>1748</v>
      </c>
      <c r="C411" t="s">
        <v>217</v>
      </c>
      <c r="D411" s="8">
        <v>1.5</v>
      </c>
      <c r="E411" s="8" t="s">
        <v>320</v>
      </c>
    </row>
    <row r="412" spans="1:5">
      <c r="A412" s="18">
        <v>6092903705</v>
      </c>
      <c r="B412" t="s">
        <v>1749</v>
      </c>
      <c r="C412" t="s">
        <v>217</v>
      </c>
      <c r="D412" s="8">
        <v>2</v>
      </c>
      <c r="E412" s="8" t="s">
        <v>174</v>
      </c>
    </row>
    <row r="413" spans="1:5">
      <c r="A413" s="18">
        <v>6092903705</v>
      </c>
      <c r="B413" t="s">
        <v>1750</v>
      </c>
      <c r="C413" t="s">
        <v>217</v>
      </c>
      <c r="D413" s="8">
        <v>2.5</v>
      </c>
      <c r="E413" s="8" t="s">
        <v>169</v>
      </c>
    </row>
    <row r="414" spans="1:5">
      <c r="A414" s="18">
        <v>6092903705</v>
      </c>
      <c r="B414" t="s">
        <v>1751</v>
      </c>
      <c r="C414" t="s">
        <v>217</v>
      </c>
      <c r="D414" s="8">
        <v>3</v>
      </c>
      <c r="E414" s="8" t="s">
        <v>176</v>
      </c>
    </row>
    <row r="415" spans="1:5">
      <c r="A415" s="18">
        <v>6092903705</v>
      </c>
      <c r="B415" t="s">
        <v>1752</v>
      </c>
      <c r="C415" t="s">
        <v>217</v>
      </c>
      <c r="D415" s="8">
        <v>3.5</v>
      </c>
      <c r="E415" s="8" t="s">
        <v>323</v>
      </c>
    </row>
    <row r="416" spans="1:5">
      <c r="A416" s="18">
        <v>6092903705</v>
      </c>
      <c r="B416" t="s">
        <v>1753</v>
      </c>
      <c r="C416" t="s">
        <v>217</v>
      </c>
      <c r="D416" s="8">
        <v>4</v>
      </c>
      <c r="E416" s="8" t="s">
        <v>178</v>
      </c>
    </row>
    <row r="417" spans="1:5">
      <c r="A417" s="18">
        <v>6092903705</v>
      </c>
      <c r="B417" t="s">
        <v>1754</v>
      </c>
      <c r="C417" t="s">
        <v>217</v>
      </c>
      <c r="D417" s="8">
        <v>4.5</v>
      </c>
      <c r="E417" s="8" t="s">
        <v>324</v>
      </c>
    </row>
    <row r="418" spans="1:5">
      <c r="A418" s="18">
        <v>6092903705</v>
      </c>
      <c r="B418" t="s">
        <v>1755</v>
      </c>
      <c r="C418" t="s">
        <v>217</v>
      </c>
      <c r="D418" s="8">
        <v>5</v>
      </c>
      <c r="E418" s="8" t="s">
        <v>180</v>
      </c>
    </row>
    <row r="419" spans="1:5">
      <c r="A419" s="18">
        <v>6092903705</v>
      </c>
      <c r="B419" t="s">
        <v>1756</v>
      </c>
      <c r="C419" t="s">
        <v>217</v>
      </c>
      <c r="D419" s="8">
        <v>5.5</v>
      </c>
      <c r="E419" s="8" t="s">
        <v>325</v>
      </c>
    </row>
    <row r="420" spans="1:5">
      <c r="A420" s="18">
        <v>6092903705</v>
      </c>
      <c r="B420" t="s">
        <v>1757</v>
      </c>
      <c r="C420" t="s">
        <v>217</v>
      </c>
      <c r="D420" s="8">
        <v>6</v>
      </c>
      <c r="E420" s="8" t="s">
        <v>182</v>
      </c>
    </row>
    <row r="421" spans="1:5">
      <c r="A421" s="18">
        <v>6092903705</v>
      </c>
      <c r="B421" t="s">
        <v>1758</v>
      </c>
      <c r="C421" t="s">
        <v>217</v>
      </c>
      <c r="D421" s="8">
        <v>6.5</v>
      </c>
      <c r="E421" s="8" t="s">
        <v>326</v>
      </c>
    </row>
    <row r="422" spans="1:5">
      <c r="A422" s="18">
        <v>6092903705</v>
      </c>
      <c r="B422" t="s">
        <v>1759</v>
      </c>
      <c r="C422" t="s">
        <v>217</v>
      </c>
      <c r="D422" s="8">
        <v>7</v>
      </c>
      <c r="E422" s="8" t="s">
        <v>184</v>
      </c>
    </row>
    <row r="423" spans="1:5">
      <c r="A423" s="18">
        <v>6092903705</v>
      </c>
      <c r="B423" t="s">
        <v>1760</v>
      </c>
      <c r="C423" t="s">
        <v>217</v>
      </c>
      <c r="D423" s="8">
        <v>7.5</v>
      </c>
      <c r="E423" s="8" t="s">
        <v>330</v>
      </c>
    </row>
    <row r="424" spans="1:5">
      <c r="A424" s="18">
        <v>6092903705</v>
      </c>
      <c r="B424" t="s">
        <v>1761</v>
      </c>
      <c r="C424" t="s">
        <v>217</v>
      </c>
      <c r="D424" s="8">
        <v>8</v>
      </c>
      <c r="E424" s="8" t="s">
        <v>186</v>
      </c>
    </row>
    <row r="425" spans="1:5">
      <c r="A425" s="18">
        <v>6092903705</v>
      </c>
      <c r="B425" t="s">
        <v>1762</v>
      </c>
      <c r="C425" t="s">
        <v>217</v>
      </c>
      <c r="D425" s="8">
        <v>8.5</v>
      </c>
      <c r="E425" s="8" t="s">
        <v>333</v>
      </c>
    </row>
    <row r="426" spans="1:5">
      <c r="A426" s="18">
        <v>6092903705</v>
      </c>
      <c r="B426" t="s">
        <v>1763</v>
      </c>
      <c r="C426" t="s">
        <v>217</v>
      </c>
      <c r="D426" s="8">
        <v>9</v>
      </c>
      <c r="E426" s="8" t="s">
        <v>188</v>
      </c>
    </row>
    <row r="427" spans="1:5">
      <c r="A427" s="18">
        <v>6092903705</v>
      </c>
      <c r="B427" t="s">
        <v>1764</v>
      </c>
      <c r="C427" t="s">
        <v>217</v>
      </c>
      <c r="D427" s="8">
        <v>9.5</v>
      </c>
      <c r="E427" s="8" t="s">
        <v>335</v>
      </c>
    </row>
    <row r="428" spans="1:5">
      <c r="A428" s="18">
        <v>6092903705</v>
      </c>
      <c r="B428" t="s">
        <v>1765</v>
      </c>
      <c r="C428" t="s">
        <v>552</v>
      </c>
      <c r="D428" s="8">
        <v>10</v>
      </c>
      <c r="E428" s="8" t="s">
        <v>190</v>
      </c>
    </row>
    <row r="429" spans="1:5">
      <c r="A429" s="18">
        <v>6092903705</v>
      </c>
      <c r="B429" t="s">
        <v>1766</v>
      </c>
      <c r="C429" t="s">
        <v>552</v>
      </c>
      <c r="D429" s="8">
        <v>1</v>
      </c>
      <c r="E429" s="8" t="s">
        <v>172</v>
      </c>
    </row>
    <row r="430" spans="1:5">
      <c r="A430" s="18">
        <v>6092903705</v>
      </c>
      <c r="B430" t="s">
        <v>1767</v>
      </c>
      <c r="C430" t="s">
        <v>552</v>
      </c>
      <c r="D430" s="8">
        <v>10.5</v>
      </c>
      <c r="E430" s="8" t="s">
        <v>338</v>
      </c>
    </row>
    <row r="431" spans="1:5">
      <c r="A431" s="18">
        <v>6092903705</v>
      </c>
      <c r="B431" t="s">
        <v>1768</v>
      </c>
      <c r="C431" t="s">
        <v>552</v>
      </c>
      <c r="D431" s="8">
        <v>11</v>
      </c>
      <c r="E431" s="8" t="s">
        <v>340</v>
      </c>
    </row>
    <row r="432" spans="1:5">
      <c r="A432" s="18">
        <v>6092903705</v>
      </c>
      <c r="B432" t="s">
        <v>1769</v>
      </c>
      <c r="C432" t="s">
        <v>552</v>
      </c>
      <c r="D432" s="8">
        <v>11.5</v>
      </c>
      <c r="E432" s="8" t="s">
        <v>342</v>
      </c>
    </row>
    <row r="433" spans="1:5">
      <c r="A433" s="18">
        <v>6092903705</v>
      </c>
      <c r="B433" t="s">
        <v>1770</v>
      </c>
      <c r="C433" t="s">
        <v>552</v>
      </c>
      <c r="D433" s="8">
        <v>12</v>
      </c>
      <c r="E433" s="8" t="s">
        <v>344</v>
      </c>
    </row>
    <row r="434" spans="1:5">
      <c r="A434" s="18">
        <v>6092903705</v>
      </c>
      <c r="B434" t="s">
        <v>1771</v>
      </c>
      <c r="C434" t="s">
        <v>552</v>
      </c>
      <c r="D434" s="8">
        <v>1.5</v>
      </c>
      <c r="E434" s="8" t="s">
        <v>320</v>
      </c>
    </row>
    <row r="435" spans="1:5">
      <c r="A435" s="18">
        <v>6092903705</v>
      </c>
      <c r="B435" t="s">
        <v>1772</v>
      </c>
      <c r="C435" t="s">
        <v>552</v>
      </c>
      <c r="D435" s="8">
        <v>2</v>
      </c>
      <c r="E435" s="8" t="s">
        <v>174</v>
      </c>
    </row>
    <row r="436" spans="1:5">
      <c r="A436" s="18">
        <v>6092903705</v>
      </c>
      <c r="B436" t="s">
        <v>1773</v>
      </c>
      <c r="C436" t="s">
        <v>552</v>
      </c>
      <c r="D436" s="8">
        <v>2.5</v>
      </c>
      <c r="E436" s="8" t="s">
        <v>169</v>
      </c>
    </row>
    <row r="437" spans="1:5">
      <c r="A437" s="18">
        <v>6092903705</v>
      </c>
      <c r="B437" t="s">
        <v>1774</v>
      </c>
      <c r="C437" t="s">
        <v>552</v>
      </c>
      <c r="D437" s="8">
        <v>3</v>
      </c>
      <c r="E437" s="8" t="s">
        <v>176</v>
      </c>
    </row>
    <row r="438" spans="1:5">
      <c r="A438" s="18">
        <v>6092903705</v>
      </c>
      <c r="B438" t="s">
        <v>1775</v>
      </c>
      <c r="C438" t="s">
        <v>552</v>
      </c>
      <c r="D438" s="8">
        <v>3.5</v>
      </c>
      <c r="E438" s="8" t="s">
        <v>323</v>
      </c>
    </row>
    <row r="439" spans="1:5">
      <c r="A439" s="18">
        <v>6092903705</v>
      </c>
      <c r="B439" t="s">
        <v>1776</v>
      </c>
      <c r="C439" t="s">
        <v>552</v>
      </c>
      <c r="D439" s="8">
        <v>4</v>
      </c>
      <c r="E439" s="8" t="s">
        <v>178</v>
      </c>
    </row>
    <row r="440" spans="1:5">
      <c r="A440" s="18">
        <v>6092903705</v>
      </c>
      <c r="B440" t="s">
        <v>1777</v>
      </c>
      <c r="C440" t="s">
        <v>552</v>
      </c>
      <c r="D440" s="8">
        <v>4.5</v>
      </c>
      <c r="E440" s="8" t="s">
        <v>324</v>
      </c>
    </row>
    <row r="441" spans="1:5">
      <c r="A441" s="18">
        <v>6092903705</v>
      </c>
      <c r="B441" t="s">
        <v>1778</v>
      </c>
      <c r="C441" t="s">
        <v>552</v>
      </c>
      <c r="D441" s="8">
        <v>5</v>
      </c>
      <c r="E441" s="8" t="s">
        <v>180</v>
      </c>
    </row>
    <row r="442" spans="1:5">
      <c r="A442" s="18">
        <v>6092903705</v>
      </c>
      <c r="B442" t="s">
        <v>1779</v>
      </c>
      <c r="C442" t="s">
        <v>552</v>
      </c>
      <c r="D442" s="8">
        <v>5.5</v>
      </c>
      <c r="E442" s="8" t="s">
        <v>325</v>
      </c>
    </row>
    <row r="443" spans="1:5">
      <c r="A443" s="18">
        <v>6092903705</v>
      </c>
      <c r="B443" t="s">
        <v>1780</v>
      </c>
      <c r="C443" t="s">
        <v>552</v>
      </c>
      <c r="D443" s="8">
        <v>6</v>
      </c>
      <c r="E443" s="8" t="s">
        <v>182</v>
      </c>
    </row>
    <row r="444" spans="1:5">
      <c r="A444" s="18">
        <v>6092903705</v>
      </c>
      <c r="B444" t="s">
        <v>1781</v>
      </c>
      <c r="C444" t="s">
        <v>552</v>
      </c>
      <c r="D444" s="8">
        <v>6.5</v>
      </c>
      <c r="E444" s="8" t="s">
        <v>326</v>
      </c>
    </row>
    <row r="445" spans="1:5">
      <c r="A445" s="18">
        <v>6092903705</v>
      </c>
      <c r="B445" t="s">
        <v>1782</v>
      </c>
      <c r="C445" t="s">
        <v>552</v>
      </c>
      <c r="D445" s="8">
        <v>7</v>
      </c>
      <c r="E445" s="8" t="s">
        <v>184</v>
      </c>
    </row>
    <row r="446" spans="1:5">
      <c r="A446" s="18">
        <v>6092903705</v>
      </c>
      <c r="B446" t="s">
        <v>1783</v>
      </c>
      <c r="C446" t="s">
        <v>552</v>
      </c>
      <c r="D446" s="8">
        <v>7.5</v>
      </c>
      <c r="E446" s="8" t="s">
        <v>330</v>
      </c>
    </row>
    <row r="447" spans="1:5">
      <c r="A447" s="18">
        <v>6092903705</v>
      </c>
      <c r="B447" t="s">
        <v>1784</v>
      </c>
      <c r="C447" t="s">
        <v>552</v>
      </c>
      <c r="D447" s="8">
        <v>8</v>
      </c>
      <c r="E447" s="8" t="s">
        <v>186</v>
      </c>
    </row>
    <row r="448" spans="1:5">
      <c r="A448" s="18">
        <v>6092903705</v>
      </c>
      <c r="B448" t="s">
        <v>1785</v>
      </c>
      <c r="C448" t="s">
        <v>552</v>
      </c>
      <c r="D448" s="8">
        <v>8.5</v>
      </c>
      <c r="E448" s="8" t="s">
        <v>333</v>
      </c>
    </row>
    <row r="449" spans="1:5">
      <c r="A449" s="18">
        <v>6092903705</v>
      </c>
      <c r="B449" t="s">
        <v>1786</v>
      </c>
      <c r="C449" t="s">
        <v>552</v>
      </c>
      <c r="D449" s="8">
        <v>9</v>
      </c>
      <c r="E449" s="8" t="s">
        <v>188</v>
      </c>
    </row>
    <row r="450" spans="1:5">
      <c r="A450" s="18">
        <v>6092903705</v>
      </c>
      <c r="B450" t="s">
        <v>1787</v>
      </c>
      <c r="C450" t="s">
        <v>552</v>
      </c>
      <c r="D450" s="8">
        <v>9.5</v>
      </c>
      <c r="E450" s="8" t="s">
        <v>335</v>
      </c>
    </row>
    <row r="451" spans="1:5">
      <c r="A451" s="18">
        <v>6092903705</v>
      </c>
      <c r="B451" t="s">
        <v>1788</v>
      </c>
      <c r="C451" t="s">
        <v>218</v>
      </c>
      <c r="D451" s="8">
        <v>10</v>
      </c>
      <c r="E451" s="8" t="s">
        <v>190</v>
      </c>
    </row>
    <row r="452" spans="1:5">
      <c r="A452" s="18">
        <v>6092903705</v>
      </c>
      <c r="B452" t="s">
        <v>1789</v>
      </c>
      <c r="C452" t="s">
        <v>218</v>
      </c>
      <c r="D452" s="8">
        <v>1</v>
      </c>
      <c r="E452" s="8" t="s">
        <v>172</v>
      </c>
    </row>
    <row r="453" spans="1:5">
      <c r="A453" s="18">
        <v>6092903705</v>
      </c>
      <c r="B453" t="s">
        <v>1790</v>
      </c>
      <c r="C453" t="s">
        <v>218</v>
      </c>
      <c r="D453" s="8">
        <v>10.5</v>
      </c>
      <c r="E453" s="8" t="s">
        <v>338</v>
      </c>
    </row>
    <row r="454" spans="1:5">
      <c r="A454" s="18">
        <v>6092903705</v>
      </c>
      <c r="B454" t="s">
        <v>1791</v>
      </c>
      <c r="C454" t="s">
        <v>218</v>
      </c>
      <c r="D454" s="8">
        <v>11</v>
      </c>
      <c r="E454" s="8" t="s">
        <v>340</v>
      </c>
    </row>
    <row r="455" spans="1:5">
      <c r="A455" s="18">
        <v>6092903705</v>
      </c>
      <c r="B455" t="s">
        <v>1792</v>
      </c>
      <c r="C455" t="s">
        <v>218</v>
      </c>
      <c r="D455" s="8">
        <v>11.5</v>
      </c>
      <c r="E455" s="8" t="s">
        <v>342</v>
      </c>
    </row>
    <row r="456" spans="1:5">
      <c r="A456" s="18">
        <v>6092903705</v>
      </c>
      <c r="B456" t="s">
        <v>1793</v>
      </c>
      <c r="C456" t="s">
        <v>218</v>
      </c>
      <c r="D456" s="8">
        <v>12</v>
      </c>
      <c r="E456" s="8" t="s">
        <v>344</v>
      </c>
    </row>
    <row r="457" spans="1:5">
      <c r="A457" s="18">
        <v>6092903705</v>
      </c>
      <c r="B457" t="s">
        <v>1794</v>
      </c>
      <c r="C457" t="s">
        <v>218</v>
      </c>
      <c r="D457" s="8">
        <v>1.5</v>
      </c>
      <c r="E457" s="8" t="s">
        <v>320</v>
      </c>
    </row>
    <row r="458" spans="1:5">
      <c r="A458" s="18">
        <v>6092903705</v>
      </c>
      <c r="B458" t="s">
        <v>1795</v>
      </c>
      <c r="C458" t="s">
        <v>218</v>
      </c>
      <c r="D458" s="8">
        <v>2</v>
      </c>
      <c r="E458" s="8" t="s">
        <v>174</v>
      </c>
    </row>
    <row r="459" spans="1:5">
      <c r="A459" s="18">
        <v>6092903705</v>
      </c>
      <c r="B459" t="s">
        <v>1796</v>
      </c>
      <c r="C459" t="s">
        <v>218</v>
      </c>
      <c r="D459" s="8">
        <v>2.5</v>
      </c>
      <c r="E459" s="8" t="s">
        <v>169</v>
      </c>
    </row>
    <row r="460" spans="1:5">
      <c r="A460" s="18">
        <v>6092903705</v>
      </c>
      <c r="B460" t="s">
        <v>1797</v>
      </c>
      <c r="C460" t="s">
        <v>218</v>
      </c>
      <c r="D460" s="8">
        <v>3</v>
      </c>
      <c r="E460" s="8" t="s">
        <v>176</v>
      </c>
    </row>
    <row r="461" spans="1:5">
      <c r="A461" s="18">
        <v>6092903705</v>
      </c>
      <c r="B461" t="s">
        <v>1798</v>
      </c>
      <c r="C461" t="s">
        <v>218</v>
      </c>
      <c r="D461" s="8">
        <v>3.5</v>
      </c>
      <c r="E461" s="8" t="s">
        <v>323</v>
      </c>
    </row>
    <row r="462" spans="1:5">
      <c r="A462" s="18">
        <v>6092903705</v>
      </c>
      <c r="B462" t="s">
        <v>1799</v>
      </c>
      <c r="C462" t="s">
        <v>218</v>
      </c>
      <c r="D462" s="8">
        <v>4</v>
      </c>
      <c r="E462" s="8" t="s">
        <v>178</v>
      </c>
    </row>
    <row r="463" spans="1:5">
      <c r="A463" s="18">
        <v>6092903705</v>
      </c>
      <c r="B463" t="s">
        <v>1800</v>
      </c>
      <c r="C463" t="s">
        <v>218</v>
      </c>
      <c r="D463" s="8">
        <v>4.5</v>
      </c>
      <c r="E463" s="8" t="s">
        <v>324</v>
      </c>
    </row>
    <row r="464" spans="1:5">
      <c r="A464" s="18">
        <v>6092903705</v>
      </c>
      <c r="B464" t="s">
        <v>1801</v>
      </c>
      <c r="C464" t="s">
        <v>218</v>
      </c>
      <c r="D464" s="8">
        <v>5</v>
      </c>
      <c r="E464" s="8" t="s">
        <v>180</v>
      </c>
    </row>
    <row r="465" spans="1:5">
      <c r="A465" s="18">
        <v>6092903705</v>
      </c>
      <c r="B465" t="s">
        <v>1802</v>
      </c>
      <c r="C465" t="s">
        <v>218</v>
      </c>
      <c r="D465" s="8">
        <v>5.5</v>
      </c>
      <c r="E465" s="8" t="s">
        <v>325</v>
      </c>
    </row>
    <row r="466" spans="1:5">
      <c r="A466" s="18">
        <v>6092903705</v>
      </c>
      <c r="B466" t="s">
        <v>1803</v>
      </c>
      <c r="C466" t="s">
        <v>218</v>
      </c>
      <c r="D466" s="8">
        <v>6</v>
      </c>
      <c r="E466" s="8" t="s">
        <v>182</v>
      </c>
    </row>
    <row r="467" spans="1:5">
      <c r="A467" s="18">
        <v>6092903705</v>
      </c>
      <c r="B467" t="s">
        <v>1804</v>
      </c>
      <c r="C467" t="s">
        <v>218</v>
      </c>
      <c r="D467" s="8">
        <v>6.5</v>
      </c>
      <c r="E467" s="8" t="s">
        <v>326</v>
      </c>
    </row>
    <row r="468" spans="1:5">
      <c r="A468" s="18">
        <v>6092903705</v>
      </c>
      <c r="B468" t="s">
        <v>1805</v>
      </c>
      <c r="C468" t="s">
        <v>218</v>
      </c>
      <c r="D468" s="8">
        <v>7</v>
      </c>
      <c r="E468" s="8" t="s">
        <v>184</v>
      </c>
    </row>
    <row r="469" spans="1:5">
      <c r="A469" s="18">
        <v>6092903705</v>
      </c>
      <c r="B469" t="s">
        <v>1806</v>
      </c>
      <c r="C469" t="s">
        <v>218</v>
      </c>
      <c r="D469" s="8">
        <v>7.5</v>
      </c>
      <c r="E469" s="8" t="s">
        <v>330</v>
      </c>
    </row>
    <row r="470" spans="1:5">
      <c r="A470" s="18">
        <v>6092903705</v>
      </c>
      <c r="B470" t="s">
        <v>1807</v>
      </c>
      <c r="C470" t="s">
        <v>218</v>
      </c>
      <c r="D470" s="8">
        <v>8</v>
      </c>
      <c r="E470" s="8" t="s">
        <v>186</v>
      </c>
    </row>
    <row r="471" spans="1:5">
      <c r="A471" s="18">
        <v>6092903705</v>
      </c>
      <c r="B471" t="s">
        <v>1808</v>
      </c>
      <c r="C471" t="s">
        <v>218</v>
      </c>
      <c r="D471" s="8">
        <v>8.5</v>
      </c>
      <c r="E471" s="8" t="s">
        <v>333</v>
      </c>
    </row>
    <row r="472" spans="1:5">
      <c r="A472" s="18">
        <v>6092903705</v>
      </c>
      <c r="B472" t="s">
        <v>1809</v>
      </c>
      <c r="C472" t="s">
        <v>218</v>
      </c>
      <c r="D472" s="8">
        <v>9</v>
      </c>
      <c r="E472" s="8" t="s">
        <v>188</v>
      </c>
    </row>
    <row r="473" spans="1:5">
      <c r="A473" s="18">
        <v>6092903705</v>
      </c>
      <c r="B473" t="s">
        <v>1810</v>
      </c>
      <c r="C473" t="s">
        <v>218</v>
      </c>
      <c r="D473" s="8">
        <v>9.5</v>
      </c>
      <c r="E473" s="8" t="s">
        <v>335</v>
      </c>
    </row>
    <row r="474" spans="1:5">
      <c r="A474" s="18">
        <v>6092903705</v>
      </c>
      <c r="B474" t="s">
        <v>1811</v>
      </c>
      <c r="C474" t="s">
        <v>346</v>
      </c>
      <c r="D474" s="8">
        <v>10</v>
      </c>
      <c r="E474" s="8" t="s">
        <v>337</v>
      </c>
    </row>
    <row r="475" spans="1:5">
      <c r="A475" s="18">
        <v>6092903705</v>
      </c>
      <c r="B475" t="s">
        <v>1812</v>
      </c>
      <c r="C475" t="s">
        <v>346</v>
      </c>
      <c r="D475" s="8">
        <v>1</v>
      </c>
      <c r="E475" s="8" t="s">
        <v>319</v>
      </c>
    </row>
    <row r="476" spans="1:5">
      <c r="A476" s="18">
        <v>6092903705</v>
      </c>
      <c r="B476" t="s">
        <v>1813</v>
      </c>
      <c r="C476" t="s">
        <v>346</v>
      </c>
      <c r="D476" s="8">
        <v>10.5</v>
      </c>
      <c r="E476" s="8" t="s">
        <v>339</v>
      </c>
    </row>
    <row r="477" spans="1:5">
      <c r="A477" s="18">
        <v>6092903705</v>
      </c>
      <c r="B477" t="s">
        <v>1814</v>
      </c>
      <c r="C477" t="s">
        <v>346</v>
      </c>
      <c r="D477" s="8">
        <v>11</v>
      </c>
      <c r="E477" s="8" t="s">
        <v>341</v>
      </c>
    </row>
    <row r="478" spans="1:5">
      <c r="A478" s="18">
        <v>6092903705</v>
      </c>
      <c r="B478" t="s">
        <v>1815</v>
      </c>
      <c r="C478" t="s">
        <v>346</v>
      </c>
      <c r="D478" s="8">
        <v>11.5</v>
      </c>
      <c r="E478" s="8" t="s">
        <v>343</v>
      </c>
    </row>
    <row r="479" spans="1:5">
      <c r="A479" s="18">
        <v>6092903705</v>
      </c>
      <c r="B479" t="s">
        <v>1816</v>
      </c>
      <c r="C479" t="s">
        <v>346</v>
      </c>
      <c r="D479" s="8">
        <v>12</v>
      </c>
      <c r="E479" s="8" t="s">
        <v>345</v>
      </c>
    </row>
    <row r="480" spans="1:5">
      <c r="A480" s="18">
        <v>6092903705</v>
      </c>
      <c r="B480" t="s">
        <v>1817</v>
      </c>
      <c r="C480" t="s">
        <v>346</v>
      </c>
      <c r="D480" s="8">
        <v>1.5</v>
      </c>
      <c r="E480" s="8" t="s">
        <v>321</v>
      </c>
    </row>
    <row r="481" spans="1:5">
      <c r="A481" s="18">
        <v>6092903705</v>
      </c>
      <c r="B481" t="s">
        <v>1818</v>
      </c>
      <c r="C481" t="s">
        <v>346</v>
      </c>
      <c r="D481" s="8">
        <v>2</v>
      </c>
      <c r="E481" s="8" t="s">
        <v>313</v>
      </c>
    </row>
    <row r="482" spans="1:5">
      <c r="A482" s="18">
        <v>6092903705</v>
      </c>
      <c r="B482" t="s">
        <v>1819</v>
      </c>
      <c r="C482" t="s">
        <v>346</v>
      </c>
      <c r="D482" s="8">
        <v>2.5</v>
      </c>
      <c r="E482" s="8" t="s">
        <v>311</v>
      </c>
    </row>
    <row r="483" spans="1:5">
      <c r="A483" s="18">
        <v>6092903705</v>
      </c>
      <c r="B483" t="s">
        <v>1820</v>
      </c>
      <c r="C483" t="s">
        <v>346</v>
      </c>
      <c r="D483" s="8">
        <v>3</v>
      </c>
      <c r="E483" s="8" t="s">
        <v>322</v>
      </c>
    </row>
    <row r="484" spans="1:5">
      <c r="A484" s="18">
        <v>6092903705</v>
      </c>
      <c r="B484" t="s">
        <v>1821</v>
      </c>
      <c r="C484" t="s">
        <v>346</v>
      </c>
      <c r="D484" s="8">
        <v>3.5</v>
      </c>
      <c r="E484" s="8" t="s">
        <v>310</v>
      </c>
    </row>
    <row r="485" spans="1:5">
      <c r="A485" s="18">
        <v>6092903705</v>
      </c>
      <c r="B485" t="s">
        <v>1822</v>
      </c>
      <c r="C485" t="s">
        <v>346</v>
      </c>
      <c r="D485" s="8">
        <v>4</v>
      </c>
      <c r="E485" s="8" t="s">
        <v>309</v>
      </c>
    </row>
    <row r="486" spans="1:5">
      <c r="A486" s="18">
        <v>6092903705</v>
      </c>
      <c r="B486" t="s">
        <v>1823</v>
      </c>
      <c r="C486" t="s">
        <v>346</v>
      </c>
      <c r="D486" s="8">
        <v>4.5</v>
      </c>
      <c r="E486" s="8" t="s">
        <v>316</v>
      </c>
    </row>
    <row r="487" spans="1:5">
      <c r="A487" s="18">
        <v>6092903705</v>
      </c>
      <c r="B487" t="s">
        <v>1824</v>
      </c>
      <c r="C487" t="s">
        <v>346</v>
      </c>
      <c r="D487" s="8">
        <v>5</v>
      </c>
      <c r="E487" s="8" t="s">
        <v>314</v>
      </c>
    </row>
    <row r="488" spans="1:5">
      <c r="A488" s="18">
        <v>6092903705</v>
      </c>
      <c r="B488" t="s">
        <v>1825</v>
      </c>
      <c r="C488" t="s">
        <v>346</v>
      </c>
      <c r="D488" s="8">
        <v>5.5</v>
      </c>
      <c r="E488" s="8" t="s">
        <v>315</v>
      </c>
    </row>
    <row r="489" spans="1:5">
      <c r="A489" s="18">
        <v>6092903705</v>
      </c>
      <c r="B489" t="s">
        <v>1826</v>
      </c>
      <c r="C489" t="s">
        <v>346</v>
      </c>
      <c r="D489" s="8">
        <v>6</v>
      </c>
      <c r="E489" s="8" t="s">
        <v>332</v>
      </c>
    </row>
    <row r="490" spans="1:5">
      <c r="A490" s="18">
        <v>6092903705</v>
      </c>
      <c r="B490" t="s">
        <v>1827</v>
      </c>
      <c r="C490" t="s">
        <v>346</v>
      </c>
      <c r="D490" s="8">
        <v>6.5</v>
      </c>
      <c r="E490" s="8" t="s">
        <v>327</v>
      </c>
    </row>
    <row r="491" spans="1:5">
      <c r="A491" s="18">
        <v>6092903705</v>
      </c>
      <c r="B491" t="s">
        <v>1828</v>
      </c>
      <c r="C491" t="s">
        <v>346</v>
      </c>
      <c r="D491" s="8">
        <v>7</v>
      </c>
      <c r="E491" s="8" t="s">
        <v>328</v>
      </c>
    </row>
    <row r="492" spans="1:5">
      <c r="A492" s="18">
        <v>6092903705</v>
      </c>
      <c r="B492" t="s">
        <v>1829</v>
      </c>
      <c r="C492" t="s">
        <v>346</v>
      </c>
      <c r="D492" s="8">
        <v>7.5</v>
      </c>
      <c r="E492" s="8" t="s">
        <v>331</v>
      </c>
    </row>
    <row r="493" spans="1:5">
      <c r="A493" s="18">
        <v>6092903705</v>
      </c>
      <c r="B493" t="s">
        <v>1830</v>
      </c>
      <c r="C493" t="s">
        <v>346</v>
      </c>
      <c r="D493" s="8">
        <v>8</v>
      </c>
      <c r="E493" s="8" t="s">
        <v>329</v>
      </c>
    </row>
    <row r="494" spans="1:5">
      <c r="A494" s="18">
        <v>6092903705</v>
      </c>
      <c r="B494" t="s">
        <v>1831</v>
      </c>
      <c r="C494" t="s">
        <v>346</v>
      </c>
      <c r="D494" s="8">
        <v>8.5</v>
      </c>
      <c r="E494" s="8" t="s">
        <v>334</v>
      </c>
    </row>
    <row r="495" spans="1:5">
      <c r="A495" s="18">
        <v>6092903705</v>
      </c>
      <c r="B495" t="s">
        <v>1832</v>
      </c>
      <c r="C495" t="s">
        <v>346</v>
      </c>
      <c r="D495" s="8">
        <v>9</v>
      </c>
      <c r="E495" s="8" t="s">
        <v>312</v>
      </c>
    </row>
    <row r="496" spans="1:5">
      <c r="A496" s="18">
        <v>6092903705</v>
      </c>
      <c r="B496" t="s">
        <v>1833</v>
      </c>
      <c r="C496" t="s">
        <v>346</v>
      </c>
      <c r="D496" s="8">
        <v>9.5</v>
      </c>
      <c r="E496" s="8" t="s">
        <v>336</v>
      </c>
    </row>
    <row r="497" spans="1:5">
      <c r="A497" s="18">
        <v>6092903705</v>
      </c>
      <c r="B497" t="s">
        <v>1834</v>
      </c>
      <c r="C497" t="s">
        <v>553</v>
      </c>
      <c r="D497" s="8">
        <v>10</v>
      </c>
      <c r="E497" s="8" t="s">
        <v>190</v>
      </c>
    </row>
    <row r="498" spans="1:5">
      <c r="A498" s="18">
        <v>6092903705</v>
      </c>
      <c r="B498" t="s">
        <v>1835</v>
      </c>
      <c r="C498" t="s">
        <v>553</v>
      </c>
      <c r="D498" s="8">
        <v>1</v>
      </c>
      <c r="E498" s="8" t="s">
        <v>172</v>
      </c>
    </row>
    <row r="499" spans="1:5">
      <c r="A499" s="18">
        <v>6092903705</v>
      </c>
      <c r="B499" t="s">
        <v>1836</v>
      </c>
      <c r="C499" t="s">
        <v>553</v>
      </c>
      <c r="D499" s="8">
        <v>10.5</v>
      </c>
      <c r="E499" s="8" t="s">
        <v>338</v>
      </c>
    </row>
    <row r="500" spans="1:5">
      <c r="A500" s="18">
        <v>6092903705</v>
      </c>
      <c r="B500" t="s">
        <v>1837</v>
      </c>
      <c r="C500" t="s">
        <v>553</v>
      </c>
      <c r="D500" s="8">
        <v>11</v>
      </c>
      <c r="E500" s="8" t="s">
        <v>340</v>
      </c>
    </row>
    <row r="501" spans="1:5">
      <c r="A501" s="18">
        <v>6092903705</v>
      </c>
      <c r="B501" t="s">
        <v>1838</v>
      </c>
      <c r="C501" t="s">
        <v>553</v>
      </c>
      <c r="D501" s="8">
        <v>11.5</v>
      </c>
      <c r="E501" s="8" t="s">
        <v>342</v>
      </c>
    </row>
    <row r="502" spans="1:5">
      <c r="A502" s="18">
        <v>6092903705</v>
      </c>
      <c r="B502" t="s">
        <v>1839</v>
      </c>
      <c r="C502" t="s">
        <v>553</v>
      </c>
      <c r="D502" s="8">
        <v>12</v>
      </c>
      <c r="E502" s="8" t="s">
        <v>344</v>
      </c>
    </row>
    <row r="503" spans="1:5">
      <c r="A503" s="18">
        <v>6092903705</v>
      </c>
      <c r="B503" t="s">
        <v>1840</v>
      </c>
      <c r="C503" t="s">
        <v>553</v>
      </c>
      <c r="D503" s="8">
        <v>1.5</v>
      </c>
      <c r="E503" s="8" t="s">
        <v>320</v>
      </c>
    </row>
    <row r="504" spans="1:5">
      <c r="A504" s="18">
        <v>6092903705</v>
      </c>
      <c r="B504" t="s">
        <v>1841</v>
      </c>
      <c r="C504" t="s">
        <v>553</v>
      </c>
      <c r="D504" s="8">
        <v>2</v>
      </c>
      <c r="E504" s="8" t="s">
        <v>174</v>
      </c>
    </row>
    <row r="505" spans="1:5">
      <c r="A505" s="18">
        <v>6092903705</v>
      </c>
      <c r="B505" t="s">
        <v>1842</v>
      </c>
      <c r="C505" t="s">
        <v>553</v>
      </c>
      <c r="D505" s="8">
        <v>2.5</v>
      </c>
      <c r="E505" s="8" t="s">
        <v>169</v>
      </c>
    </row>
    <row r="506" spans="1:5">
      <c r="A506" s="18">
        <v>6092903705</v>
      </c>
      <c r="B506" t="s">
        <v>1843</v>
      </c>
      <c r="C506" t="s">
        <v>553</v>
      </c>
      <c r="D506" s="8">
        <v>3</v>
      </c>
      <c r="E506" s="8" t="s">
        <v>176</v>
      </c>
    </row>
    <row r="507" spans="1:5">
      <c r="A507" s="18">
        <v>6092903705</v>
      </c>
      <c r="B507" t="s">
        <v>1844</v>
      </c>
      <c r="C507" t="s">
        <v>553</v>
      </c>
      <c r="D507" s="8">
        <v>3.5</v>
      </c>
      <c r="E507" s="8" t="s">
        <v>323</v>
      </c>
    </row>
    <row r="508" spans="1:5">
      <c r="A508" s="18">
        <v>6092903705</v>
      </c>
      <c r="B508" t="s">
        <v>1845</v>
      </c>
      <c r="C508" t="s">
        <v>553</v>
      </c>
      <c r="D508" s="8">
        <v>4</v>
      </c>
      <c r="E508" s="8" t="s">
        <v>178</v>
      </c>
    </row>
    <row r="509" spans="1:5">
      <c r="A509" s="18">
        <v>6092903705</v>
      </c>
      <c r="B509" t="s">
        <v>1846</v>
      </c>
      <c r="C509" t="s">
        <v>553</v>
      </c>
      <c r="D509" s="8">
        <v>4.5</v>
      </c>
      <c r="E509" s="8" t="s">
        <v>324</v>
      </c>
    </row>
    <row r="510" spans="1:5">
      <c r="A510" s="18">
        <v>6092903705</v>
      </c>
      <c r="B510" t="s">
        <v>1417</v>
      </c>
      <c r="C510" t="s">
        <v>553</v>
      </c>
      <c r="D510" s="8">
        <v>5</v>
      </c>
      <c r="E510" s="8" t="s">
        <v>180</v>
      </c>
    </row>
    <row r="511" spans="1:5">
      <c r="A511" s="18">
        <v>6092903705</v>
      </c>
      <c r="B511" t="s">
        <v>1847</v>
      </c>
      <c r="C511" t="s">
        <v>553</v>
      </c>
      <c r="D511" s="8">
        <v>5.5</v>
      </c>
      <c r="E511" s="8" t="s">
        <v>325</v>
      </c>
    </row>
    <row r="512" spans="1:5">
      <c r="A512" s="18">
        <v>6092903705</v>
      </c>
      <c r="B512" t="s">
        <v>1848</v>
      </c>
      <c r="C512" t="s">
        <v>553</v>
      </c>
      <c r="D512" s="8">
        <v>6</v>
      </c>
      <c r="E512" s="8" t="s">
        <v>182</v>
      </c>
    </row>
    <row r="513" spans="1:5">
      <c r="A513" s="18">
        <v>6092903705</v>
      </c>
      <c r="B513" t="s">
        <v>1849</v>
      </c>
      <c r="C513" t="s">
        <v>553</v>
      </c>
      <c r="D513" s="8">
        <v>6.5</v>
      </c>
      <c r="E513" s="8" t="s">
        <v>326</v>
      </c>
    </row>
    <row r="514" spans="1:5">
      <c r="A514" s="18">
        <v>6092903705</v>
      </c>
      <c r="B514" t="s">
        <v>1850</v>
      </c>
      <c r="C514" t="s">
        <v>553</v>
      </c>
      <c r="D514" s="8">
        <v>7</v>
      </c>
      <c r="E514" s="8" t="s">
        <v>184</v>
      </c>
    </row>
    <row r="515" spans="1:5">
      <c r="A515" s="18">
        <v>6092903705</v>
      </c>
      <c r="B515" t="s">
        <v>1851</v>
      </c>
      <c r="C515" t="s">
        <v>553</v>
      </c>
      <c r="D515" s="8">
        <v>7.5</v>
      </c>
      <c r="E515" s="8" t="s">
        <v>330</v>
      </c>
    </row>
    <row r="516" spans="1:5">
      <c r="A516" s="18">
        <v>6092903705</v>
      </c>
      <c r="B516" t="s">
        <v>1852</v>
      </c>
      <c r="C516" t="s">
        <v>553</v>
      </c>
      <c r="D516" s="8">
        <v>8</v>
      </c>
      <c r="E516" s="8" t="s">
        <v>186</v>
      </c>
    </row>
    <row r="517" spans="1:5">
      <c r="A517" s="18">
        <v>6092903705</v>
      </c>
      <c r="B517" t="s">
        <v>1853</v>
      </c>
      <c r="C517" t="s">
        <v>553</v>
      </c>
      <c r="D517" s="8">
        <v>8.5</v>
      </c>
      <c r="E517" s="8" t="s">
        <v>333</v>
      </c>
    </row>
    <row r="518" spans="1:5">
      <c r="A518" s="18">
        <v>6092903705</v>
      </c>
      <c r="B518" t="s">
        <v>1854</v>
      </c>
      <c r="C518" t="s">
        <v>553</v>
      </c>
      <c r="D518" s="8">
        <v>9</v>
      </c>
      <c r="E518" s="8" t="s">
        <v>188</v>
      </c>
    </row>
    <row r="519" spans="1:5">
      <c r="A519" s="18">
        <v>6092903705</v>
      </c>
      <c r="B519" t="s">
        <v>1855</v>
      </c>
      <c r="C519" t="s">
        <v>553</v>
      </c>
      <c r="D519" s="8">
        <v>9.5</v>
      </c>
      <c r="E519" s="8" t="s">
        <v>335</v>
      </c>
    </row>
    <row r="520" spans="1:5">
      <c r="A520" s="18">
        <v>6092903705</v>
      </c>
      <c r="B520" t="s">
        <v>1856</v>
      </c>
      <c r="C520" t="s">
        <v>419</v>
      </c>
      <c r="D520" s="8">
        <v>10</v>
      </c>
      <c r="E520" s="8" t="s">
        <v>190</v>
      </c>
    </row>
    <row r="521" spans="1:5">
      <c r="A521" s="18">
        <v>6092903705</v>
      </c>
      <c r="B521" t="s">
        <v>1857</v>
      </c>
      <c r="C521" t="s">
        <v>419</v>
      </c>
      <c r="D521" s="8">
        <v>1</v>
      </c>
      <c r="E521" s="8" t="s">
        <v>172</v>
      </c>
    </row>
    <row r="522" spans="1:5">
      <c r="A522" s="18">
        <v>6092903705</v>
      </c>
      <c r="B522" t="s">
        <v>1858</v>
      </c>
      <c r="C522" t="s">
        <v>419</v>
      </c>
      <c r="D522" s="8">
        <v>10.5</v>
      </c>
      <c r="E522" s="8" t="s">
        <v>338</v>
      </c>
    </row>
    <row r="523" spans="1:5">
      <c r="A523" s="18">
        <v>6092903705</v>
      </c>
      <c r="B523" t="s">
        <v>1859</v>
      </c>
      <c r="C523" t="s">
        <v>419</v>
      </c>
      <c r="D523" s="8">
        <v>11</v>
      </c>
      <c r="E523" s="8" t="s">
        <v>340</v>
      </c>
    </row>
    <row r="524" spans="1:5">
      <c r="A524" s="18">
        <v>6092903705</v>
      </c>
      <c r="B524" t="s">
        <v>1860</v>
      </c>
      <c r="C524" t="s">
        <v>419</v>
      </c>
      <c r="D524" s="8">
        <v>11.5</v>
      </c>
      <c r="E524" s="8" t="s">
        <v>342</v>
      </c>
    </row>
    <row r="525" spans="1:5">
      <c r="A525" s="18">
        <v>6092903705</v>
      </c>
      <c r="B525" t="s">
        <v>1861</v>
      </c>
      <c r="C525" t="s">
        <v>419</v>
      </c>
      <c r="D525" s="8">
        <v>12</v>
      </c>
      <c r="E525" s="8" t="s">
        <v>344</v>
      </c>
    </row>
    <row r="526" spans="1:5">
      <c r="A526" s="18">
        <v>6092903705</v>
      </c>
      <c r="B526" t="s">
        <v>1862</v>
      </c>
      <c r="C526" t="s">
        <v>419</v>
      </c>
      <c r="D526" s="8">
        <v>1.5</v>
      </c>
      <c r="E526" s="8" t="s">
        <v>320</v>
      </c>
    </row>
    <row r="527" spans="1:5">
      <c r="A527" s="18">
        <v>6092903705</v>
      </c>
      <c r="B527" t="s">
        <v>1863</v>
      </c>
      <c r="C527" t="s">
        <v>419</v>
      </c>
      <c r="D527" s="8">
        <v>2</v>
      </c>
      <c r="E527" s="8" t="s">
        <v>174</v>
      </c>
    </row>
    <row r="528" spans="1:5">
      <c r="A528" s="18">
        <v>6092903705</v>
      </c>
      <c r="B528" t="s">
        <v>1864</v>
      </c>
      <c r="C528" t="s">
        <v>419</v>
      </c>
      <c r="D528" s="8">
        <v>2.5</v>
      </c>
      <c r="E528" s="8" t="s">
        <v>169</v>
      </c>
    </row>
    <row r="529" spans="1:5">
      <c r="A529" s="18">
        <v>6092903705</v>
      </c>
      <c r="B529" t="s">
        <v>1865</v>
      </c>
      <c r="C529" t="s">
        <v>419</v>
      </c>
      <c r="D529" s="8">
        <v>3</v>
      </c>
      <c r="E529" s="8" t="s">
        <v>176</v>
      </c>
    </row>
    <row r="530" spans="1:5">
      <c r="A530" s="18">
        <v>6092903705</v>
      </c>
      <c r="B530" t="s">
        <v>1866</v>
      </c>
      <c r="C530" t="s">
        <v>419</v>
      </c>
      <c r="D530" s="8">
        <v>3.5</v>
      </c>
      <c r="E530" s="8" t="s">
        <v>323</v>
      </c>
    </row>
    <row r="531" spans="1:5">
      <c r="A531" s="18">
        <v>6092903705</v>
      </c>
      <c r="B531" t="s">
        <v>1867</v>
      </c>
      <c r="C531" t="s">
        <v>419</v>
      </c>
      <c r="D531" s="8">
        <v>4</v>
      </c>
      <c r="E531" s="8" t="s">
        <v>178</v>
      </c>
    </row>
    <row r="532" spans="1:5">
      <c r="A532" s="18">
        <v>6092903705</v>
      </c>
      <c r="B532" t="s">
        <v>1868</v>
      </c>
      <c r="C532" t="s">
        <v>419</v>
      </c>
      <c r="D532" s="8">
        <v>4.5</v>
      </c>
      <c r="E532" s="8" t="s">
        <v>324</v>
      </c>
    </row>
    <row r="533" spans="1:5">
      <c r="A533" s="18">
        <v>6092903705</v>
      </c>
      <c r="B533" t="s">
        <v>1869</v>
      </c>
      <c r="C533" t="s">
        <v>419</v>
      </c>
      <c r="D533" s="8">
        <v>5</v>
      </c>
      <c r="E533" s="8" t="s">
        <v>180</v>
      </c>
    </row>
    <row r="534" spans="1:5">
      <c r="A534" s="18">
        <v>6092903705</v>
      </c>
      <c r="B534" t="s">
        <v>1870</v>
      </c>
      <c r="C534" t="s">
        <v>419</v>
      </c>
      <c r="D534" s="8">
        <v>5.5</v>
      </c>
      <c r="E534" s="8" t="s">
        <v>325</v>
      </c>
    </row>
    <row r="535" spans="1:5">
      <c r="A535" s="18">
        <v>6092903705</v>
      </c>
      <c r="B535" t="s">
        <v>1871</v>
      </c>
      <c r="C535" t="s">
        <v>419</v>
      </c>
      <c r="D535" s="8">
        <v>6</v>
      </c>
      <c r="E535" s="8" t="s">
        <v>182</v>
      </c>
    </row>
    <row r="536" spans="1:5">
      <c r="A536" s="18">
        <v>6092903705</v>
      </c>
      <c r="B536" t="s">
        <v>1872</v>
      </c>
      <c r="C536" t="s">
        <v>419</v>
      </c>
      <c r="D536" s="8">
        <v>6.5</v>
      </c>
      <c r="E536" s="8" t="s">
        <v>326</v>
      </c>
    </row>
    <row r="537" spans="1:5">
      <c r="A537" s="18">
        <v>6092903705</v>
      </c>
      <c r="B537" t="s">
        <v>1873</v>
      </c>
      <c r="C537" t="s">
        <v>419</v>
      </c>
      <c r="D537" s="8">
        <v>7</v>
      </c>
      <c r="E537" s="8" t="s">
        <v>184</v>
      </c>
    </row>
    <row r="538" spans="1:5">
      <c r="A538" s="18">
        <v>6092903705</v>
      </c>
      <c r="B538" t="s">
        <v>1874</v>
      </c>
      <c r="C538" t="s">
        <v>419</v>
      </c>
      <c r="D538" s="8">
        <v>7.5</v>
      </c>
      <c r="E538" s="8" t="s">
        <v>330</v>
      </c>
    </row>
    <row r="539" spans="1:5">
      <c r="A539" s="18">
        <v>6092903705</v>
      </c>
      <c r="B539" t="s">
        <v>1875</v>
      </c>
      <c r="C539" t="s">
        <v>419</v>
      </c>
      <c r="D539" s="8">
        <v>8</v>
      </c>
      <c r="E539" s="8" t="s">
        <v>186</v>
      </c>
    </row>
    <row r="540" spans="1:5">
      <c r="A540" s="18">
        <v>6092903705</v>
      </c>
      <c r="B540" t="s">
        <v>1876</v>
      </c>
      <c r="C540" t="s">
        <v>419</v>
      </c>
      <c r="D540" s="8">
        <v>8.5</v>
      </c>
      <c r="E540" s="8" t="s">
        <v>333</v>
      </c>
    </row>
    <row r="541" spans="1:5">
      <c r="A541" s="18">
        <v>6092903705</v>
      </c>
      <c r="B541" t="s">
        <v>1877</v>
      </c>
      <c r="C541" t="s">
        <v>419</v>
      </c>
      <c r="D541" s="8">
        <v>9</v>
      </c>
      <c r="E541" s="8" t="s">
        <v>188</v>
      </c>
    </row>
    <row r="542" spans="1:5">
      <c r="A542" s="18">
        <v>6092903705</v>
      </c>
      <c r="B542" t="s">
        <v>1878</v>
      </c>
      <c r="C542" t="s">
        <v>419</v>
      </c>
      <c r="D542" s="8">
        <v>9.5</v>
      </c>
      <c r="E542" s="8" t="s">
        <v>335</v>
      </c>
    </row>
    <row r="543" spans="1:5">
      <c r="A543" s="18">
        <v>6092903705</v>
      </c>
      <c r="B543" t="s">
        <v>1879</v>
      </c>
      <c r="C543" t="s">
        <v>350</v>
      </c>
      <c r="D543" s="8">
        <v>10</v>
      </c>
      <c r="E543" s="8" t="s">
        <v>190</v>
      </c>
    </row>
    <row r="544" spans="1:5">
      <c r="A544" s="18">
        <v>6092903705</v>
      </c>
      <c r="B544" t="s">
        <v>1880</v>
      </c>
      <c r="C544" t="s">
        <v>350</v>
      </c>
      <c r="D544" s="8">
        <v>1</v>
      </c>
      <c r="E544" s="8" t="s">
        <v>172</v>
      </c>
    </row>
    <row r="545" spans="1:5">
      <c r="A545" s="18">
        <v>6092903705</v>
      </c>
      <c r="B545" t="s">
        <v>1881</v>
      </c>
      <c r="C545" t="s">
        <v>350</v>
      </c>
      <c r="D545" s="8">
        <v>10.5</v>
      </c>
      <c r="E545" s="8" t="s">
        <v>338</v>
      </c>
    </row>
    <row r="546" spans="1:5">
      <c r="A546" s="18">
        <v>6092903705</v>
      </c>
      <c r="B546" t="s">
        <v>1882</v>
      </c>
      <c r="C546" t="s">
        <v>350</v>
      </c>
      <c r="D546" s="8">
        <v>11</v>
      </c>
      <c r="E546" s="8" t="s">
        <v>340</v>
      </c>
    </row>
    <row r="547" spans="1:5">
      <c r="A547" s="18">
        <v>6092903705</v>
      </c>
      <c r="B547" t="s">
        <v>1883</v>
      </c>
      <c r="C547" t="s">
        <v>350</v>
      </c>
      <c r="D547" s="8">
        <v>11.5</v>
      </c>
      <c r="E547" s="8" t="s">
        <v>342</v>
      </c>
    </row>
    <row r="548" spans="1:5">
      <c r="A548" s="18">
        <v>6092903705</v>
      </c>
      <c r="B548" t="s">
        <v>1884</v>
      </c>
      <c r="C548" t="s">
        <v>350</v>
      </c>
      <c r="D548" s="8">
        <v>12</v>
      </c>
      <c r="E548" s="8" t="s">
        <v>344</v>
      </c>
    </row>
    <row r="549" spans="1:5">
      <c r="A549" s="18">
        <v>6092903705</v>
      </c>
      <c r="B549" t="s">
        <v>1885</v>
      </c>
      <c r="C549" t="s">
        <v>350</v>
      </c>
      <c r="D549" s="8">
        <v>1.5</v>
      </c>
      <c r="E549" s="8" t="s">
        <v>320</v>
      </c>
    </row>
    <row r="550" spans="1:5">
      <c r="A550" s="18">
        <v>6092903705</v>
      </c>
      <c r="B550" t="s">
        <v>1886</v>
      </c>
      <c r="C550" t="s">
        <v>350</v>
      </c>
      <c r="D550" s="8">
        <v>2</v>
      </c>
      <c r="E550" s="8" t="s">
        <v>174</v>
      </c>
    </row>
    <row r="551" spans="1:5">
      <c r="A551" s="18">
        <v>6092903705</v>
      </c>
      <c r="B551" t="s">
        <v>1887</v>
      </c>
      <c r="C551" t="s">
        <v>350</v>
      </c>
      <c r="D551" s="8">
        <v>2.5</v>
      </c>
      <c r="E551" s="8" t="s">
        <v>169</v>
      </c>
    </row>
    <row r="552" spans="1:5">
      <c r="A552" s="18">
        <v>6092903705</v>
      </c>
      <c r="B552" t="s">
        <v>1888</v>
      </c>
      <c r="C552" t="s">
        <v>350</v>
      </c>
      <c r="D552" s="8">
        <v>3</v>
      </c>
      <c r="E552" s="8" t="s">
        <v>176</v>
      </c>
    </row>
    <row r="553" spans="1:5">
      <c r="A553" s="18">
        <v>6092903705</v>
      </c>
      <c r="B553" t="s">
        <v>1889</v>
      </c>
      <c r="C553" t="s">
        <v>350</v>
      </c>
      <c r="D553" s="8">
        <v>3.5</v>
      </c>
      <c r="E553" s="8" t="s">
        <v>323</v>
      </c>
    </row>
    <row r="554" spans="1:5">
      <c r="A554" s="18">
        <v>6092903705</v>
      </c>
      <c r="B554" t="s">
        <v>1890</v>
      </c>
      <c r="C554" t="s">
        <v>350</v>
      </c>
      <c r="D554" s="8">
        <v>4</v>
      </c>
      <c r="E554" s="8" t="s">
        <v>178</v>
      </c>
    </row>
    <row r="555" spans="1:5">
      <c r="A555" s="18">
        <v>6092903705</v>
      </c>
      <c r="B555" t="s">
        <v>1891</v>
      </c>
      <c r="C555" t="s">
        <v>350</v>
      </c>
      <c r="D555" s="8">
        <v>4.5</v>
      </c>
      <c r="E555" s="8" t="s">
        <v>324</v>
      </c>
    </row>
    <row r="556" spans="1:5">
      <c r="A556" s="18">
        <v>6092903705</v>
      </c>
      <c r="B556" t="s">
        <v>1892</v>
      </c>
      <c r="C556" t="s">
        <v>350</v>
      </c>
      <c r="D556" s="8">
        <v>5</v>
      </c>
      <c r="E556" s="8" t="s">
        <v>180</v>
      </c>
    </row>
    <row r="557" spans="1:5">
      <c r="A557" s="18">
        <v>6092903705</v>
      </c>
      <c r="B557" t="s">
        <v>1893</v>
      </c>
      <c r="C557" t="s">
        <v>350</v>
      </c>
      <c r="D557" s="8">
        <v>0.5</v>
      </c>
      <c r="E557" s="8" t="s">
        <v>351</v>
      </c>
    </row>
    <row r="558" spans="1:5">
      <c r="A558" s="18">
        <v>6092903705</v>
      </c>
      <c r="B558" t="s">
        <v>1894</v>
      </c>
      <c r="C558" t="s">
        <v>350</v>
      </c>
      <c r="D558" s="8">
        <v>5.5</v>
      </c>
      <c r="E558" s="8" t="s">
        <v>325</v>
      </c>
    </row>
    <row r="559" spans="1:5">
      <c r="A559" s="18">
        <v>6092903705</v>
      </c>
      <c r="B559" t="s">
        <v>1895</v>
      </c>
      <c r="C559" t="s">
        <v>350</v>
      </c>
      <c r="D559" s="8">
        <v>6</v>
      </c>
      <c r="E559" s="8" t="s">
        <v>182</v>
      </c>
    </row>
    <row r="560" spans="1:5">
      <c r="A560" s="18">
        <v>6092903705</v>
      </c>
      <c r="B560" t="s">
        <v>1896</v>
      </c>
      <c r="C560" t="s">
        <v>350</v>
      </c>
      <c r="D560" s="8">
        <v>6.5</v>
      </c>
      <c r="E560" s="8" t="s">
        <v>326</v>
      </c>
    </row>
    <row r="561" spans="1:5">
      <c r="A561" s="18">
        <v>6092903705</v>
      </c>
      <c r="B561" t="s">
        <v>1897</v>
      </c>
      <c r="C561" t="s">
        <v>350</v>
      </c>
      <c r="D561" s="8">
        <v>7</v>
      </c>
      <c r="E561" s="8" t="s">
        <v>184</v>
      </c>
    </row>
    <row r="562" spans="1:5">
      <c r="A562" s="18">
        <v>6092903705</v>
      </c>
      <c r="B562" t="s">
        <v>1898</v>
      </c>
      <c r="C562" t="s">
        <v>350</v>
      </c>
      <c r="D562" s="8">
        <v>7.5</v>
      </c>
      <c r="E562" s="8" t="s">
        <v>330</v>
      </c>
    </row>
    <row r="563" spans="1:5">
      <c r="A563" s="18">
        <v>6092903705</v>
      </c>
      <c r="B563" t="s">
        <v>1899</v>
      </c>
      <c r="C563" t="s">
        <v>350</v>
      </c>
      <c r="D563" s="8">
        <v>8</v>
      </c>
      <c r="E563" s="8" t="s">
        <v>186</v>
      </c>
    </row>
    <row r="564" spans="1:5">
      <c r="A564" s="18">
        <v>6092903705</v>
      </c>
      <c r="B564" t="s">
        <v>1900</v>
      </c>
      <c r="C564" t="s">
        <v>350</v>
      </c>
      <c r="D564" s="8">
        <v>8.5</v>
      </c>
      <c r="E564" s="8" t="s">
        <v>333</v>
      </c>
    </row>
    <row r="565" spans="1:5">
      <c r="A565" s="18">
        <v>6092903705</v>
      </c>
      <c r="B565" t="s">
        <v>1901</v>
      </c>
      <c r="C565" t="s">
        <v>350</v>
      </c>
      <c r="D565" s="8">
        <v>9</v>
      </c>
      <c r="E565" s="8" t="s">
        <v>188</v>
      </c>
    </row>
    <row r="566" spans="1:5">
      <c r="A566" s="18">
        <v>6092903705</v>
      </c>
      <c r="B566" t="s">
        <v>1902</v>
      </c>
      <c r="C566" t="s">
        <v>350</v>
      </c>
      <c r="D566" s="8">
        <v>9.5</v>
      </c>
      <c r="E566" s="8" t="s">
        <v>335</v>
      </c>
    </row>
    <row r="567" spans="1:5">
      <c r="A567" s="18">
        <v>6092903705</v>
      </c>
      <c r="B567" t="s">
        <v>1903</v>
      </c>
      <c r="C567" t="s">
        <v>455</v>
      </c>
      <c r="D567" s="8">
        <v>10</v>
      </c>
      <c r="E567" s="8" t="s">
        <v>337</v>
      </c>
    </row>
    <row r="568" spans="1:5">
      <c r="A568" s="18">
        <v>6092903705</v>
      </c>
      <c r="B568" t="s">
        <v>1904</v>
      </c>
      <c r="C568" t="s">
        <v>455</v>
      </c>
      <c r="D568" s="8">
        <v>1</v>
      </c>
      <c r="E568" s="8" t="s">
        <v>319</v>
      </c>
    </row>
    <row r="569" spans="1:5">
      <c r="A569" s="18">
        <v>6092903705</v>
      </c>
      <c r="B569" t="s">
        <v>1905</v>
      </c>
      <c r="C569" t="s">
        <v>455</v>
      </c>
      <c r="D569" s="8">
        <v>10.5</v>
      </c>
      <c r="E569" s="8" t="s">
        <v>339</v>
      </c>
    </row>
    <row r="570" spans="1:5">
      <c r="A570" s="18">
        <v>6092903705</v>
      </c>
      <c r="B570" t="s">
        <v>1906</v>
      </c>
      <c r="C570" t="s">
        <v>455</v>
      </c>
      <c r="D570" s="8">
        <v>11</v>
      </c>
      <c r="E570" s="8" t="s">
        <v>341</v>
      </c>
    </row>
    <row r="571" spans="1:5">
      <c r="A571" s="18">
        <v>6092903705</v>
      </c>
      <c r="B571" t="s">
        <v>1907</v>
      </c>
      <c r="C571" t="s">
        <v>455</v>
      </c>
      <c r="D571" s="8">
        <v>11.5</v>
      </c>
      <c r="E571" s="8" t="s">
        <v>343</v>
      </c>
    </row>
    <row r="572" spans="1:5">
      <c r="A572" s="18">
        <v>6092903705</v>
      </c>
      <c r="B572" t="s">
        <v>1908</v>
      </c>
      <c r="C572" t="s">
        <v>455</v>
      </c>
      <c r="D572" s="8">
        <v>12</v>
      </c>
      <c r="E572" s="8" t="s">
        <v>345</v>
      </c>
    </row>
    <row r="573" spans="1:5">
      <c r="A573" s="18">
        <v>6092903705</v>
      </c>
      <c r="B573" t="s">
        <v>1909</v>
      </c>
      <c r="C573" t="s">
        <v>455</v>
      </c>
      <c r="D573" s="8">
        <v>1.5</v>
      </c>
      <c r="E573" s="8" t="s">
        <v>321</v>
      </c>
    </row>
    <row r="574" spans="1:5">
      <c r="A574" s="18">
        <v>6092903705</v>
      </c>
      <c r="B574" t="s">
        <v>1910</v>
      </c>
      <c r="C574" t="s">
        <v>455</v>
      </c>
      <c r="D574" s="8">
        <v>2</v>
      </c>
      <c r="E574" s="8" t="s">
        <v>313</v>
      </c>
    </row>
    <row r="575" spans="1:5">
      <c r="A575" s="18">
        <v>6092903705</v>
      </c>
      <c r="B575" t="s">
        <v>1911</v>
      </c>
      <c r="C575" t="s">
        <v>455</v>
      </c>
      <c r="D575" s="8">
        <v>2.5</v>
      </c>
      <c r="E575" s="8" t="s">
        <v>311</v>
      </c>
    </row>
    <row r="576" spans="1:5">
      <c r="A576" s="18">
        <v>6092903705</v>
      </c>
      <c r="B576" t="s">
        <v>1912</v>
      </c>
      <c r="C576" t="s">
        <v>455</v>
      </c>
      <c r="D576" s="8">
        <v>3</v>
      </c>
      <c r="E576" s="8" t="s">
        <v>322</v>
      </c>
    </row>
    <row r="577" spans="1:5">
      <c r="A577" s="18">
        <v>6092903705</v>
      </c>
      <c r="B577" t="s">
        <v>1913</v>
      </c>
      <c r="C577" t="s">
        <v>455</v>
      </c>
      <c r="D577" s="8">
        <v>3.5</v>
      </c>
      <c r="E577" s="8" t="s">
        <v>310</v>
      </c>
    </row>
    <row r="578" spans="1:5">
      <c r="A578" s="18">
        <v>6092903705</v>
      </c>
      <c r="B578" t="s">
        <v>1914</v>
      </c>
      <c r="C578" t="s">
        <v>455</v>
      </c>
      <c r="D578" s="8">
        <v>4</v>
      </c>
      <c r="E578" s="8" t="s">
        <v>309</v>
      </c>
    </row>
    <row r="579" spans="1:5">
      <c r="A579" s="18">
        <v>6092903705</v>
      </c>
      <c r="B579" t="s">
        <v>1915</v>
      </c>
      <c r="C579" t="s">
        <v>455</v>
      </c>
      <c r="D579" s="8">
        <v>4.5</v>
      </c>
      <c r="E579" s="8" t="s">
        <v>316</v>
      </c>
    </row>
    <row r="580" spans="1:5">
      <c r="A580" s="18">
        <v>6092903705</v>
      </c>
      <c r="B580" t="s">
        <v>1916</v>
      </c>
      <c r="C580" t="s">
        <v>455</v>
      </c>
      <c r="D580" s="8">
        <v>5</v>
      </c>
      <c r="E580" s="8" t="s">
        <v>314</v>
      </c>
    </row>
    <row r="581" spans="1:5">
      <c r="A581" s="18">
        <v>6092903705</v>
      </c>
      <c r="B581" t="s">
        <v>1917</v>
      </c>
      <c r="C581" t="s">
        <v>455</v>
      </c>
      <c r="D581" s="8">
        <v>5.5</v>
      </c>
      <c r="E581" s="8" t="s">
        <v>315</v>
      </c>
    </row>
    <row r="582" spans="1:5">
      <c r="A582" s="18">
        <v>6092903705</v>
      </c>
      <c r="B582" t="s">
        <v>1918</v>
      </c>
      <c r="C582" t="s">
        <v>455</v>
      </c>
      <c r="D582" s="8">
        <v>6</v>
      </c>
      <c r="E582" s="8" t="s">
        <v>332</v>
      </c>
    </row>
    <row r="583" spans="1:5">
      <c r="A583" s="18">
        <v>6092903705</v>
      </c>
      <c r="B583" t="s">
        <v>1919</v>
      </c>
      <c r="C583" t="s">
        <v>455</v>
      </c>
      <c r="D583" s="8">
        <v>6.5</v>
      </c>
      <c r="E583" s="8" t="s">
        <v>327</v>
      </c>
    </row>
    <row r="584" spans="1:5">
      <c r="A584" s="18">
        <v>6092903705</v>
      </c>
      <c r="B584" t="s">
        <v>1920</v>
      </c>
      <c r="C584" t="s">
        <v>455</v>
      </c>
      <c r="D584" s="8">
        <v>7</v>
      </c>
      <c r="E584" s="8" t="s">
        <v>328</v>
      </c>
    </row>
    <row r="585" spans="1:5">
      <c r="A585" s="18">
        <v>6092903705</v>
      </c>
      <c r="B585" t="s">
        <v>1921</v>
      </c>
      <c r="C585" t="s">
        <v>455</v>
      </c>
      <c r="D585" s="8">
        <v>7.5</v>
      </c>
      <c r="E585" s="8" t="s">
        <v>331</v>
      </c>
    </row>
    <row r="586" spans="1:5">
      <c r="A586" s="18">
        <v>6092903705</v>
      </c>
      <c r="B586" t="s">
        <v>1922</v>
      </c>
      <c r="C586" t="s">
        <v>455</v>
      </c>
      <c r="D586" s="8">
        <v>8</v>
      </c>
      <c r="E586" s="8" t="s">
        <v>329</v>
      </c>
    </row>
    <row r="587" spans="1:5">
      <c r="A587" s="18">
        <v>6092903705</v>
      </c>
      <c r="B587" t="s">
        <v>1923</v>
      </c>
      <c r="C587" t="s">
        <v>455</v>
      </c>
      <c r="D587" s="8">
        <v>8.5</v>
      </c>
      <c r="E587" s="8" t="s">
        <v>334</v>
      </c>
    </row>
    <row r="588" spans="1:5">
      <c r="A588" s="18">
        <v>6092903705</v>
      </c>
      <c r="B588" t="s">
        <v>1924</v>
      </c>
      <c r="C588" t="s">
        <v>455</v>
      </c>
      <c r="D588" s="8">
        <v>9</v>
      </c>
      <c r="E588" s="8" t="s">
        <v>312</v>
      </c>
    </row>
    <row r="589" spans="1:5">
      <c r="A589" s="18">
        <v>6092903705</v>
      </c>
      <c r="B589" t="s">
        <v>1925</v>
      </c>
      <c r="C589" t="s">
        <v>455</v>
      </c>
      <c r="D589" s="8">
        <v>9.5</v>
      </c>
      <c r="E589" s="8" t="s">
        <v>336</v>
      </c>
    </row>
    <row r="590" spans="1:5">
      <c r="A590" s="18">
        <v>6092903705</v>
      </c>
      <c r="B590" t="s">
        <v>1926</v>
      </c>
      <c r="C590" t="s">
        <v>554</v>
      </c>
      <c r="D590" s="8">
        <v>10</v>
      </c>
      <c r="E590" s="8" t="s">
        <v>190</v>
      </c>
    </row>
    <row r="591" spans="1:5">
      <c r="A591" s="18">
        <v>6092903705</v>
      </c>
      <c r="B591" t="s">
        <v>1927</v>
      </c>
      <c r="C591" t="s">
        <v>554</v>
      </c>
      <c r="D591" s="8">
        <v>1</v>
      </c>
      <c r="E591" s="8" t="s">
        <v>172</v>
      </c>
    </row>
    <row r="592" spans="1:5">
      <c r="A592" s="18">
        <v>6092903705</v>
      </c>
      <c r="B592" t="s">
        <v>1928</v>
      </c>
      <c r="C592" t="s">
        <v>554</v>
      </c>
      <c r="D592" s="8">
        <v>10.5</v>
      </c>
      <c r="E592" s="8" t="s">
        <v>338</v>
      </c>
    </row>
    <row r="593" spans="1:5">
      <c r="A593" s="18">
        <v>6092903705</v>
      </c>
      <c r="B593" t="s">
        <v>1929</v>
      </c>
      <c r="C593" t="s">
        <v>554</v>
      </c>
      <c r="D593" s="8">
        <v>11</v>
      </c>
      <c r="E593" s="8" t="s">
        <v>340</v>
      </c>
    </row>
    <row r="594" spans="1:5">
      <c r="A594" s="18">
        <v>6092903705</v>
      </c>
      <c r="B594" t="s">
        <v>1930</v>
      </c>
      <c r="C594" t="s">
        <v>554</v>
      </c>
      <c r="D594" s="8">
        <v>11.5</v>
      </c>
      <c r="E594" s="8" t="s">
        <v>342</v>
      </c>
    </row>
    <row r="595" spans="1:5">
      <c r="A595" s="18">
        <v>6092903705</v>
      </c>
      <c r="B595" t="s">
        <v>1931</v>
      </c>
      <c r="C595" t="s">
        <v>554</v>
      </c>
      <c r="D595" s="8">
        <v>12</v>
      </c>
      <c r="E595" s="8" t="s">
        <v>344</v>
      </c>
    </row>
    <row r="596" spans="1:5">
      <c r="A596" s="18">
        <v>6092903705</v>
      </c>
      <c r="B596" t="s">
        <v>1932</v>
      </c>
      <c r="C596" t="s">
        <v>554</v>
      </c>
      <c r="D596" s="8">
        <v>1.5</v>
      </c>
      <c r="E596" s="8" t="s">
        <v>320</v>
      </c>
    </row>
    <row r="597" spans="1:5">
      <c r="A597" s="18">
        <v>6092903705</v>
      </c>
      <c r="B597" t="s">
        <v>1933</v>
      </c>
      <c r="C597" t="s">
        <v>554</v>
      </c>
      <c r="D597" s="8">
        <v>2</v>
      </c>
      <c r="E597" s="8" t="s">
        <v>174</v>
      </c>
    </row>
    <row r="598" spans="1:5">
      <c r="A598" s="18">
        <v>6092903705</v>
      </c>
      <c r="B598" t="s">
        <v>1934</v>
      </c>
      <c r="C598" t="s">
        <v>554</v>
      </c>
      <c r="D598" s="8">
        <v>2.5</v>
      </c>
      <c r="E598" s="8" t="s">
        <v>169</v>
      </c>
    </row>
    <row r="599" spans="1:5">
      <c r="A599" s="18">
        <v>6092903705</v>
      </c>
      <c r="B599" t="s">
        <v>1935</v>
      </c>
      <c r="C599" t="s">
        <v>554</v>
      </c>
      <c r="D599" s="8">
        <v>3</v>
      </c>
      <c r="E599" s="8" t="s">
        <v>176</v>
      </c>
    </row>
    <row r="600" spans="1:5">
      <c r="A600" s="18">
        <v>6092903705</v>
      </c>
      <c r="B600" t="s">
        <v>1936</v>
      </c>
      <c r="C600" t="s">
        <v>554</v>
      </c>
      <c r="D600" s="8">
        <v>3.5</v>
      </c>
      <c r="E600" s="8" t="s">
        <v>323</v>
      </c>
    </row>
    <row r="601" spans="1:5">
      <c r="A601" s="18">
        <v>6092903705</v>
      </c>
      <c r="B601" t="s">
        <v>1937</v>
      </c>
      <c r="C601" t="s">
        <v>554</v>
      </c>
      <c r="D601" s="8">
        <v>4</v>
      </c>
      <c r="E601" s="8" t="s">
        <v>178</v>
      </c>
    </row>
    <row r="602" spans="1:5">
      <c r="A602" s="18">
        <v>6092903705</v>
      </c>
      <c r="B602" t="s">
        <v>1938</v>
      </c>
      <c r="C602" t="s">
        <v>554</v>
      </c>
      <c r="D602" s="8">
        <v>4.5</v>
      </c>
      <c r="E602" s="8" t="s">
        <v>324</v>
      </c>
    </row>
    <row r="603" spans="1:5">
      <c r="A603" s="18">
        <v>6092903705</v>
      </c>
      <c r="B603" t="s">
        <v>1939</v>
      </c>
      <c r="C603" t="s">
        <v>554</v>
      </c>
      <c r="D603" s="8">
        <v>5</v>
      </c>
      <c r="E603" s="8" t="s">
        <v>180</v>
      </c>
    </row>
    <row r="604" spans="1:5">
      <c r="A604" s="18">
        <v>6092903705</v>
      </c>
      <c r="B604" t="s">
        <v>1940</v>
      </c>
      <c r="C604" t="s">
        <v>554</v>
      </c>
      <c r="D604" s="8">
        <v>5.5</v>
      </c>
      <c r="E604" s="8" t="s">
        <v>325</v>
      </c>
    </row>
    <row r="605" spans="1:5">
      <c r="A605" s="18">
        <v>6092903705</v>
      </c>
      <c r="B605" t="s">
        <v>1941</v>
      </c>
      <c r="C605" t="s">
        <v>554</v>
      </c>
      <c r="D605" s="8">
        <v>6</v>
      </c>
      <c r="E605" s="8" t="s">
        <v>182</v>
      </c>
    </row>
    <row r="606" spans="1:5">
      <c r="A606" s="18">
        <v>6092903705</v>
      </c>
      <c r="B606" t="s">
        <v>1942</v>
      </c>
      <c r="C606" t="s">
        <v>554</v>
      </c>
      <c r="D606" s="8">
        <v>6.5</v>
      </c>
      <c r="E606" s="8" t="s">
        <v>326</v>
      </c>
    </row>
    <row r="607" spans="1:5">
      <c r="A607" s="18">
        <v>6092903705</v>
      </c>
      <c r="B607" t="s">
        <v>1943</v>
      </c>
      <c r="C607" t="s">
        <v>554</v>
      </c>
      <c r="D607" s="8">
        <v>7</v>
      </c>
      <c r="E607" s="8" t="s">
        <v>184</v>
      </c>
    </row>
    <row r="608" spans="1:5">
      <c r="A608" s="18">
        <v>6092903705</v>
      </c>
      <c r="B608" t="s">
        <v>1944</v>
      </c>
      <c r="C608" t="s">
        <v>554</v>
      </c>
      <c r="D608" s="8">
        <v>7.5</v>
      </c>
      <c r="E608" s="8" t="s">
        <v>330</v>
      </c>
    </row>
    <row r="609" spans="1:5">
      <c r="A609" s="18">
        <v>6092903705</v>
      </c>
      <c r="B609" t="s">
        <v>1945</v>
      </c>
      <c r="C609" t="s">
        <v>554</v>
      </c>
      <c r="D609" s="8">
        <v>8</v>
      </c>
      <c r="E609" s="8" t="s">
        <v>186</v>
      </c>
    </row>
    <row r="610" spans="1:5">
      <c r="A610" s="18">
        <v>6092903705</v>
      </c>
      <c r="B610" t="s">
        <v>1946</v>
      </c>
      <c r="C610" t="s">
        <v>554</v>
      </c>
      <c r="D610" s="8">
        <v>8.5</v>
      </c>
      <c r="E610" s="8" t="s">
        <v>333</v>
      </c>
    </row>
    <row r="611" spans="1:5">
      <c r="A611" s="18">
        <v>6092903705</v>
      </c>
      <c r="B611" t="s">
        <v>1947</v>
      </c>
      <c r="C611" t="s">
        <v>554</v>
      </c>
      <c r="D611" s="8">
        <v>9</v>
      </c>
      <c r="E611" s="8" t="s">
        <v>188</v>
      </c>
    </row>
    <row r="612" spans="1:5">
      <c r="A612" s="18">
        <v>6092903705</v>
      </c>
      <c r="B612" t="s">
        <v>1948</v>
      </c>
      <c r="C612" t="s">
        <v>554</v>
      </c>
      <c r="D612" s="8">
        <v>9.5</v>
      </c>
      <c r="E612" s="8" t="s">
        <v>335</v>
      </c>
    </row>
    <row r="613" spans="1:5">
      <c r="A613" s="18">
        <v>6092903705</v>
      </c>
      <c r="B613" t="s">
        <v>1133</v>
      </c>
      <c r="C613" t="s">
        <v>231</v>
      </c>
      <c r="D613" s="8">
        <v>10</v>
      </c>
      <c r="E613" s="8" t="s">
        <v>190</v>
      </c>
    </row>
    <row r="614" spans="1:5">
      <c r="A614" s="18">
        <v>6092903705</v>
      </c>
      <c r="B614" t="s">
        <v>1134</v>
      </c>
      <c r="C614" t="s">
        <v>231</v>
      </c>
      <c r="D614" s="8">
        <v>1</v>
      </c>
      <c r="E614" s="8" t="s">
        <v>172</v>
      </c>
    </row>
    <row r="615" spans="1:5">
      <c r="A615" s="18">
        <v>6092903705</v>
      </c>
      <c r="B615" t="s">
        <v>1135</v>
      </c>
      <c r="C615" t="s">
        <v>231</v>
      </c>
      <c r="D615" s="8">
        <v>10.5</v>
      </c>
      <c r="E615" s="8" t="s">
        <v>338</v>
      </c>
    </row>
    <row r="616" spans="1:5">
      <c r="A616" s="18">
        <v>6092903705</v>
      </c>
      <c r="B616" t="s">
        <v>1136</v>
      </c>
      <c r="C616" t="s">
        <v>231</v>
      </c>
      <c r="D616" s="8">
        <v>11</v>
      </c>
      <c r="E616" s="8" t="s">
        <v>340</v>
      </c>
    </row>
    <row r="617" spans="1:5">
      <c r="A617" s="18">
        <v>6092903705</v>
      </c>
      <c r="B617" t="s">
        <v>1137</v>
      </c>
      <c r="C617" t="s">
        <v>231</v>
      </c>
      <c r="D617" s="8">
        <v>11.5</v>
      </c>
      <c r="E617" s="8" t="s">
        <v>342</v>
      </c>
    </row>
    <row r="618" spans="1:5">
      <c r="A618" s="18">
        <v>6092903705</v>
      </c>
      <c r="B618" t="s">
        <v>1138</v>
      </c>
      <c r="C618" t="s">
        <v>231</v>
      </c>
      <c r="D618" s="8">
        <v>12</v>
      </c>
      <c r="E618" s="8" t="s">
        <v>344</v>
      </c>
    </row>
    <row r="619" spans="1:5">
      <c r="A619" s="18">
        <v>6092903705</v>
      </c>
      <c r="B619" t="s">
        <v>1139</v>
      </c>
      <c r="C619" t="s">
        <v>231</v>
      </c>
      <c r="D619" s="8">
        <v>1.5</v>
      </c>
      <c r="E619" s="8" t="s">
        <v>320</v>
      </c>
    </row>
    <row r="620" spans="1:5">
      <c r="A620" s="18">
        <v>6092903705</v>
      </c>
      <c r="B620" t="s">
        <v>1140</v>
      </c>
      <c r="C620" t="s">
        <v>231</v>
      </c>
      <c r="D620" s="8">
        <v>2</v>
      </c>
      <c r="E620" s="8" t="s">
        <v>174</v>
      </c>
    </row>
    <row r="621" spans="1:5">
      <c r="A621" s="18">
        <v>6092903705</v>
      </c>
      <c r="B621" t="s">
        <v>1141</v>
      </c>
      <c r="C621" t="s">
        <v>231</v>
      </c>
      <c r="D621" s="8">
        <v>2.5</v>
      </c>
      <c r="E621" s="8" t="s">
        <v>169</v>
      </c>
    </row>
    <row r="622" spans="1:5">
      <c r="A622" s="18">
        <v>6092903705</v>
      </c>
      <c r="B622" t="s">
        <v>1142</v>
      </c>
      <c r="C622" t="s">
        <v>231</v>
      </c>
      <c r="D622" s="8">
        <v>3</v>
      </c>
      <c r="E622" s="8" t="s">
        <v>176</v>
      </c>
    </row>
    <row r="623" spans="1:5">
      <c r="A623" s="18">
        <v>6092903705</v>
      </c>
      <c r="B623" t="s">
        <v>1143</v>
      </c>
      <c r="C623" t="s">
        <v>231</v>
      </c>
      <c r="D623" s="8">
        <v>3.5</v>
      </c>
      <c r="E623" s="8" t="s">
        <v>323</v>
      </c>
    </row>
    <row r="624" spans="1:5">
      <c r="A624" s="18">
        <v>6092903705</v>
      </c>
      <c r="B624" t="s">
        <v>1144</v>
      </c>
      <c r="C624" t="s">
        <v>231</v>
      </c>
      <c r="D624" s="8">
        <v>4</v>
      </c>
      <c r="E624" s="8" t="s">
        <v>178</v>
      </c>
    </row>
    <row r="625" spans="1:5">
      <c r="A625" s="18">
        <v>6092903705</v>
      </c>
      <c r="B625" t="s">
        <v>1145</v>
      </c>
      <c r="C625" t="s">
        <v>231</v>
      </c>
      <c r="D625" s="8">
        <v>4.5</v>
      </c>
      <c r="E625" s="8" t="s">
        <v>324</v>
      </c>
    </row>
    <row r="626" spans="1:5">
      <c r="A626" s="18">
        <v>6092903705</v>
      </c>
      <c r="B626" t="s">
        <v>1146</v>
      </c>
      <c r="C626" t="s">
        <v>231</v>
      </c>
      <c r="D626" s="8">
        <v>5</v>
      </c>
      <c r="E626" s="8" t="s">
        <v>180</v>
      </c>
    </row>
    <row r="627" spans="1:5">
      <c r="A627" s="18">
        <v>6092903705</v>
      </c>
      <c r="B627" t="s">
        <v>1147</v>
      </c>
      <c r="C627" t="s">
        <v>231</v>
      </c>
      <c r="D627" s="8">
        <v>5.5</v>
      </c>
      <c r="E627" s="8" t="s">
        <v>325</v>
      </c>
    </row>
    <row r="628" spans="1:5">
      <c r="A628" s="18">
        <v>6092903705</v>
      </c>
      <c r="B628" t="s">
        <v>1148</v>
      </c>
      <c r="C628" t="s">
        <v>231</v>
      </c>
      <c r="D628" s="8">
        <v>6</v>
      </c>
      <c r="E628" s="8" t="s">
        <v>182</v>
      </c>
    </row>
    <row r="629" spans="1:5">
      <c r="A629" s="18">
        <v>6092903705</v>
      </c>
      <c r="B629" t="s">
        <v>1149</v>
      </c>
      <c r="C629" t="s">
        <v>231</v>
      </c>
      <c r="D629" s="8">
        <v>6.5</v>
      </c>
      <c r="E629" s="8" t="s">
        <v>326</v>
      </c>
    </row>
    <row r="630" spans="1:5">
      <c r="A630" s="18">
        <v>6092903705</v>
      </c>
      <c r="B630" t="s">
        <v>1150</v>
      </c>
      <c r="C630" t="s">
        <v>231</v>
      </c>
      <c r="D630" s="8">
        <v>7</v>
      </c>
      <c r="E630" s="8" t="s">
        <v>184</v>
      </c>
    </row>
    <row r="631" spans="1:5">
      <c r="A631" s="18">
        <v>6092903705</v>
      </c>
      <c r="B631" t="s">
        <v>1151</v>
      </c>
      <c r="C631" t="s">
        <v>231</v>
      </c>
      <c r="D631" s="8">
        <v>7.5</v>
      </c>
      <c r="E631" s="8" t="s">
        <v>330</v>
      </c>
    </row>
    <row r="632" spans="1:5">
      <c r="A632" s="18">
        <v>6092903705</v>
      </c>
      <c r="B632" t="s">
        <v>1152</v>
      </c>
      <c r="C632" t="s">
        <v>231</v>
      </c>
      <c r="D632" s="8">
        <v>8</v>
      </c>
      <c r="E632" s="8" t="s">
        <v>186</v>
      </c>
    </row>
    <row r="633" spans="1:5">
      <c r="A633" s="18">
        <v>6092903705</v>
      </c>
      <c r="B633" t="s">
        <v>1153</v>
      </c>
      <c r="C633" t="s">
        <v>231</v>
      </c>
      <c r="D633" s="8">
        <v>8.5</v>
      </c>
      <c r="E633" s="8" t="s">
        <v>333</v>
      </c>
    </row>
    <row r="634" spans="1:5">
      <c r="A634" s="18">
        <v>6092903705</v>
      </c>
      <c r="B634" t="s">
        <v>1154</v>
      </c>
      <c r="C634" t="s">
        <v>231</v>
      </c>
      <c r="D634" s="8">
        <v>9</v>
      </c>
      <c r="E634" s="8" t="s">
        <v>188</v>
      </c>
    </row>
    <row r="635" spans="1:5">
      <c r="A635" s="18">
        <v>6092903705</v>
      </c>
      <c r="B635" t="s">
        <v>1155</v>
      </c>
      <c r="C635" t="s">
        <v>231</v>
      </c>
      <c r="D635" s="8">
        <v>9.5</v>
      </c>
      <c r="E635" s="8" t="s">
        <v>335</v>
      </c>
    </row>
    <row r="636" spans="1:5">
      <c r="A636" s="18">
        <v>6092903705</v>
      </c>
      <c r="B636" t="s">
        <v>1156</v>
      </c>
      <c r="C636" t="s">
        <v>533</v>
      </c>
      <c r="D636" s="8">
        <v>10</v>
      </c>
      <c r="E636" s="8" t="s">
        <v>190</v>
      </c>
    </row>
    <row r="637" spans="1:5">
      <c r="A637" s="18">
        <v>6092903705</v>
      </c>
      <c r="B637" t="s">
        <v>1157</v>
      </c>
      <c r="C637" t="s">
        <v>533</v>
      </c>
      <c r="D637" s="8">
        <v>1</v>
      </c>
      <c r="E637" s="8" t="s">
        <v>172</v>
      </c>
    </row>
    <row r="638" spans="1:5">
      <c r="A638" s="18">
        <v>6092903705</v>
      </c>
      <c r="B638" t="s">
        <v>1158</v>
      </c>
      <c r="C638" t="s">
        <v>533</v>
      </c>
      <c r="D638" s="8">
        <v>10.5</v>
      </c>
      <c r="E638" s="8" t="s">
        <v>338</v>
      </c>
    </row>
    <row r="639" spans="1:5">
      <c r="A639" s="18">
        <v>6092903705</v>
      </c>
      <c r="B639" t="s">
        <v>1159</v>
      </c>
      <c r="C639" t="s">
        <v>533</v>
      </c>
      <c r="D639" s="8">
        <v>11</v>
      </c>
      <c r="E639" s="8" t="s">
        <v>340</v>
      </c>
    </row>
    <row r="640" spans="1:5">
      <c r="A640" s="18">
        <v>6092903705</v>
      </c>
      <c r="B640" t="s">
        <v>1160</v>
      </c>
      <c r="C640" t="s">
        <v>533</v>
      </c>
      <c r="D640" s="8">
        <v>11.5</v>
      </c>
      <c r="E640" s="8" t="s">
        <v>342</v>
      </c>
    </row>
    <row r="641" spans="1:5">
      <c r="A641" s="18">
        <v>6092903705</v>
      </c>
      <c r="B641" t="s">
        <v>1161</v>
      </c>
      <c r="C641" t="s">
        <v>533</v>
      </c>
      <c r="D641" s="8">
        <v>12</v>
      </c>
      <c r="E641" s="8" t="s">
        <v>344</v>
      </c>
    </row>
    <row r="642" spans="1:5">
      <c r="A642" s="18">
        <v>6092903705</v>
      </c>
      <c r="B642" t="s">
        <v>1162</v>
      </c>
      <c r="C642" t="s">
        <v>533</v>
      </c>
      <c r="D642" s="8">
        <v>1.5</v>
      </c>
      <c r="E642" s="8" t="s">
        <v>320</v>
      </c>
    </row>
    <row r="643" spans="1:5">
      <c r="A643" s="18">
        <v>6092903705</v>
      </c>
      <c r="B643" t="s">
        <v>1163</v>
      </c>
      <c r="C643" t="s">
        <v>533</v>
      </c>
      <c r="D643" s="8">
        <v>2</v>
      </c>
      <c r="E643" s="8" t="s">
        <v>174</v>
      </c>
    </row>
    <row r="644" spans="1:5">
      <c r="A644" s="18">
        <v>6092903705</v>
      </c>
      <c r="B644" t="s">
        <v>1164</v>
      </c>
      <c r="C644" t="s">
        <v>533</v>
      </c>
      <c r="D644" s="8">
        <v>2.5</v>
      </c>
      <c r="E644" s="8" t="s">
        <v>169</v>
      </c>
    </row>
    <row r="645" spans="1:5">
      <c r="A645" s="18">
        <v>6092903705</v>
      </c>
      <c r="B645" t="s">
        <v>1165</v>
      </c>
      <c r="C645" t="s">
        <v>533</v>
      </c>
      <c r="D645" s="8">
        <v>3</v>
      </c>
      <c r="E645" s="8" t="s">
        <v>176</v>
      </c>
    </row>
    <row r="646" spans="1:5">
      <c r="A646" s="18">
        <v>6092903705</v>
      </c>
      <c r="B646" t="s">
        <v>1166</v>
      </c>
      <c r="C646" t="s">
        <v>533</v>
      </c>
      <c r="D646" s="8">
        <v>3.5</v>
      </c>
      <c r="E646" s="8" t="s">
        <v>323</v>
      </c>
    </row>
    <row r="647" spans="1:5">
      <c r="A647" s="18">
        <v>6092903705</v>
      </c>
      <c r="B647" t="s">
        <v>1167</v>
      </c>
      <c r="C647" t="s">
        <v>533</v>
      </c>
      <c r="D647" s="8">
        <v>4</v>
      </c>
      <c r="E647" s="8" t="s">
        <v>178</v>
      </c>
    </row>
    <row r="648" spans="1:5">
      <c r="A648" s="18">
        <v>6092903705</v>
      </c>
      <c r="B648" t="s">
        <v>1168</v>
      </c>
      <c r="C648" t="s">
        <v>533</v>
      </c>
      <c r="D648" s="8">
        <v>4.5</v>
      </c>
      <c r="E648" s="8" t="s">
        <v>324</v>
      </c>
    </row>
    <row r="649" spans="1:5">
      <c r="A649" s="18">
        <v>6092903705</v>
      </c>
      <c r="B649" t="s">
        <v>1169</v>
      </c>
      <c r="C649" t="s">
        <v>533</v>
      </c>
      <c r="D649" s="8">
        <v>5</v>
      </c>
      <c r="E649" s="8" t="s">
        <v>180</v>
      </c>
    </row>
    <row r="650" spans="1:5">
      <c r="A650" s="18">
        <v>6092903705</v>
      </c>
      <c r="B650" t="s">
        <v>1170</v>
      </c>
      <c r="C650" t="s">
        <v>533</v>
      </c>
      <c r="D650" s="8">
        <v>5.5</v>
      </c>
      <c r="E650" s="8" t="s">
        <v>325</v>
      </c>
    </row>
    <row r="651" spans="1:5">
      <c r="A651" s="18">
        <v>6092903705</v>
      </c>
      <c r="B651" t="s">
        <v>1171</v>
      </c>
      <c r="C651" t="s">
        <v>533</v>
      </c>
      <c r="D651" s="8">
        <v>6</v>
      </c>
      <c r="E651" s="8" t="s">
        <v>182</v>
      </c>
    </row>
    <row r="652" spans="1:5">
      <c r="A652" s="18">
        <v>6092903705</v>
      </c>
      <c r="B652" t="s">
        <v>1172</v>
      </c>
      <c r="C652" t="s">
        <v>533</v>
      </c>
      <c r="D652" s="8">
        <v>6.5</v>
      </c>
      <c r="E652" s="8" t="s">
        <v>326</v>
      </c>
    </row>
    <row r="653" spans="1:5">
      <c r="A653" s="18">
        <v>6092903705</v>
      </c>
      <c r="B653" t="s">
        <v>1173</v>
      </c>
      <c r="C653" t="s">
        <v>533</v>
      </c>
      <c r="D653" s="8">
        <v>7</v>
      </c>
      <c r="E653" s="8" t="s">
        <v>184</v>
      </c>
    </row>
    <row r="654" spans="1:5">
      <c r="A654" s="18">
        <v>6092903705</v>
      </c>
      <c r="B654" t="s">
        <v>1174</v>
      </c>
      <c r="C654" t="s">
        <v>533</v>
      </c>
      <c r="D654" s="8">
        <v>7.5</v>
      </c>
      <c r="E654" s="8" t="s">
        <v>330</v>
      </c>
    </row>
    <row r="655" spans="1:5">
      <c r="A655" s="18">
        <v>6092903705</v>
      </c>
      <c r="B655" t="s">
        <v>1175</v>
      </c>
      <c r="C655" t="s">
        <v>533</v>
      </c>
      <c r="D655" s="8">
        <v>8</v>
      </c>
      <c r="E655" s="8" t="s">
        <v>186</v>
      </c>
    </row>
    <row r="656" spans="1:5">
      <c r="A656" s="18">
        <v>6092903705</v>
      </c>
      <c r="B656" t="s">
        <v>1176</v>
      </c>
      <c r="C656" t="s">
        <v>533</v>
      </c>
      <c r="D656" s="8">
        <v>8.5</v>
      </c>
      <c r="E656" s="8" t="s">
        <v>333</v>
      </c>
    </row>
    <row r="657" spans="1:5">
      <c r="A657" s="18">
        <v>6092903705</v>
      </c>
      <c r="B657" t="s">
        <v>1177</v>
      </c>
      <c r="C657" t="s">
        <v>533</v>
      </c>
      <c r="D657" s="8">
        <v>9</v>
      </c>
      <c r="E657" s="8" t="s">
        <v>188</v>
      </c>
    </row>
    <row r="658" spans="1:5">
      <c r="A658" s="18">
        <v>6092903705</v>
      </c>
      <c r="B658" t="s">
        <v>1178</v>
      </c>
      <c r="C658" t="s">
        <v>533</v>
      </c>
      <c r="D658" s="8">
        <v>9.5</v>
      </c>
      <c r="E658" s="8" t="s">
        <v>335</v>
      </c>
    </row>
    <row r="659" spans="1:5">
      <c r="A659" s="18">
        <v>6092903705</v>
      </c>
      <c r="B659" t="s">
        <v>1179</v>
      </c>
      <c r="C659" t="s">
        <v>232</v>
      </c>
      <c r="D659" s="8">
        <v>10</v>
      </c>
      <c r="E659" s="8" t="s">
        <v>190</v>
      </c>
    </row>
    <row r="660" spans="1:5">
      <c r="A660" s="18">
        <v>6092903705</v>
      </c>
      <c r="B660" t="s">
        <v>1180</v>
      </c>
      <c r="C660" t="s">
        <v>232</v>
      </c>
      <c r="D660" s="8">
        <v>1</v>
      </c>
      <c r="E660" s="8" t="s">
        <v>172</v>
      </c>
    </row>
    <row r="661" spans="1:5">
      <c r="A661" s="18">
        <v>6092903705</v>
      </c>
      <c r="B661" t="s">
        <v>1181</v>
      </c>
      <c r="C661" t="s">
        <v>232</v>
      </c>
      <c r="D661" s="8">
        <v>10.5</v>
      </c>
      <c r="E661" s="8" t="s">
        <v>338</v>
      </c>
    </row>
    <row r="662" spans="1:5">
      <c r="A662" s="18">
        <v>6092903705</v>
      </c>
      <c r="B662" t="s">
        <v>1182</v>
      </c>
      <c r="C662" t="s">
        <v>232</v>
      </c>
      <c r="D662" s="8">
        <v>11</v>
      </c>
      <c r="E662" s="8" t="s">
        <v>340</v>
      </c>
    </row>
    <row r="663" spans="1:5">
      <c r="A663" s="18">
        <v>6092903705</v>
      </c>
      <c r="B663" t="s">
        <v>1183</v>
      </c>
      <c r="C663" t="s">
        <v>232</v>
      </c>
      <c r="D663" s="8">
        <v>11.5</v>
      </c>
      <c r="E663" s="8" t="s">
        <v>342</v>
      </c>
    </row>
    <row r="664" spans="1:5">
      <c r="A664" s="18">
        <v>6092903705</v>
      </c>
      <c r="B664" t="s">
        <v>1184</v>
      </c>
      <c r="C664" t="s">
        <v>232</v>
      </c>
      <c r="D664" s="8">
        <v>12</v>
      </c>
      <c r="E664" s="8" t="s">
        <v>344</v>
      </c>
    </row>
    <row r="665" spans="1:5">
      <c r="A665" s="18">
        <v>6092903705</v>
      </c>
      <c r="B665" t="s">
        <v>1185</v>
      </c>
      <c r="C665" t="s">
        <v>232</v>
      </c>
      <c r="D665" s="8">
        <v>1.5</v>
      </c>
      <c r="E665" s="8" t="s">
        <v>320</v>
      </c>
    </row>
    <row r="666" spans="1:5">
      <c r="A666" s="18">
        <v>6092903705</v>
      </c>
      <c r="B666" t="s">
        <v>1186</v>
      </c>
      <c r="C666" t="s">
        <v>232</v>
      </c>
      <c r="D666" s="8">
        <v>2</v>
      </c>
      <c r="E666" s="8" t="s">
        <v>174</v>
      </c>
    </row>
    <row r="667" spans="1:5">
      <c r="A667" s="18">
        <v>6092903705</v>
      </c>
      <c r="B667" t="s">
        <v>1187</v>
      </c>
      <c r="C667" t="s">
        <v>232</v>
      </c>
      <c r="D667" s="8">
        <v>2.5</v>
      </c>
      <c r="E667" s="8" t="s">
        <v>169</v>
      </c>
    </row>
    <row r="668" spans="1:5">
      <c r="A668" s="18">
        <v>6092903705</v>
      </c>
      <c r="B668" t="s">
        <v>1188</v>
      </c>
      <c r="C668" t="s">
        <v>232</v>
      </c>
      <c r="D668" s="8">
        <v>3</v>
      </c>
      <c r="E668" s="8" t="s">
        <v>176</v>
      </c>
    </row>
    <row r="669" spans="1:5">
      <c r="A669" s="18">
        <v>6092903705</v>
      </c>
      <c r="B669" t="s">
        <v>1189</v>
      </c>
      <c r="C669" t="s">
        <v>232</v>
      </c>
      <c r="D669" s="8">
        <v>3.5</v>
      </c>
      <c r="E669" s="8" t="s">
        <v>323</v>
      </c>
    </row>
    <row r="670" spans="1:5">
      <c r="A670" s="18">
        <v>6092903705</v>
      </c>
      <c r="B670" t="s">
        <v>1190</v>
      </c>
      <c r="C670" t="s">
        <v>232</v>
      </c>
      <c r="D670" s="8">
        <v>4</v>
      </c>
      <c r="E670" s="8" t="s">
        <v>178</v>
      </c>
    </row>
    <row r="671" spans="1:5">
      <c r="A671" s="18">
        <v>6092903705</v>
      </c>
      <c r="B671" t="s">
        <v>1191</v>
      </c>
      <c r="C671" t="s">
        <v>232</v>
      </c>
      <c r="D671" s="8">
        <v>4.5</v>
      </c>
      <c r="E671" s="8" t="s">
        <v>324</v>
      </c>
    </row>
    <row r="672" spans="1:5">
      <c r="A672" s="18">
        <v>6092903705</v>
      </c>
      <c r="B672" t="s">
        <v>1192</v>
      </c>
      <c r="C672" t="s">
        <v>232</v>
      </c>
      <c r="D672" s="8">
        <v>5</v>
      </c>
      <c r="E672" s="8" t="s">
        <v>180</v>
      </c>
    </row>
    <row r="673" spans="1:5">
      <c r="A673" s="18">
        <v>6092903705</v>
      </c>
      <c r="B673" t="s">
        <v>1193</v>
      </c>
      <c r="C673" t="s">
        <v>232</v>
      </c>
      <c r="D673" s="8">
        <v>5.5</v>
      </c>
      <c r="E673" s="8" t="s">
        <v>325</v>
      </c>
    </row>
    <row r="674" spans="1:5">
      <c r="A674" s="18">
        <v>6092903705</v>
      </c>
      <c r="B674" t="s">
        <v>1194</v>
      </c>
      <c r="C674" t="s">
        <v>232</v>
      </c>
      <c r="D674" s="8">
        <v>6</v>
      </c>
      <c r="E674" s="8" t="s">
        <v>182</v>
      </c>
    </row>
    <row r="675" spans="1:5">
      <c r="A675" s="18">
        <v>6092903705</v>
      </c>
      <c r="B675" t="s">
        <v>1195</v>
      </c>
      <c r="C675" t="s">
        <v>232</v>
      </c>
      <c r="D675" s="8">
        <v>6.5</v>
      </c>
      <c r="E675" s="8" t="s">
        <v>326</v>
      </c>
    </row>
    <row r="676" spans="1:5">
      <c r="A676" s="18">
        <v>6092903705</v>
      </c>
      <c r="B676" t="s">
        <v>1196</v>
      </c>
      <c r="C676" t="s">
        <v>232</v>
      </c>
      <c r="D676" s="8">
        <v>7</v>
      </c>
      <c r="E676" s="8" t="s">
        <v>184</v>
      </c>
    </row>
    <row r="677" spans="1:5">
      <c r="A677" s="18">
        <v>6092903705</v>
      </c>
      <c r="B677" t="s">
        <v>1197</v>
      </c>
      <c r="C677" t="s">
        <v>232</v>
      </c>
      <c r="D677" s="8">
        <v>7.5</v>
      </c>
      <c r="E677" s="8" t="s">
        <v>330</v>
      </c>
    </row>
    <row r="678" spans="1:5">
      <c r="A678" s="18">
        <v>6092903705</v>
      </c>
      <c r="B678" t="s">
        <v>1198</v>
      </c>
      <c r="C678" t="s">
        <v>232</v>
      </c>
      <c r="D678" s="8">
        <v>8</v>
      </c>
      <c r="E678" s="8" t="s">
        <v>186</v>
      </c>
    </row>
    <row r="679" spans="1:5">
      <c r="A679" s="18">
        <v>6092903705</v>
      </c>
      <c r="B679" t="s">
        <v>1199</v>
      </c>
      <c r="C679" t="s">
        <v>232</v>
      </c>
      <c r="D679" s="8">
        <v>8.5</v>
      </c>
      <c r="E679" s="8" t="s">
        <v>333</v>
      </c>
    </row>
    <row r="680" spans="1:5">
      <c r="A680" s="18">
        <v>6092903705</v>
      </c>
      <c r="B680" t="s">
        <v>1200</v>
      </c>
      <c r="C680" t="s">
        <v>232</v>
      </c>
      <c r="D680" s="8">
        <v>9</v>
      </c>
      <c r="E680" s="8" t="s">
        <v>188</v>
      </c>
    </row>
    <row r="681" spans="1:5">
      <c r="A681" s="18">
        <v>6092903705</v>
      </c>
      <c r="B681" t="s">
        <v>1201</v>
      </c>
      <c r="C681" t="s">
        <v>232</v>
      </c>
      <c r="D681" s="8">
        <v>9.5</v>
      </c>
      <c r="E681" s="8" t="s">
        <v>335</v>
      </c>
    </row>
    <row r="682" spans="1:5">
      <c r="A682" s="18">
        <v>6092903705</v>
      </c>
      <c r="B682" t="s">
        <v>1202</v>
      </c>
      <c r="C682" t="s">
        <v>233</v>
      </c>
      <c r="D682" s="8">
        <v>10</v>
      </c>
      <c r="E682" s="8" t="s">
        <v>190</v>
      </c>
    </row>
    <row r="683" spans="1:5">
      <c r="A683" s="18">
        <v>6092903705</v>
      </c>
      <c r="B683" t="s">
        <v>1203</v>
      </c>
      <c r="C683" t="s">
        <v>233</v>
      </c>
      <c r="D683" s="8">
        <v>1</v>
      </c>
      <c r="E683" s="8" t="s">
        <v>172</v>
      </c>
    </row>
    <row r="684" spans="1:5">
      <c r="A684" s="18">
        <v>6092903705</v>
      </c>
      <c r="B684" t="s">
        <v>1204</v>
      </c>
      <c r="C684" t="s">
        <v>233</v>
      </c>
      <c r="D684" s="8">
        <v>10.5</v>
      </c>
      <c r="E684" s="8" t="s">
        <v>338</v>
      </c>
    </row>
    <row r="685" spans="1:5">
      <c r="A685" s="18">
        <v>6092903705</v>
      </c>
      <c r="B685" t="s">
        <v>1205</v>
      </c>
      <c r="C685" t="s">
        <v>233</v>
      </c>
      <c r="D685" s="8">
        <v>11</v>
      </c>
      <c r="E685" s="8" t="s">
        <v>340</v>
      </c>
    </row>
    <row r="686" spans="1:5">
      <c r="A686" s="18">
        <v>6092903705</v>
      </c>
      <c r="B686" t="s">
        <v>1206</v>
      </c>
      <c r="C686" t="s">
        <v>233</v>
      </c>
      <c r="D686" s="8">
        <v>11.5</v>
      </c>
      <c r="E686" s="8" t="s">
        <v>342</v>
      </c>
    </row>
    <row r="687" spans="1:5">
      <c r="A687" s="18">
        <v>6092903705</v>
      </c>
      <c r="B687" t="s">
        <v>1207</v>
      </c>
      <c r="C687" t="s">
        <v>233</v>
      </c>
      <c r="D687" s="8">
        <v>12</v>
      </c>
      <c r="E687" s="8" t="s">
        <v>344</v>
      </c>
    </row>
    <row r="688" spans="1:5">
      <c r="A688" s="18">
        <v>6092903705</v>
      </c>
      <c r="B688" t="s">
        <v>1208</v>
      </c>
      <c r="C688" t="s">
        <v>233</v>
      </c>
      <c r="D688" s="8">
        <v>1.5</v>
      </c>
      <c r="E688" s="8" t="s">
        <v>320</v>
      </c>
    </row>
    <row r="689" spans="1:5">
      <c r="A689" s="18">
        <v>6092903705</v>
      </c>
      <c r="B689" t="s">
        <v>1209</v>
      </c>
      <c r="C689" t="s">
        <v>233</v>
      </c>
      <c r="D689" s="8">
        <v>2</v>
      </c>
      <c r="E689" s="8" t="s">
        <v>174</v>
      </c>
    </row>
    <row r="690" spans="1:5">
      <c r="A690" s="18">
        <v>6092903705</v>
      </c>
      <c r="B690" t="s">
        <v>1210</v>
      </c>
      <c r="C690" t="s">
        <v>233</v>
      </c>
      <c r="D690" s="8">
        <v>2.5</v>
      </c>
      <c r="E690" s="8" t="s">
        <v>169</v>
      </c>
    </row>
    <row r="691" spans="1:5">
      <c r="A691" s="18">
        <v>6092903705</v>
      </c>
      <c r="B691" t="s">
        <v>1211</v>
      </c>
      <c r="C691" t="s">
        <v>233</v>
      </c>
      <c r="D691" s="8">
        <v>3</v>
      </c>
      <c r="E691" s="8" t="s">
        <v>176</v>
      </c>
    </row>
    <row r="692" spans="1:5">
      <c r="A692" s="18">
        <v>6092903705</v>
      </c>
      <c r="B692" t="s">
        <v>1212</v>
      </c>
      <c r="C692" t="s">
        <v>233</v>
      </c>
      <c r="D692" s="8">
        <v>3.5</v>
      </c>
      <c r="E692" s="8" t="s">
        <v>323</v>
      </c>
    </row>
    <row r="693" spans="1:5">
      <c r="A693" s="18">
        <v>6092903705</v>
      </c>
      <c r="B693" t="s">
        <v>1213</v>
      </c>
      <c r="C693" t="s">
        <v>233</v>
      </c>
      <c r="D693" s="8">
        <v>4</v>
      </c>
      <c r="E693" s="8" t="s">
        <v>178</v>
      </c>
    </row>
    <row r="694" spans="1:5">
      <c r="A694" s="18">
        <v>6092903705</v>
      </c>
      <c r="B694" t="s">
        <v>1214</v>
      </c>
      <c r="C694" t="s">
        <v>233</v>
      </c>
      <c r="D694" s="8">
        <v>4.5</v>
      </c>
      <c r="E694" s="8" t="s">
        <v>324</v>
      </c>
    </row>
    <row r="695" spans="1:5">
      <c r="A695" s="18">
        <v>6092903705</v>
      </c>
      <c r="B695" t="s">
        <v>1215</v>
      </c>
      <c r="C695" t="s">
        <v>233</v>
      </c>
      <c r="D695" s="8">
        <v>5</v>
      </c>
      <c r="E695" s="8" t="s">
        <v>180</v>
      </c>
    </row>
    <row r="696" spans="1:5">
      <c r="A696" s="18">
        <v>6092903705</v>
      </c>
      <c r="B696" t="s">
        <v>1216</v>
      </c>
      <c r="C696" t="s">
        <v>233</v>
      </c>
      <c r="D696" s="8">
        <v>5.5</v>
      </c>
      <c r="E696" s="8" t="s">
        <v>325</v>
      </c>
    </row>
    <row r="697" spans="1:5">
      <c r="A697" s="18">
        <v>6092903705</v>
      </c>
      <c r="B697" t="s">
        <v>1217</v>
      </c>
      <c r="C697" t="s">
        <v>233</v>
      </c>
      <c r="D697" s="8">
        <v>6</v>
      </c>
      <c r="E697" s="8" t="s">
        <v>182</v>
      </c>
    </row>
    <row r="698" spans="1:5">
      <c r="A698" s="18">
        <v>6092903705</v>
      </c>
      <c r="B698" t="s">
        <v>1218</v>
      </c>
      <c r="C698" t="s">
        <v>233</v>
      </c>
      <c r="D698" s="8">
        <v>6.5</v>
      </c>
      <c r="E698" s="8" t="s">
        <v>326</v>
      </c>
    </row>
    <row r="699" spans="1:5">
      <c r="A699" s="18">
        <v>6092903705</v>
      </c>
      <c r="B699" t="s">
        <v>1219</v>
      </c>
      <c r="C699" t="s">
        <v>233</v>
      </c>
      <c r="D699" s="8">
        <v>7</v>
      </c>
      <c r="E699" s="8" t="s">
        <v>184</v>
      </c>
    </row>
    <row r="700" spans="1:5">
      <c r="A700" s="18">
        <v>6092903705</v>
      </c>
      <c r="B700" t="s">
        <v>1220</v>
      </c>
      <c r="C700" t="s">
        <v>233</v>
      </c>
      <c r="D700" s="8">
        <v>7.5</v>
      </c>
      <c r="E700" s="8" t="s">
        <v>330</v>
      </c>
    </row>
    <row r="701" spans="1:5">
      <c r="A701" s="18">
        <v>6092903705</v>
      </c>
      <c r="B701" t="s">
        <v>1221</v>
      </c>
      <c r="C701" t="s">
        <v>233</v>
      </c>
      <c r="D701" s="8">
        <v>8</v>
      </c>
      <c r="E701" s="8" t="s">
        <v>186</v>
      </c>
    </row>
    <row r="702" spans="1:5">
      <c r="A702" s="18">
        <v>6092903705</v>
      </c>
      <c r="B702" t="s">
        <v>1222</v>
      </c>
      <c r="C702" t="s">
        <v>233</v>
      </c>
      <c r="D702" s="8">
        <v>8.5</v>
      </c>
      <c r="E702" s="8" t="s">
        <v>333</v>
      </c>
    </row>
    <row r="703" spans="1:5">
      <c r="A703" s="18">
        <v>6092903705</v>
      </c>
      <c r="B703" t="s">
        <v>1223</v>
      </c>
      <c r="C703" t="s">
        <v>233</v>
      </c>
      <c r="D703" s="8">
        <v>9</v>
      </c>
      <c r="E703" s="8" t="s">
        <v>188</v>
      </c>
    </row>
    <row r="704" spans="1:5">
      <c r="A704" s="18">
        <v>6092903705</v>
      </c>
      <c r="B704" t="s">
        <v>1224</v>
      </c>
      <c r="C704" t="s">
        <v>233</v>
      </c>
      <c r="D704" s="8">
        <v>9.5</v>
      </c>
      <c r="E704" s="8" t="s">
        <v>335</v>
      </c>
    </row>
    <row r="705" spans="1:5">
      <c r="A705" s="18">
        <v>6092903705</v>
      </c>
      <c r="B705" t="s">
        <v>1225</v>
      </c>
      <c r="C705" t="s">
        <v>555</v>
      </c>
      <c r="D705" s="8">
        <v>10</v>
      </c>
      <c r="E705" s="8" t="s">
        <v>190</v>
      </c>
    </row>
    <row r="706" spans="1:5">
      <c r="A706" s="18">
        <v>6092903705</v>
      </c>
      <c r="B706" t="s">
        <v>1226</v>
      </c>
      <c r="C706" t="s">
        <v>555</v>
      </c>
      <c r="D706" s="8">
        <v>1</v>
      </c>
      <c r="E706" s="8" t="s">
        <v>172</v>
      </c>
    </row>
    <row r="707" spans="1:5">
      <c r="A707" s="18">
        <v>6092903705</v>
      </c>
      <c r="B707" t="s">
        <v>1227</v>
      </c>
      <c r="C707" t="s">
        <v>555</v>
      </c>
      <c r="D707" s="8">
        <v>1.5</v>
      </c>
      <c r="E707" s="8" t="s">
        <v>320</v>
      </c>
    </row>
    <row r="708" spans="1:5">
      <c r="A708" s="18">
        <v>6092903705</v>
      </c>
      <c r="B708" t="s">
        <v>1228</v>
      </c>
      <c r="C708" t="s">
        <v>555</v>
      </c>
      <c r="D708" s="8">
        <v>2</v>
      </c>
      <c r="E708" s="8" t="s">
        <v>174</v>
      </c>
    </row>
    <row r="709" spans="1:5">
      <c r="A709" s="18">
        <v>6092903705</v>
      </c>
      <c r="B709" t="s">
        <v>1229</v>
      </c>
      <c r="C709" t="s">
        <v>555</v>
      </c>
      <c r="D709" s="8">
        <v>2.5</v>
      </c>
      <c r="E709" s="8" t="s">
        <v>169</v>
      </c>
    </row>
    <row r="710" spans="1:5">
      <c r="A710" s="18">
        <v>6092903705</v>
      </c>
      <c r="B710" t="s">
        <v>1230</v>
      </c>
      <c r="C710" t="s">
        <v>555</v>
      </c>
      <c r="D710" s="8">
        <v>3</v>
      </c>
      <c r="E710" s="8" t="s">
        <v>176</v>
      </c>
    </row>
    <row r="711" spans="1:5">
      <c r="A711" s="18">
        <v>6092903705</v>
      </c>
      <c r="B711" t="s">
        <v>1231</v>
      </c>
      <c r="C711" t="s">
        <v>555</v>
      </c>
      <c r="D711" s="8">
        <v>3.5</v>
      </c>
      <c r="E711" s="8" t="s">
        <v>323</v>
      </c>
    </row>
    <row r="712" spans="1:5">
      <c r="A712" s="18">
        <v>6092903705</v>
      </c>
      <c r="B712" t="s">
        <v>1232</v>
      </c>
      <c r="C712" t="s">
        <v>555</v>
      </c>
      <c r="D712" s="8">
        <v>4</v>
      </c>
      <c r="E712" s="8" t="s">
        <v>178</v>
      </c>
    </row>
    <row r="713" spans="1:5">
      <c r="A713" s="18">
        <v>6092903705</v>
      </c>
      <c r="B713" t="s">
        <v>1233</v>
      </c>
      <c r="C713" t="s">
        <v>555</v>
      </c>
      <c r="D713" s="8">
        <v>4.5</v>
      </c>
      <c r="E713" s="8" t="s">
        <v>324</v>
      </c>
    </row>
    <row r="714" spans="1:5">
      <c r="A714" s="18">
        <v>6092903705</v>
      </c>
      <c r="B714" t="s">
        <v>1234</v>
      </c>
      <c r="C714" t="s">
        <v>555</v>
      </c>
      <c r="D714" s="8">
        <v>5</v>
      </c>
      <c r="E714" s="8" t="s">
        <v>180</v>
      </c>
    </row>
    <row r="715" spans="1:5">
      <c r="A715" s="18">
        <v>6092903705</v>
      </c>
      <c r="B715" t="s">
        <v>1235</v>
      </c>
      <c r="C715" t="s">
        <v>555</v>
      </c>
      <c r="D715" s="8">
        <v>5.5</v>
      </c>
      <c r="E715" s="8" t="s">
        <v>325</v>
      </c>
    </row>
    <row r="716" spans="1:5">
      <c r="A716" s="18">
        <v>6092903705</v>
      </c>
      <c r="B716" t="s">
        <v>1236</v>
      </c>
      <c r="C716" t="s">
        <v>555</v>
      </c>
      <c r="D716" s="8">
        <v>6</v>
      </c>
      <c r="E716" s="8" t="s">
        <v>182</v>
      </c>
    </row>
    <row r="717" spans="1:5">
      <c r="A717" s="18">
        <v>6092903705</v>
      </c>
      <c r="B717" t="s">
        <v>1237</v>
      </c>
      <c r="C717" t="s">
        <v>555</v>
      </c>
      <c r="D717" s="8">
        <v>6.5</v>
      </c>
      <c r="E717" s="8" t="s">
        <v>326</v>
      </c>
    </row>
    <row r="718" spans="1:5">
      <c r="A718" s="18">
        <v>6092903705</v>
      </c>
      <c r="B718" t="s">
        <v>1238</v>
      </c>
      <c r="C718" t="s">
        <v>555</v>
      </c>
      <c r="D718" s="8">
        <v>7</v>
      </c>
      <c r="E718" s="8" t="s">
        <v>184</v>
      </c>
    </row>
    <row r="719" spans="1:5">
      <c r="A719" s="18">
        <v>6092903705</v>
      </c>
      <c r="B719" t="s">
        <v>1239</v>
      </c>
      <c r="C719" t="s">
        <v>555</v>
      </c>
      <c r="D719" s="8">
        <v>7.5</v>
      </c>
      <c r="E719" s="8" t="s">
        <v>330</v>
      </c>
    </row>
    <row r="720" spans="1:5">
      <c r="A720" s="18">
        <v>6092903705</v>
      </c>
      <c r="B720" t="s">
        <v>1240</v>
      </c>
      <c r="C720" t="s">
        <v>555</v>
      </c>
      <c r="D720" s="8">
        <v>8</v>
      </c>
      <c r="E720" s="8" t="s">
        <v>186</v>
      </c>
    </row>
    <row r="721" spans="1:5">
      <c r="A721" s="18">
        <v>6092903705</v>
      </c>
      <c r="B721" t="s">
        <v>1241</v>
      </c>
      <c r="C721" t="s">
        <v>555</v>
      </c>
      <c r="D721" s="8">
        <v>8.5</v>
      </c>
      <c r="E721" s="8" t="s">
        <v>333</v>
      </c>
    </row>
    <row r="722" spans="1:5">
      <c r="A722" s="18">
        <v>6092903705</v>
      </c>
      <c r="B722" t="s">
        <v>1242</v>
      </c>
      <c r="C722" t="s">
        <v>555</v>
      </c>
      <c r="D722" s="8">
        <v>9</v>
      </c>
      <c r="E722" s="8" t="s">
        <v>188</v>
      </c>
    </row>
    <row r="723" spans="1:5">
      <c r="A723" s="18">
        <v>6092903705</v>
      </c>
      <c r="B723" t="s">
        <v>1243</v>
      </c>
      <c r="C723" t="s">
        <v>555</v>
      </c>
      <c r="D723" s="8">
        <v>9.5</v>
      </c>
      <c r="E723" s="8" t="s">
        <v>335</v>
      </c>
    </row>
    <row r="724" spans="1:5">
      <c r="A724" s="18">
        <v>6092903705</v>
      </c>
      <c r="B724" t="s">
        <v>1244</v>
      </c>
      <c r="C724" t="s">
        <v>234</v>
      </c>
      <c r="D724" s="8">
        <v>10</v>
      </c>
      <c r="E724" s="8" t="s">
        <v>190</v>
      </c>
    </row>
    <row r="725" spans="1:5">
      <c r="A725" s="18">
        <v>6092903705</v>
      </c>
      <c r="B725" t="s">
        <v>1245</v>
      </c>
      <c r="C725" t="s">
        <v>234</v>
      </c>
      <c r="D725" s="8">
        <v>1</v>
      </c>
      <c r="E725" s="8" t="s">
        <v>172</v>
      </c>
    </row>
    <row r="726" spans="1:5">
      <c r="A726" s="18">
        <v>6092903705</v>
      </c>
      <c r="B726" t="s">
        <v>1246</v>
      </c>
      <c r="C726" t="s">
        <v>234</v>
      </c>
      <c r="D726" s="8">
        <v>10.5</v>
      </c>
      <c r="E726" s="8" t="s">
        <v>338</v>
      </c>
    </row>
    <row r="727" spans="1:5">
      <c r="A727" s="18">
        <v>6092903705</v>
      </c>
      <c r="B727" t="s">
        <v>1247</v>
      </c>
      <c r="C727" t="s">
        <v>234</v>
      </c>
      <c r="D727" s="8">
        <v>11</v>
      </c>
      <c r="E727" s="8" t="s">
        <v>340</v>
      </c>
    </row>
    <row r="728" spans="1:5">
      <c r="A728" s="18">
        <v>6092903705</v>
      </c>
      <c r="B728" t="s">
        <v>1248</v>
      </c>
      <c r="C728" t="s">
        <v>234</v>
      </c>
      <c r="D728" s="8">
        <v>11.5</v>
      </c>
      <c r="E728" s="8" t="s">
        <v>342</v>
      </c>
    </row>
    <row r="729" spans="1:5">
      <c r="A729" s="18">
        <v>6092903705</v>
      </c>
      <c r="B729" t="s">
        <v>1249</v>
      </c>
      <c r="C729" t="s">
        <v>234</v>
      </c>
      <c r="D729" s="8">
        <v>12</v>
      </c>
      <c r="E729" s="8" t="s">
        <v>344</v>
      </c>
    </row>
    <row r="730" spans="1:5">
      <c r="A730" s="18">
        <v>6092903705</v>
      </c>
      <c r="B730" t="s">
        <v>1250</v>
      </c>
      <c r="C730" t="s">
        <v>234</v>
      </c>
      <c r="D730" s="8">
        <v>1.5</v>
      </c>
      <c r="E730" s="8" t="s">
        <v>320</v>
      </c>
    </row>
    <row r="731" spans="1:5">
      <c r="A731" s="18">
        <v>6092903705</v>
      </c>
      <c r="B731" t="s">
        <v>1251</v>
      </c>
      <c r="C731" t="s">
        <v>234</v>
      </c>
      <c r="D731" s="8">
        <v>2</v>
      </c>
      <c r="E731" s="8" t="s">
        <v>174</v>
      </c>
    </row>
    <row r="732" spans="1:5">
      <c r="A732" s="18">
        <v>6092903705</v>
      </c>
      <c r="B732" t="s">
        <v>1252</v>
      </c>
      <c r="C732" t="s">
        <v>234</v>
      </c>
      <c r="D732" s="8">
        <v>2.5</v>
      </c>
      <c r="E732" s="8" t="s">
        <v>169</v>
      </c>
    </row>
    <row r="733" spans="1:5">
      <c r="A733" s="18">
        <v>6092903705</v>
      </c>
      <c r="B733" t="s">
        <v>1253</v>
      </c>
      <c r="C733" t="s">
        <v>234</v>
      </c>
      <c r="D733" s="8">
        <v>3</v>
      </c>
      <c r="E733" s="8" t="s">
        <v>176</v>
      </c>
    </row>
    <row r="734" spans="1:5">
      <c r="A734" s="18">
        <v>6092903705</v>
      </c>
      <c r="B734" t="s">
        <v>1254</v>
      </c>
      <c r="C734" t="s">
        <v>234</v>
      </c>
      <c r="D734" s="8">
        <v>3.5</v>
      </c>
      <c r="E734" s="8" t="s">
        <v>323</v>
      </c>
    </row>
    <row r="735" spans="1:5">
      <c r="A735" s="18">
        <v>6092903705</v>
      </c>
      <c r="B735" t="s">
        <v>1255</v>
      </c>
      <c r="C735" t="s">
        <v>234</v>
      </c>
      <c r="D735" s="8">
        <v>4</v>
      </c>
      <c r="E735" s="8" t="s">
        <v>178</v>
      </c>
    </row>
    <row r="736" spans="1:5">
      <c r="A736" s="18">
        <v>6092903705</v>
      </c>
      <c r="B736" t="s">
        <v>1256</v>
      </c>
      <c r="C736" t="s">
        <v>234</v>
      </c>
      <c r="D736" s="8">
        <v>4.5</v>
      </c>
      <c r="E736" s="8" t="s">
        <v>324</v>
      </c>
    </row>
    <row r="737" spans="1:5">
      <c r="A737" s="18">
        <v>6092903705</v>
      </c>
      <c r="B737" t="s">
        <v>1257</v>
      </c>
      <c r="C737" t="s">
        <v>234</v>
      </c>
      <c r="D737" s="8">
        <v>5</v>
      </c>
      <c r="E737" s="8" t="s">
        <v>180</v>
      </c>
    </row>
    <row r="738" spans="1:5">
      <c r="A738" s="18">
        <v>6092903705</v>
      </c>
      <c r="B738" t="s">
        <v>1258</v>
      </c>
      <c r="C738" t="s">
        <v>234</v>
      </c>
      <c r="D738" s="8">
        <v>5.5</v>
      </c>
      <c r="E738" s="8" t="s">
        <v>325</v>
      </c>
    </row>
    <row r="739" spans="1:5">
      <c r="A739" s="18">
        <v>6092903705</v>
      </c>
      <c r="B739" t="s">
        <v>1259</v>
      </c>
      <c r="C739" t="s">
        <v>234</v>
      </c>
      <c r="D739" s="8">
        <v>6</v>
      </c>
      <c r="E739" s="8" t="s">
        <v>182</v>
      </c>
    </row>
    <row r="740" spans="1:5">
      <c r="A740" s="18">
        <v>6092903705</v>
      </c>
      <c r="B740" t="s">
        <v>1260</v>
      </c>
      <c r="C740" t="s">
        <v>234</v>
      </c>
      <c r="D740" s="8">
        <v>6.5</v>
      </c>
      <c r="E740" s="8" t="s">
        <v>326</v>
      </c>
    </row>
    <row r="741" spans="1:5">
      <c r="A741" s="18">
        <v>6092903705</v>
      </c>
      <c r="B741" t="s">
        <v>1261</v>
      </c>
      <c r="C741" t="s">
        <v>234</v>
      </c>
      <c r="D741" s="8">
        <v>7</v>
      </c>
      <c r="E741" s="8" t="s">
        <v>184</v>
      </c>
    </row>
    <row r="742" spans="1:5">
      <c r="A742" s="18">
        <v>6092903705</v>
      </c>
      <c r="B742" t="s">
        <v>1262</v>
      </c>
      <c r="C742" t="s">
        <v>234</v>
      </c>
      <c r="D742" s="8">
        <v>7.5</v>
      </c>
      <c r="E742" s="8" t="s">
        <v>330</v>
      </c>
    </row>
    <row r="743" spans="1:5">
      <c r="A743" s="18">
        <v>6092903705</v>
      </c>
      <c r="B743" t="s">
        <v>1263</v>
      </c>
      <c r="C743" t="s">
        <v>234</v>
      </c>
      <c r="D743" s="8">
        <v>8</v>
      </c>
      <c r="E743" s="8" t="s">
        <v>186</v>
      </c>
    </row>
    <row r="744" spans="1:5">
      <c r="A744" s="18">
        <v>6092903705</v>
      </c>
      <c r="B744" t="s">
        <v>1264</v>
      </c>
      <c r="C744" t="s">
        <v>234</v>
      </c>
      <c r="D744" s="8">
        <v>8.5</v>
      </c>
      <c r="E744" s="8" t="s">
        <v>333</v>
      </c>
    </row>
    <row r="745" spans="1:5">
      <c r="A745" s="18">
        <v>6092903705</v>
      </c>
      <c r="B745" t="s">
        <v>1265</v>
      </c>
      <c r="C745" t="s">
        <v>234</v>
      </c>
      <c r="D745" s="8">
        <v>9</v>
      </c>
      <c r="E745" s="8" t="s">
        <v>188</v>
      </c>
    </row>
    <row r="746" spans="1:5">
      <c r="A746" s="18">
        <v>6092903705</v>
      </c>
      <c r="B746" t="s">
        <v>1266</v>
      </c>
      <c r="C746" t="s">
        <v>234</v>
      </c>
      <c r="D746" s="8">
        <v>9.5</v>
      </c>
      <c r="E746" s="8" t="s">
        <v>335</v>
      </c>
    </row>
    <row r="747" spans="1:5">
      <c r="A747" s="18">
        <v>6092903705</v>
      </c>
      <c r="B747" t="s">
        <v>1267</v>
      </c>
      <c r="C747" t="s">
        <v>349</v>
      </c>
      <c r="D747" s="8">
        <v>10</v>
      </c>
      <c r="E747" s="8" t="s">
        <v>190</v>
      </c>
    </row>
    <row r="748" spans="1:5">
      <c r="A748" s="18">
        <v>6092903705</v>
      </c>
      <c r="B748" t="s">
        <v>1268</v>
      </c>
      <c r="C748" t="s">
        <v>349</v>
      </c>
      <c r="D748" s="8">
        <v>1</v>
      </c>
      <c r="E748" s="8" t="s">
        <v>172</v>
      </c>
    </row>
    <row r="749" spans="1:5">
      <c r="A749" s="18">
        <v>6092903705</v>
      </c>
      <c r="B749" t="s">
        <v>1269</v>
      </c>
      <c r="C749" t="s">
        <v>349</v>
      </c>
      <c r="D749" s="8">
        <v>10.5</v>
      </c>
      <c r="E749" s="8" t="s">
        <v>338</v>
      </c>
    </row>
    <row r="750" spans="1:5">
      <c r="A750" s="18">
        <v>6092903705</v>
      </c>
      <c r="B750" t="s">
        <v>1270</v>
      </c>
      <c r="C750" t="s">
        <v>349</v>
      </c>
      <c r="D750" s="8">
        <v>11</v>
      </c>
      <c r="E750" s="8" t="s">
        <v>340</v>
      </c>
    </row>
    <row r="751" spans="1:5">
      <c r="A751" s="18">
        <v>6092903705</v>
      </c>
      <c r="B751" t="s">
        <v>1271</v>
      </c>
      <c r="C751" t="s">
        <v>349</v>
      </c>
      <c r="D751" s="8">
        <v>11.5</v>
      </c>
      <c r="E751" s="8" t="s">
        <v>342</v>
      </c>
    </row>
    <row r="752" spans="1:5">
      <c r="A752" s="18">
        <v>6092903705</v>
      </c>
      <c r="B752" t="s">
        <v>1272</v>
      </c>
      <c r="C752" t="s">
        <v>349</v>
      </c>
      <c r="D752" s="8">
        <v>12</v>
      </c>
      <c r="E752" s="8" t="s">
        <v>344</v>
      </c>
    </row>
    <row r="753" spans="1:5">
      <c r="A753" s="18">
        <v>6092903705</v>
      </c>
      <c r="B753" t="s">
        <v>1273</v>
      </c>
      <c r="C753" t="s">
        <v>349</v>
      </c>
      <c r="D753" s="8">
        <v>1.5</v>
      </c>
      <c r="E753" s="8" t="s">
        <v>320</v>
      </c>
    </row>
    <row r="754" spans="1:5">
      <c r="A754" s="18">
        <v>6092903705</v>
      </c>
      <c r="B754" t="s">
        <v>1274</v>
      </c>
      <c r="C754" t="s">
        <v>349</v>
      </c>
      <c r="D754" s="8">
        <v>2</v>
      </c>
      <c r="E754" s="8" t="s">
        <v>174</v>
      </c>
    </row>
    <row r="755" spans="1:5">
      <c r="A755" s="18">
        <v>6092903705</v>
      </c>
      <c r="B755" t="s">
        <v>1275</v>
      </c>
      <c r="C755" t="s">
        <v>349</v>
      </c>
      <c r="D755" s="8">
        <v>2.5</v>
      </c>
      <c r="E755" s="8" t="s">
        <v>169</v>
      </c>
    </row>
    <row r="756" spans="1:5">
      <c r="A756" s="18">
        <v>6092903705</v>
      </c>
      <c r="B756" t="s">
        <v>1276</v>
      </c>
      <c r="C756" t="s">
        <v>349</v>
      </c>
      <c r="D756" s="8">
        <v>3</v>
      </c>
      <c r="E756" s="8" t="s">
        <v>176</v>
      </c>
    </row>
    <row r="757" spans="1:5">
      <c r="A757" s="18">
        <v>6092903705</v>
      </c>
      <c r="B757" t="s">
        <v>1277</v>
      </c>
      <c r="C757" t="s">
        <v>349</v>
      </c>
      <c r="D757" s="8">
        <v>3.5</v>
      </c>
      <c r="E757" s="8" t="s">
        <v>323</v>
      </c>
    </row>
    <row r="758" spans="1:5">
      <c r="A758" s="18">
        <v>6092903705</v>
      </c>
      <c r="B758" t="s">
        <v>1278</v>
      </c>
      <c r="C758" t="s">
        <v>349</v>
      </c>
      <c r="D758" s="8">
        <v>4</v>
      </c>
      <c r="E758" s="8" t="s">
        <v>178</v>
      </c>
    </row>
    <row r="759" spans="1:5">
      <c r="A759" s="18">
        <v>6092903705</v>
      </c>
      <c r="B759" t="s">
        <v>1279</v>
      </c>
      <c r="C759" t="s">
        <v>349</v>
      </c>
      <c r="D759" s="8">
        <v>4.5</v>
      </c>
      <c r="E759" s="8" t="s">
        <v>324</v>
      </c>
    </row>
    <row r="760" spans="1:5">
      <c r="A760" s="18">
        <v>6092903705</v>
      </c>
      <c r="B760" t="s">
        <v>1280</v>
      </c>
      <c r="C760" t="s">
        <v>349</v>
      </c>
      <c r="D760" s="8">
        <v>5</v>
      </c>
      <c r="E760" s="8" t="s">
        <v>180</v>
      </c>
    </row>
    <row r="761" spans="1:5">
      <c r="A761" s="18">
        <v>6092903705</v>
      </c>
      <c r="B761" t="s">
        <v>1281</v>
      </c>
      <c r="C761" t="s">
        <v>349</v>
      </c>
      <c r="D761" s="8">
        <v>5.5</v>
      </c>
      <c r="E761" s="8" t="s">
        <v>325</v>
      </c>
    </row>
    <row r="762" spans="1:5">
      <c r="A762" s="18">
        <v>6092903705</v>
      </c>
      <c r="B762" t="s">
        <v>1282</v>
      </c>
      <c r="C762" t="s">
        <v>349</v>
      </c>
      <c r="D762" s="8">
        <v>6</v>
      </c>
      <c r="E762" s="8" t="s">
        <v>182</v>
      </c>
    </row>
    <row r="763" spans="1:5">
      <c r="A763" s="18">
        <v>6092903705</v>
      </c>
      <c r="B763" t="s">
        <v>1283</v>
      </c>
      <c r="C763" t="s">
        <v>349</v>
      </c>
      <c r="D763" s="8">
        <v>6.5</v>
      </c>
      <c r="E763" s="8" t="s">
        <v>326</v>
      </c>
    </row>
    <row r="764" spans="1:5">
      <c r="A764" s="18">
        <v>6092903705</v>
      </c>
      <c r="B764" t="s">
        <v>1284</v>
      </c>
      <c r="C764" t="s">
        <v>349</v>
      </c>
      <c r="D764" s="8">
        <v>7</v>
      </c>
      <c r="E764" s="8" t="s">
        <v>184</v>
      </c>
    </row>
    <row r="765" spans="1:5">
      <c r="A765" s="18">
        <v>6092903705</v>
      </c>
      <c r="B765" t="s">
        <v>1285</v>
      </c>
      <c r="C765" t="s">
        <v>349</v>
      </c>
      <c r="D765" s="8">
        <v>7.5</v>
      </c>
      <c r="E765" s="8" t="s">
        <v>330</v>
      </c>
    </row>
    <row r="766" spans="1:5">
      <c r="A766" s="18">
        <v>6092903705</v>
      </c>
      <c r="B766" t="s">
        <v>1286</v>
      </c>
      <c r="C766" t="s">
        <v>349</v>
      </c>
      <c r="D766" s="8">
        <v>8</v>
      </c>
      <c r="E766" s="8" t="s">
        <v>186</v>
      </c>
    </row>
    <row r="767" spans="1:5">
      <c r="A767" s="18">
        <v>6092903705</v>
      </c>
      <c r="B767" t="s">
        <v>1287</v>
      </c>
      <c r="C767" t="s">
        <v>349</v>
      </c>
      <c r="D767" s="8">
        <v>8.5</v>
      </c>
      <c r="E767" s="8" t="s">
        <v>333</v>
      </c>
    </row>
    <row r="768" spans="1:5">
      <c r="A768" s="18">
        <v>6092903705</v>
      </c>
      <c r="B768" t="s">
        <v>1288</v>
      </c>
      <c r="C768" t="s">
        <v>349</v>
      </c>
      <c r="D768" s="8">
        <v>9</v>
      </c>
      <c r="E768" s="8" t="s">
        <v>188</v>
      </c>
    </row>
    <row r="769" spans="1:5">
      <c r="A769" s="18">
        <v>6092903705</v>
      </c>
      <c r="B769" t="s">
        <v>1289</v>
      </c>
      <c r="C769" t="s">
        <v>349</v>
      </c>
      <c r="D769" s="8">
        <v>9.5</v>
      </c>
      <c r="E769" s="8" t="s">
        <v>335</v>
      </c>
    </row>
    <row r="770" spans="1:5">
      <c r="A770" s="18">
        <v>6092903705</v>
      </c>
      <c r="B770" t="s">
        <v>1290</v>
      </c>
      <c r="C770" t="s">
        <v>556</v>
      </c>
      <c r="D770" s="8">
        <v>10</v>
      </c>
      <c r="E770" s="8" t="s">
        <v>190</v>
      </c>
    </row>
    <row r="771" spans="1:5">
      <c r="A771" s="18">
        <v>6092903705</v>
      </c>
      <c r="B771" t="s">
        <v>1291</v>
      </c>
      <c r="C771" t="s">
        <v>556</v>
      </c>
      <c r="D771" s="8">
        <v>1</v>
      </c>
      <c r="E771" s="8" t="s">
        <v>172</v>
      </c>
    </row>
    <row r="772" spans="1:5">
      <c r="A772" s="18">
        <v>6092903705</v>
      </c>
      <c r="B772" t="s">
        <v>1292</v>
      </c>
      <c r="C772" t="s">
        <v>556</v>
      </c>
      <c r="D772" s="8">
        <v>10.5</v>
      </c>
      <c r="E772" s="8" t="s">
        <v>338</v>
      </c>
    </row>
    <row r="773" spans="1:5">
      <c r="A773" s="18">
        <v>6092903705</v>
      </c>
      <c r="B773" t="s">
        <v>1293</v>
      </c>
      <c r="C773" t="s">
        <v>556</v>
      </c>
      <c r="D773" s="8">
        <v>11</v>
      </c>
      <c r="E773" s="8" t="s">
        <v>340</v>
      </c>
    </row>
    <row r="774" spans="1:5">
      <c r="A774" s="18">
        <v>6092903705</v>
      </c>
      <c r="B774" t="s">
        <v>1294</v>
      </c>
      <c r="C774" t="s">
        <v>556</v>
      </c>
      <c r="D774" s="8">
        <v>11.5</v>
      </c>
      <c r="E774" s="8" t="s">
        <v>342</v>
      </c>
    </row>
    <row r="775" spans="1:5">
      <c r="A775" s="18">
        <v>6092903705</v>
      </c>
      <c r="B775" t="s">
        <v>1295</v>
      </c>
      <c r="C775" t="s">
        <v>556</v>
      </c>
      <c r="D775" s="8">
        <v>12</v>
      </c>
      <c r="E775" s="8" t="s">
        <v>344</v>
      </c>
    </row>
    <row r="776" spans="1:5">
      <c r="A776" s="18">
        <v>6092903705</v>
      </c>
      <c r="B776" t="s">
        <v>1296</v>
      </c>
      <c r="C776" t="s">
        <v>556</v>
      </c>
      <c r="D776" s="8">
        <v>1.5</v>
      </c>
      <c r="E776" s="8" t="s">
        <v>320</v>
      </c>
    </row>
    <row r="777" spans="1:5">
      <c r="A777" s="18">
        <v>6092903705</v>
      </c>
      <c r="B777" t="s">
        <v>1297</v>
      </c>
      <c r="C777" t="s">
        <v>556</v>
      </c>
      <c r="D777" s="8">
        <v>2</v>
      </c>
      <c r="E777" s="8" t="s">
        <v>174</v>
      </c>
    </row>
    <row r="778" spans="1:5">
      <c r="A778" s="18">
        <v>6092903705</v>
      </c>
      <c r="B778" t="s">
        <v>1298</v>
      </c>
      <c r="C778" t="s">
        <v>556</v>
      </c>
      <c r="D778" s="8">
        <v>2.5</v>
      </c>
      <c r="E778" s="8" t="s">
        <v>169</v>
      </c>
    </row>
    <row r="779" spans="1:5">
      <c r="A779" s="18">
        <v>6092903705</v>
      </c>
      <c r="B779" t="s">
        <v>1299</v>
      </c>
      <c r="C779" t="s">
        <v>556</v>
      </c>
      <c r="D779" s="8">
        <v>3</v>
      </c>
      <c r="E779" s="8" t="s">
        <v>176</v>
      </c>
    </row>
    <row r="780" spans="1:5">
      <c r="A780" s="18">
        <v>6092903705</v>
      </c>
      <c r="B780" t="s">
        <v>1300</v>
      </c>
      <c r="C780" t="s">
        <v>556</v>
      </c>
      <c r="D780" s="8">
        <v>3.5</v>
      </c>
      <c r="E780" s="8" t="s">
        <v>323</v>
      </c>
    </row>
    <row r="781" spans="1:5">
      <c r="A781" s="18">
        <v>6092903705</v>
      </c>
      <c r="B781" t="s">
        <v>1301</v>
      </c>
      <c r="C781" t="s">
        <v>556</v>
      </c>
      <c r="D781" s="8">
        <v>4</v>
      </c>
      <c r="E781" s="8" t="s">
        <v>178</v>
      </c>
    </row>
    <row r="782" spans="1:5">
      <c r="A782" s="18">
        <v>6092903705</v>
      </c>
      <c r="B782" t="s">
        <v>1302</v>
      </c>
      <c r="C782" t="s">
        <v>556</v>
      </c>
      <c r="D782" s="8">
        <v>4.5</v>
      </c>
      <c r="E782" s="8" t="s">
        <v>324</v>
      </c>
    </row>
    <row r="783" spans="1:5">
      <c r="A783" s="18">
        <v>6092903705</v>
      </c>
      <c r="B783" t="s">
        <v>1303</v>
      </c>
      <c r="C783" t="s">
        <v>556</v>
      </c>
      <c r="D783" s="8">
        <v>5</v>
      </c>
      <c r="E783" s="8" t="s">
        <v>180</v>
      </c>
    </row>
    <row r="784" spans="1:5">
      <c r="A784" s="18">
        <v>6092903705</v>
      </c>
      <c r="B784" t="s">
        <v>1304</v>
      </c>
      <c r="C784" t="s">
        <v>556</v>
      </c>
      <c r="D784" s="8">
        <v>5.5</v>
      </c>
      <c r="E784" s="8" t="s">
        <v>325</v>
      </c>
    </row>
    <row r="785" spans="1:5">
      <c r="A785" s="18">
        <v>6092903705</v>
      </c>
      <c r="B785" t="s">
        <v>1305</v>
      </c>
      <c r="C785" t="s">
        <v>556</v>
      </c>
      <c r="D785" s="8">
        <v>6</v>
      </c>
      <c r="E785" s="8" t="s">
        <v>182</v>
      </c>
    </row>
    <row r="786" spans="1:5">
      <c r="A786" s="18">
        <v>6092903705</v>
      </c>
      <c r="B786" t="s">
        <v>1306</v>
      </c>
      <c r="C786" t="s">
        <v>556</v>
      </c>
      <c r="D786" s="8">
        <v>6.5</v>
      </c>
      <c r="E786" s="8" t="s">
        <v>326</v>
      </c>
    </row>
    <row r="787" spans="1:5">
      <c r="A787" s="18">
        <v>6092903705</v>
      </c>
      <c r="B787" t="s">
        <v>1307</v>
      </c>
      <c r="C787" t="s">
        <v>556</v>
      </c>
      <c r="D787" s="8">
        <v>7</v>
      </c>
      <c r="E787" s="8" t="s">
        <v>184</v>
      </c>
    </row>
    <row r="788" spans="1:5">
      <c r="A788" s="18">
        <v>6092903705</v>
      </c>
      <c r="B788" t="s">
        <v>1308</v>
      </c>
      <c r="C788" t="s">
        <v>556</v>
      </c>
      <c r="D788" s="8">
        <v>7.5</v>
      </c>
      <c r="E788" s="8" t="s">
        <v>330</v>
      </c>
    </row>
    <row r="789" spans="1:5">
      <c r="A789" s="18">
        <v>6092903705</v>
      </c>
      <c r="B789" t="s">
        <v>1309</v>
      </c>
      <c r="C789" t="s">
        <v>556</v>
      </c>
      <c r="D789" s="8">
        <v>8</v>
      </c>
      <c r="E789" s="8" t="s">
        <v>186</v>
      </c>
    </row>
    <row r="790" spans="1:5">
      <c r="A790" s="18">
        <v>6092903705</v>
      </c>
      <c r="B790" t="s">
        <v>1310</v>
      </c>
      <c r="C790" t="s">
        <v>556</v>
      </c>
      <c r="D790" s="8">
        <v>8.5</v>
      </c>
      <c r="E790" s="8" t="s">
        <v>333</v>
      </c>
    </row>
    <row r="791" spans="1:5">
      <c r="A791" s="18">
        <v>6092903705</v>
      </c>
      <c r="B791" t="s">
        <v>1311</v>
      </c>
      <c r="C791" t="s">
        <v>556</v>
      </c>
      <c r="D791" s="8">
        <v>9</v>
      </c>
      <c r="E791" s="8" t="s">
        <v>188</v>
      </c>
    </row>
    <row r="792" spans="1:5">
      <c r="A792" s="18">
        <v>6092903705</v>
      </c>
      <c r="B792" t="s">
        <v>1312</v>
      </c>
      <c r="C792" t="s">
        <v>556</v>
      </c>
      <c r="D792" s="8">
        <v>9.5</v>
      </c>
      <c r="E792" s="8" t="s">
        <v>335</v>
      </c>
    </row>
    <row r="793" spans="1:5">
      <c r="A793" s="18">
        <v>6092903705</v>
      </c>
      <c r="B793" t="s">
        <v>1313</v>
      </c>
      <c r="C793" t="s">
        <v>422</v>
      </c>
      <c r="D793" s="8">
        <v>10</v>
      </c>
      <c r="E793" s="8" t="s">
        <v>190</v>
      </c>
    </row>
    <row r="794" spans="1:5">
      <c r="A794" s="18">
        <v>6092903705</v>
      </c>
      <c r="B794" t="s">
        <v>1314</v>
      </c>
      <c r="C794" t="s">
        <v>422</v>
      </c>
      <c r="D794" s="8">
        <v>1</v>
      </c>
      <c r="E794" s="8" t="s">
        <v>172</v>
      </c>
    </row>
    <row r="795" spans="1:5">
      <c r="A795" s="18">
        <v>6092903705</v>
      </c>
      <c r="B795" t="s">
        <v>1315</v>
      </c>
      <c r="C795" t="s">
        <v>422</v>
      </c>
      <c r="D795" s="8">
        <v>10.5</v>
      </c>
      <c r="E795" s="8" t="s">
        <v>338</v>
      </c>
    </row>
    <row r="796" spans="1:5">
      <c r="A796" s="18">
        <v>6092903705</v>
      </c>
      <c r="B796" t="s">
        <v>1316</v>
      </c>
      <c r="C796" t="s">
        <v>422</v>
      </c>
      <c r="D796" s="8">
        <v>11</v>
      </c>
      <c r="E796" s="8" t="s">
        <v>340</v>
      </c>
    </row>
    <row r="797" spans="1:5">
      <c r="A797" s="18">
        <v>6092903705</v>
      </c>
      <c r="B797" t="s">
        <v>1317</v>
      </c>
      <c r="C797" t="s">
        <v>422</v>
      </c>
      <c r="D797" s="8">
        <v>11.5</v>
      </c>
      <c r="E797" s="8" t="s">
        <v>342</v>
      </c>
    </row>
    <row r="798" spans="1:5">
      <c r="A798" s="18">
        <v>6092903705</v>
      </c>
      <c r="B798" t="s">
        <v>1318</v>
      </c>
      <c r="C798" t="s">
        <v>422</v>
      </c>
      <c r="D798" s="8">
        <v>12</v>
      </c>
      <c r="E798" s="8" t="s">
        <v>344</v>
      </c>
    </row>
    <row r="799" spans="1:5">
      <c r="A799" s="18">
        <v>6092903705</v>
      </c>
      <c r="B799" t="s">
        <v>1319</v>
      </c>
      <c r="C799" t="s">
        <v>422</v>
      </c>
      <c r="D799" s="8">
        <v>1.5</v>
      </c>
      <c r="E799" s="8" t="s">
        <v>320</v>
      </c>
    </row>
    <row r="800" spans="1:5">
      <c r="A800" s="18">
        <v>6092903705</v>
      </c>
      <c r="B800" t="s">
        <v>1320</v>
      </c>
      <c r="C800" t="s">
        <v>422</v>
      </c>
      <c r="D800" s="8">
        <v>2</v>
      </c>
      <c r="E800" s="8" t="s">
        <v>174</v>
      </c>
    </row>
    <row r="801" spans="1:5">
      <c r="A801" s="18">
        <v>6092903705</v>
      </c>
      <c r="B801" t="s">
        <v>1321</v>
      </c>
      <c r="C801" t="s">
        <v>422</v>
      </c>
      <c r="D801" s="8">
        <v>2.5</v>
      </c>
      <c r="E801" s="8" t="s">
        <v>169</v>
      </c>
    </row>
    <row r="802" spans="1:5">
      <c r="A802" s="18">
        <v>6092903705</v>
      </c>
      <c r="B802" t="s">
        <v>1322</v>
      </c>
      <c r="C802" t="s">
        <v>422</v>
      </c>
      <c r="D802" s="8">
        <v>3</v>
      </c>
      <c r="E802" s="8" t="s">
        <v>176</v>
      </c>
    </row>
    <row r="803" spans="1:5">
      <c r="A803" s="18">
        <v>6092903705</v>
      </c>
      <c r="B803" t="s">
        <v>1323</v>
      </c>
      <c r="C803" t="s">
        <v>422</v>
      </c>
      <c r="D803" s="8">
        <v>3.5</v>
      </c>
      <c r="E803" s="8" t="s">
        <v>323</v>
      </c>
    </row>
    <row r="804" spans="1:5">
      <c r="A804" s="18">
        <v>6092903705</v>
      </c>
      <c r="B804" t="s">
        <v>1324</v>
      </c>
      <c r="C804" t="s">
        <v>422</v>
      </c>
      <c r="D804" s="8">
        <v>4</v>
      </c>
      <c r="E804" s="8" t="s">
        <v>178</v>
      </c>
    </row>
    <row r="805" spans="1:5">
      <c r="A805" s="18">
        <v>6092903705</v>
      </c>
      <c r="B805" t="s">
        <v>1325</v>
      </c>
      <c r="C805" t="s">
        <v>422</v>
      </c>
      <c r="D805" s="8">
        <v>4.5</v>
      </c>
      <c r="E805" s="8" t="s">
        <v>324</v>
      </c>
    </row>
    <row r="806" spans="1:5">
      <c r="A806" s="18">
        <v>6092903705</v>
      </c>
      <c r="B806" t="s">
        <v>1326</v>
      </c>
      <c r="C806" t="s">
        <v>422</v>
      </c>
      <c r="D806" s="8">
        <v>5</v>
      </c>
      <c r="E806" s="8" t="s">
        <v>180</v>
      </c>
    </row>
    <row r="807" spans="1:5">
      <c r="A807" s="18">
        <v>6092903705</v>
      </c>
      <c r="B807" t="s">
        <v>1327</v>
      </c>
      <c r="C807" t="s">
        <v>422</v>
      </c>
      <c r="D807" s="8">
        <v>5.5</v>
      </c>
      <c r="E807" s="8" t="s">
        <v>325</v>
      </c>
    </row>
    <row r="808" spans="1:5">
      <c r="A808" s="18">
        <v>6092903705</v>
      </c>
      <c r="B808" t="s">
        <v>1328</v>
      </c>
      <c r="C808" t="s">
        <v>422</v>
      </c>
      <c r="D808" s="8">
        <v>6</v>
      </c>
      <c r="E808" s="8" t="s">
        <v>182</v>
      </c>
    </row>
    <row r="809" spans="1:5">
      <c r="A809" s="18">
        <v>6092903705</v>
      </c>
      <c r="B809" t="s">
        <v>1329</v>
      </c>
      <c r="C809" t="s">
        <v>422</v>
      </c>
      <c r="D809" s="8">
        <v>6.5</v>
      </c>
      <c r="E809" s="8" t="s">
        <v>326</v>
      </c>
    </row>
    <row r="810" spans="1:5">
      <c r="A810" s="18">
        <v>6092903705</v>
      </c>
      <c r="B810" t="s">
        <v>1330</v>
      </c>
      <c r="C810" t="s">
        <v>422</v>
      </c>
      <c r="D810" s="8">
        <v>7</v>
      </c>
      <c r="E810" s="8" t="s">
        <v>184</v>
      </c>
    </row>
    <row r="811" spans="1:5">
      <c r="A811" s="18">
        <v>6092903705</v>
      </c>
      <c r="B811" t="s">
        <v>1331</v>
      </c>
      <c r="C811" t="s">
        <v>422</v>
      </c>
      <c r="D811" s="8">
        <v>7.5</v>
      </c>
      <c r="E811" s="8" t="s">
        <v>330</v>
      </c>
    </row>
    <row r="812" spans="1:5">
      <c r="A812" s="18">
        <v>6092903705</v>
      </c>
      <c r="B812" t="s">
        <v>1332</v>
      </c>
      <c r="C812" t="s">
        <v>422</v>
      </c>
      <c r="D812" s="8">
        <v>8</v>
      </c>
      <c r="E812" s="8" t="s">
        <v>186</v>
      </c>
    </row>
    <row r="813" spans="1:5">
      <c r="A813" s="18">
        <v>6092903705</v>
      </c>
      <c r="B813" t="s">
        <v>1333</v>
      </c>
      <c r="C813" t="s">
        <v>422</v>
      </c>
      <c r="D813" s="8">
        <v>8.5</v>
      </c>
      <c r="E813" s="8" t="s">
        <v>333</v>
      </c>
    </row>
    <row r="814" spans="1:5">
      <c r="A814" s="18">
        <v>6092903705</v>
      </c>
      <c r="B814" t="s">
        <v>1334</v>
      </c>
      <c r="C814" t="s">
        <v>422</v>
      </c>
      <c r="D814" s="8">
        <v>9</v>
      </c>
      <c r="E814" s="8" t="s">
        <v>188</v>
      </c>
    </row>
    <row r="815" spans="1:5">
      <c r="A815" s="18">
        <v>6092903705</v>
      </c>
      <c r="B815" t="s">
        <v>1335</v>
      </c>
      <c r="C815" t="s">
        <v>422</v>
      </c>
      <c r="D815" s="8">
        <v>9.5</v>
      </c>
      <c r="E815" s="8" t="s">
        <v>335</v>
      </c>
    </row>
    <row r="816" spans="1:5">
      <c r="A816" s="18">
        <v>6092903705</v>
      </c>
      <c r="B816" t="s">
        <v>1336</v>
      </c>
      <c r="C816" t="s">
        <v>353</v>
      </c>
      <c r="D816" s="8">
        <v>10</v>
      </c>
      <c r="E816" s="8" t="s">
        <v>190</v>
      </c>
    </row>
    <row r="817" spans="1:5">
      <c r="A817" s="18">
        <v>6092903705</v>
      </c>
      <c r="B817" t="s">
        <v>1337</v>
      </c>
      <c r="C817" t="s">
        <v>353</v>
      </c>
      <c r="D817" s="8">
        <v>1</v>
      </c>
      <c r="E817" s="8" t="s">
        <v>172</v>
      </c>
    </row>
    <row r="818" spans="1:5">
      <c r="A818" s="18">
        <v>6092903705</v>
      </c>
      <c r="B818" t="s">
        <v>1338</v>
      </c>
      <c r="C818" t="s">
        <v>353</v>
      </c>
      <c r="D818" s="8">
        <v>10.5</v>
      </c>
      <c r="E818" s="8" t="s">
        <v>338</v>
      </c>
    </row>
    <row r="819" spans="1:5">
      <c r="A819" s="18">
        <v>6092903705</v>
      </c>
      <c r="B819" t="s">
        <v>1339</v>
      </c>
      <c r="C819" t="s">
        <v>353</v>
      </c>
      <c r="D819" s="8">
        <v>11</v>
      </c>
      <c r="E819" s="8" t="s">
        <v>340</v>
      </c>
    </row>
    <row r="820" spans="1:5">
      <c r="A820" s="18">
        <v>6092903705</v>
      </c>
      <c r="B820" t="s">
        <v>1340</v>
      </c>
      <c r="C820" t="s">
        <v>353</v>
      </c>
      <c r="D820" s="8">
        <v>11.5</v>
      </c>
      <c r="E820" s="8" t="s">
        <v>342</v>
      </c>
    </row>
    <row r="821" spans="1:5">
      <c r="A821" s="18">
        <v>6092903705</v>
      </c>
      <c r="B821" t="s">
        <v>1341</v>
      </c>
      <c r="C821" t="s">
        <v>353</v>
      </c>
      <c r="D821" s="8">
        <v>12</v>
      </c>
      <c r="E821" s="8" t="s">
        <v>344</v>
      </c>
    </row>
    <row r="822" spans="1:5">
      <c r="A822" s="18">
        <v>6092903705</v>
      </c>
      <c r="B822" t="s">
        <v>1342</v>
      </c>
      <c r="C822" t="s">
        <v>353</v>
      </c>
      <c r="D822" s="8">
        <v>1.5</v>
      </c>
      <c r="E822" s="8" t="s">
        <v>320</v>
      </c>
    </row>
    <row r="823" spans="1:5">
      <c r="A823" s="18">
        <v>6092903705</v>
      </c>
      <c r="B823" t="s">
        <v>1343</v>
      </c>
      <c r="C823" t="s">
        <v>353</v>
      </c>
      <c r="D823" s="8">
        <v>2</v>
      </c>
      <c r="E823" s="8" t="s">
        <v>174</v>
      </c>
    </row>
    <row r="824" spans="1:5">
      <c r="A824" s="18">
        <v>6092903705</v>
      </c>
      <c r="B824" t="s">
        <v>1344</v>
      </c>
      <c r="C824" t="s">
        <v>353</v>
      </c>
      <c r="D824" s="8">
        <v>2.5</v>
      </c>
      <c r="E824" s="8" t="s">
        <v>169</v>
      </c>
    </row>
    <row r="825" spans="1:5">
      <c r="A825" s="18">
        <v>6092903705</v>
      </c>
      <c r="B825" t="s">
        <v>1345</v>
      </c>
      <c r="C825" t="s">
        <v>353</v>
      </c>
      <c r="D825" s="8">
        <v>3</v>
      </c>
      <c r="E825" s="8" t="s">
        <v>176</v>
      </c>
    </row>
    <row r="826" spans="1:5">
      <c r="A826" s="18">
        <v>6092903705</v>
      </c>
      <c r="B826" t="s">
        <v>1346</v>
      </c>
      <c r="C826" t="s">
        <v>353</v>
      </c>
      <c r="D826" s="8">
        <v>3.5</v>
      </c>
      <c r="E826" s="8" t="s">
        <v>323</v>
      </c>
    </row>
    <row r="827" spans="1:5">
      <c r="A827" s="18">
        <v>6092903705</v>
      </c>
      <c r="B827" t="s">
        <v>1347</v>
      </c>
      <c r="C827" t="s">
        <v>353</v>
      </c>
      <c r="D827" s="8">
        <v>4</v>
      </c>
      <c r="E827" s="8" t="s">
        <v>178</v>
      </c>
    </row>
    <row r="828" spans="1:5">
      <c r="A828" s="18">
        <v>6092903705</v>
      </c>
      <c r="B828" t="s">
        <v>1348</v>
      </c>
      <c r="C828" t="s">
        <v>353</v>
      </c>
      <c r="D828" s="8">
        <v>4.5</v>
      </c>
      <c r="E828" s="8" t="s">
        <v>324</v>
      </c>
    </row>
    <row r="829" spans="1:5">
      <c r="A829" s="18">
        <v>6092903705</v>
      </c>
      <c r="B829" t="s">
        <v>1349</v>
      </c>
      <c r="C829" t="s">
        <v>353</v>
      </c>
      <c r="D829" s="8">
        <v>5</v>
      </c>
      <c r="E829" s="8" t="s">
        <v>180</v>
      </c>
    </row>
    <row r="830" spans="1:5">
      <c r="A830" s="18">
        <v>6092903705</v>
      </c>
      <c r="B830" t="s">
        <v>1350</v>
      </c>
      <c r="C830" t="s">
        <v>353</v>
      </c>
      <c r="D830" s="8">
        <v>5.5</v>
      </c>
      <c r="E830" s="8" t="s">
        <v>325</v>
      </c>
    </row>
    <row r="831" spans="1:5">
      <c r="A831" s="18">
        <v>6092903705</v>
      </c>
      <c r="B831" t="s">
        <v>1351</v>
      </c>
      <c r="C831" t="s">
        <v>353</v>
      </c>
      <c r="D831" s="8">
        <v>6</v>
      </c>
      <c r="E831" s="8" t="s">
        <v>182</v>
      </c>
    </row>
    <row r="832" spans="1:5">
      <c r="A832" s="18">
        <v>6092903705</v>
      </c>
      <c r="B832" t="s">
        <v>1352</v>
      </c>
      <c r="C832" t="s">
        <v>353</v>
      </c>
      <c r="D832" s="8">
        <v>6.5</v>
      </c>
      <c r="E832" s="8" t="s">
        <v>326</v>
      </c>
    </row>
    <row r="833" spans="1:5">
      <c r="A833" s="18">
        <v>6092903705</v>
      </c>
      <c r="B833" t="s">
        <v>1353</v>
      </c>
      <c r="C833" t="s">
        <v>353</v>
      </c>
      <c r="D833" s="8">
        <v>7</v>
      </c>
      <c r="E833" s="8" t="s">
        <v>184</v>
      </c>
    </row>
    <row r="834" spans="1:5">
      <c r="A834" s="18">
        <v>6092903705</v>
      </c>
      <c r="B834" t="s">
        <v>1354</v>
      </c>
      <c r="C834" t="s">
        <v>353</v>
      </c>
      <c r="D834" s="8">
        <v>7.5</v>
      </c>
      <c r="E834" s="8" t="s">
        <v>330</v>
      </c>
    </row>
    <row r="835" spans="1:5">
      <c r="A835" s="18">
        <v>6092903705</v>
      </c>
      <c r="B835" t="s">
        <v>1355</v>
      </c>
      <c r="C835" t="s">
        <v>353</v>
      </c>
      <c r="D835" s="8">
        <v>8</v>
      </c>
      <c r="E835" s="8" t="s">
        <v>186</v>
      </c>
    </row>
    <row r="836" spans="1:5">
      <c r="A836" s="18">
        <v>6092903705</v>
      </c>
      <c r="B836" t="s">
        <v>1356</v>
      </c>
      <c r="C836" t="s">
        <v>353</v>
      </c>
      <c r="D836" s="8">
        <v>8.5</v>
      </c>
      <c r="E836" s="8" t="s">
        <v>333</v>
      </c>
    </row>
    <row r="837" spans="1:5">
      <c r="A837" s="18">
        <v>6092903705</v>
      </c>
      <c r="B837" t="s">
        <v>1357</v>
      </c>
      <c r="C837" t="s">
        <v>353</v>
      </c>
      <c r="D837" s="8">
        <v>9</v>
      </c>
      <c r="E837" s="8" t="s">
        <v>188</v>
      </c>
    </row>
    <row r="838" spans="1:5">
      <c r="A838" s="18">
        <v>6092903705</v>
      </c>
      <c r="B838" t="s">
        <v>1358</v>
      </c>
      <c r="C838" t="s">
        <v>353</v>
      </c>
      <c r="D838" s="8">
        <v>9.5</v>
      </c>
      <c r="E838" s="8" t="s">
        <v>335</v>
      </c>
    </row>
    <row r="839" spans="1:5">
      <c r="A839" s="18">
        <v>6092903705</v>
      </c>
      <c r="B839" t="s">
        <v>1359</v>
      </c>
      <c r="C839" t="s">
        <v>557</v>
      </c>
      <c r="D839" s="8">
        <v>10</v>
      </c>
      <c r="E839" s="8" t="s">
        <v>190</v>
      </c>
    </row>
    <row r="840" spans="1:5">
      <c r="A840" s="18">
        <v>6092903705</v>
      </c>
      <c r="B840" t="s">
        <v>1360</v>
      </c>
      <c r="C840" t="s">
        <v>557</v>
      </c>
      <c r="D840" s="8">
        <v>1</v>
      </c>
      <c r="E840" s="8" t="s">
        <v>172</v>
      </c>
    </row>
    <row r="841" spans="1:5">
      <c r="A841" s="18">
        <v>6092903705</v>
      </c>
      <c r="B841" t="s">
        <v>1361</v>
      </c>
      <c r="C841" t="s">
        <v>557</v>
      </c>
      <c r="D841" s="8">
        <v>10.5</v>
      </c>
      <c r="E841" s="8" t="s">
        <v>338</v>
      </c>
    </row>
    <row r="842" spans="1:5">
      <c r="A842" s="18">
        <v>6092903705</v>
      </c>
      <c r="B842" t="s">
        <v>1362</v>
      </c>
      <c r="C842" t="s">
        <v>557</v>
      </c>
      <c r="D842" s="8">
        <v>11</v>
      </c>
      <c r="E842" s="8" t="s">
        <v>340</v>
      </c>
    </row>
    <row r="843" spans="1:5">
      <c r="A843" s="18">
        <v>6092903705</v>
      </c>
      <c r="B843" t="s">
        <v>1363</v>
      </c>
      <c r="C843" t="s">
        <v>557</v>
      </c>
      <c r="D843" s="8">
        <v>11.5</v>
      </c>
      <c r="E843" s="8" t="s">
        <v>342</v>
      </c>
    </row>
    <row r="844" spans="1:5">
      <c r="A844" s="18">
        <v>6092903705</v>
      </c>
      <c r="B844" t="s">
        <v>1364</v>
      </c>
      <c r="C844" t="s">
        <v>557</v>
      </c>
      <c r="D844" s="8">
        <v>12</v>
      </c>
      <c r="E844" s="8" t="s">
        <v>344</v>
      </c>
    </row>
    <row r="845" spans="1:5">
      <c r="A845" s="18">
        <v>6092903705</v>
      </c>
      <c r="B845" t="s">
        <v>1365</v>
      </c>
      <c r="C845" t="s">
        <v>557</v>
      </c>
      <c r="D845" s="8">
        <v>1.5</v>
      </c>
      <c r="E845" s="8" t="s">
        <v>320</v>
      </c>
    </row>
    <row r="846" spans="1:5">
      <c r="A846" s="18">
        <v>6092903705</v>
      </c>
      <c r="B846" t="s">
        <v>1366</v>
      </c>
      <c r="C846" t="s">
        <v>557</v>
      </c>
      <c r="D846" s="8">
        <v>2</v>
      </c>
      <c r="E846" s="8" t="s">
        <v>174</v>
      </c>
    </row>
    <row r="847" spans="1:5">
      <c r="A847" s="18">
        <v>6092903705</v>
      </c>
      <c r="B847" t="s">
        <v>1367</v>
      </c>
      <c r="C847" t="s">
        <v>557</v>
      </c>
      <c r="D847" s="8">
        <v>2.5</v>
      </c>
      <c r="E847" s="8" t="s">
        <v>169</v>
      </c>
    </row>
    <row r="848" spans="1:5">
      <c r="A848" s="18">
        <v>6092903705</v>
      </c>
      <c r="B848" t="s">
        <v>1368</v>
      </c>
      <c r="C848" t="s">
        <v>557</v>
      </c>
      <c r="D848" s="8">
        <v>3</v>
      </c>
      <c r="E848" s="8" t="s">
        <v>176</v>
      </c>
    </row>
    <row r="849" spans="1:5">
      <c r="A849" s="18">
        <v>6092903705</v>
      </c>
      <c r="B849" t="s">
        <v>1369</v>
      </c>
      <c r="C849" t="s">
        <v>557</v>
      </c>
      <c r="D849" s="8">
        <v>3.5</v>
      </c>
      <c r="E849" s="8" t="s">
        <v>323</v>
      </c>
    </row>
    <row r="850" spans="1:5">
      <c r="A850" s="18">
        <v>6092903705</v>
      </c>
      <c r="B850" t="s">
        <v>1370</v>
      </c>
      <c r="C850" t="s">
        <v>557</v>
      </c>
      <c r="D850" s="8">
        <v>4</v>
      </c>
      <c r="E850" s="8" t="s">
        <v>178</v>
      </c>
    </row>
    <row r="851" spans="1:5">
      <c r="A851" s="18">
        <v>6092903705</v>
      </c>
      <c r="B851" t="s">
        <v>1371</v>
      </c>
      <c r="C851" t="s">
        <v>557</v>
      </c>
      <c r="D851" s="8">
        <v>4.5</v>
      </c>
      <c r="E851" s="8" t="s">
        <v>324</v>
      </c>
    </row>
    <row r="852" spans="1:5">
      <c r="A852" s="18">
        <v>6092903705</v>
      </c>
      <c r="B852" t="s">
        <v>1372</v>
      </c>
      <c r="C852" t="s">
        <v>557</v>
      </c>
      <c r="D852" s="8">
        <v>5</v>
      </c>
      <c r="E852" s="8" t="s">
        <v>180</v>
      </c>
    </row>
    <row r="853" spans="1:5">
      <c r="A853" s="18">
        <v>6092903705</v>
      </c>
      <c r="B853" t="s">
        <v>1373</v>
      </c>
      <c r="C853" t="s">
        <v>557</v>
      </c>
      <c r="D853" s="8">
        <v>5.5</v>
      </c>
      <c r="E853" s="8" t="s">
        <v>325</v>
      </c>
    </row>
    <row r="854" spans="1:5">
      <c r="A854" s="18">
        <v>6092903705</v>
      </c>
      <c r="B854" t="s">
        <v>1374</v>
      </c>
      <c r="C854" t="s">
        <v>557</v>
      </c>
      <c r="D854" s="8">
        <v>6</v>
      </c>
      <c r="E854" s="8" t="s">
        <v>182</v>
      </c>
    </row>
    <row r="855" spans="1:5">
      <c r="A855" s="18">
        <v>6092903705</v>
      </c>
      <c r="B855" t="s">
        <v>1375</v>
      </c>
      <c r="C855" t="s">
        <v>557</v>
      </c>
      <c r="D855" s="8">
        <v>6.5</v>
      </c>
      <c r="E855" s="8" t="s">
        <v>326</v>
      </c>
    </row>
    <row r="856" spans="1:5">
      <c r="A856" s="18">
        <v>6092903705</v>
      </c>
      <c r="B856" t="s">
        <v>1376</v>
      </c>
      <c r="C856" t="s">
        <v>557</v>
      </c>
      <c r="D856" s="8">
        <v>7</v>
      </c>
      <c r="E856" s="8" t="s">
        <v>184</v>
      </c>
    </row>
    <row r="857" spans="1:5">
      <c r="A857" s="18">
        <v>6092903705</v>
      </c>
      <c r="B857" t="s">
        <v>1377</v>
      </c>
      <c r="C857" t="s">
        <v>557</v>
      </c>
      <c r="D857" s="8">
        <v>7.5</v>
      </c>
      <c r="E857" s="8" t="s">
        <v>330</v>
      </c>
    </row>
    <row r="858" spans="1:5">
      <c r="A858" s="18">
        <v>6092903705</v>
      </c>
      <c r="B858" t="s">
        <v>1378</v>
      </c>
      <c r="C858" t="s">
        <v>557</v>
      </c>
      <c r="D858" s="8">
        <v>8</v>
      </c>
      <c r="E858" s="8" t="s">
        <v>186</v>
      </c>
    </row>
    <row r="859" spans="1:5">
      <c r="A859" s="18">
        <v>6092903705</v>
      </c>
      <c r="B859" t="s">
        <v>1379</v>
      </c>
      <c r="C859" t="s">
        <v>557</v>
      </c>
      <c r="D859" s="8">
        <v>8.5</v>
      </c>
      <c r="E859" s="8" t="s">
        <v>333</v>
      </c>
    </row>
    <row r="860" spans="1:5">
      <c r="A860" s="18">
        <v>6092903705</v>
      </c>
      <c r="B860" t="s">
        <v>1380</v>
      </c>
      <c r="C860" t="s">
        <v>557</v>
      </c>
      <c r="D860" s="8">
        <v>9</v>
      </c>
      <c r="E860" s="8" t="s">
        <v>188</v>
      </c>
    </row>
    <row r="861" spans="1:5">
      <c r="A861" s="18">
        <v>6092903705</v>
      </c>
      <c r="B861" t="s">
        <v>1381</v>
      </c>
      <c r="C861" t="s">
        <v>557</v>
      </c>
      <c r="D861" s="8">
        <v>9.5</v>
      </c>
      <c r="E861" s="8" t="s">
        <v>335</v>
      </c>
    </row>
    <row r="862" spans="1:5">
      <c r="A862" s="18">
        <v>6092903705</v>
      </c>
      <c r="B862" t="s">
        <v>1382</v>
      </c>
      <c r="C862" t="s">
        <v>231</v>
      </c>
      <c r="D862" s="8">
        <v>0.5</v>
      </c>
      <c r="E862" s="8" t="s">
        <v>70</v>
      </c>
    </row>
    <row r="863" spans="1:5">
      <c r="A863" s="18">
        <v>6092903705</v>
      </c>
      <c r="B863" t="s">
        <v>1383</v>
      </c>
      <c r="C863" t="s">
        <v>533</v>
      </c>
      <c r="D863" s="8">
        <v>0.5</v>
      </c>
      <c r="E863" s="8" t="s">
        <v>70</v>
      </c>
    </row>
    <row r="864" spans="1:5">
      <c r="A864" s="18">
        <v>6092903705</v>
      </c>
      <c r="B864" t="s">
        <v>1384</v>
      </c>
      <c r="C864" t="s">
        <v>232</v>
      </c>
      <c r="D864" s="8">
        <v>0.5</v>
      </c>
      <c r="E864" s="8" t="s">
        <v>70</v>
      </c>
    </row>
    <row r="865" spans="1:5">
      <c r="A865" s="18">
        <v>6092903705</v>
      </c>
      <c r="B865" t="s">
        <v>1385</v>
      </c>
      <c r="C865" t="s">
        <v>233</v>
      </c>
      <c r="D865" s="8">
        <v>0.5</v>
      </c>
      <c r="E865" s="8" t="s">
        <v>70</v>
      </c>
    </row>
    <row r="866" spans="1:5">
      <c r="A866" s="18">
        <v>6092903705</v>
      </c>
      <c r="B866" t="s">
        <v>1386</v>
      </c>
      <c r="C866" t="s">
        <v>555</v>
      </c>
      <c r="D866" s="8">
        <v>0.5</v>
      </c>
      <c r="E866" s="8" t="s">
        <v>70</v>
      </c>
    </row>
    <row r="867" spans="1:5">
      <c r="A867" s="18">
        <v>6092903705</v>
      </c>
      <c r="B867" t="s">
        <v>1387</v>
      </c>
      <c r="C867" t="s">
        <v>234</v>
      </c>
      <c r="D867" s="8">
        <v>0.5</v>
      </c>
      <c r="E867" s="8" t="s">
        <v>70</v>
      </c>
    </row>
    <row r="868" spans="1:5">
      <c r="A868" s="18">
        <v>6092903705</v>
      </c>
      <c r="B868" t="s">
        <v>1388</v>
      </c>
      <c r="C868" t="s">
        <v>235</v>
      </c>
      <c r="D868" s="8">
        <v>0.5</v>
      </c>
      <c r="E868" s="8" t="s">
        <v>70</v>
      </c>
    </row>
    <row r="869" spans="1:5">
      <c r="A869" s="18">
        <v>6092903705</v>
      </c>
      <c r="B869" t="s">
        <v>1389</v>
      </c>
      <c r="C869" t="s">
        <v>558</v>
      </c>
      <c r="D869" s="8">
        <v>0.5</v>
      </c>
      <c r="E869" s="8" t="s">
        <v>70</v>
      </c>
    </row>
    <row r="870" spans="1:5">
      <c r="A870" s="18">
        <v>6092903705</v>
      </c>
      <c r="B870" t="s">
        <v>1390</v>
      </c>
      <c r="C870" t="s">
        <v>236</v>
      </c>
      <c r="D870" s="8">
        <v>0.5</v>
      </c>
      <c r="E870" s="8" t="s">
        <v>70</v>
      </c>
    </row>
    <row r="871" spans="1:5">
      <c r="A871" s="18">
        <v>6092903705</v>
      </c>
      <c r="B871" t="s">
        <v>608</v>
      </c>
      <c r="C871" t="s">
        <v>224</v>
      </c>
      <c r="D871" s="8">
        <v>10</v>
      </c>
      <c r="E871" s="8" t="s">
        <v>337</v>
      </c>
    </row>
    <row r="872" spans="1:5">
      <c r="A872" s="18">
        <v>6092903705</v>
      </c>
      <c r="B872" t="s">
        <v>609</v>
      </c>
      <c r="C872" t="s">
        <v>224</v>
      </c>
      <c r="D872" s="8">
        <v>1</v>
      </c>
      <c r="E872" s="8" t="s">
        <v>319</v>
      </c>
    </row>
    <row r="873" spans="1:5">
      <c r="A873" s="18">
        <v>6092903705</v>
      </c>
      <c r="B873" t="s">
        <v>610</v>
      </c>
      <c r="C873" t="s">
        <v>224</v>
      </c>
      <c r="D873" s="8">
        <v>10.5</v>
      </c>
      <c r="E873" s="8" t="s">
        <v>339</v>
      </c>
    </row>
    <row r="874" spans="1:5">
      <c r="A874" s="18">
        <v>6092903705</v>
      </c>
      <c r="B874" t="s">
        <v>611</v>
      </c>
      <c r="C874" t="s">
        <v>224</v>
      </c>
      <c r="D874" s="8">
        <v>11</v>
      </c>
      <c r="E874" s="8" t="s">
        <v>341</v>
      </c>
    </row>
    <row r="875" spans="1:5">
      <c r="A875" s="18">
        <v>6092903705</v>
      </c>
      <c r="B875" t="s">
        <v>612</v>
      </c>
      <c r="C875" t="s">
        <v>224</v>
      </c>
      <c r="D875" s="8">
        <v>11.5</v>
      </c>
      <c r="E875" s="8" t="s">
        <v>343</v>
      </c>
    </row>
    <row r="876" spans="1:5">
      <c r="A876" s="18">
        <v>6092903705</v>
      </c>
      <c r="B876" t="s">
        <v>613</v>
      </c>
      <c r="C876" t="s">
        <v>224</v>
      </c>
      <c r="D876" s="8">
        <v>12</v>
      </c>
      <c r="E876" s="8" t="s">
        <v>345</v>
      </c>
    </row>
    <row r="877" spans="1:5">
      <c r="A877" s="18">
        <v>6092903705</v>
      </c>
      <c r="B877" t="s">
        <v>614</v>
      </c>
      <c r="C877" t="s">
        <v>224</v>
      </c>
      <c r="D877" s="8">
        <v>1.5</v>
      </c>
      <c r="E877" s="8" t="s">
        <v>321</v>
      </c>
    </row>
    <row r="878" spans="1:5">
      <c r="A878" s="18">
        <v>6092903705</v>
      </c>
      <c r="B878" t="s">
        <v>615</v>
      </c>
      <c r="C878" t="s">
        <v>224</v>
      </c>
      <c r="D878" s="8">
        <v>2</v>
      </c>
      <c r="E878" s="8" t="s">
        <v>313</v>
      </c>
    </row>
    <row r="879" spans="1:5">
      <c r="A879" s="18">
        <v>6092903705</v>
      </c>
      <c r="B879" t="s">
        <v>616</v>
      </c>
      <c r="C879" t="s">
        <v>224</v>
      </c>
      <c r="D879" s="8">
        <v>2.5</v>
      </c>
      <c r="E879" s="8" t="s">
        <v>311</v>
      </c>
    </row>
    <row r="880" spans="1:5">
      <c r="A880" s="18">
        <v>6092903705</v>
      </c>
      <c r="B880" t="s">
        <v>617</v>
      </c>
      <c r="C880" t="s">
        <v>224</v>
      </c>
      <c r="D880" s="8">
        <v>3</v>
      </c>
      <c r="E880" s="8" t="s">
        <v>322</v>
      </c>
    </row>
    <row r="881" spans="1:5">
      <c r="A881" s="18">
        <v>6092903705</v>
      </c>
      <c r="B881" t="s">
        <v>618</v>
      </c>
      <c r="C881" t="s">
        <v>224</v>
      </c>
      <c r="D881" s="8">
        <v>3.5</v>
      </c>
      <c r="E881" s="8" t="s">
        <v>310</v>
      </c>
    </row>
    <row r="882" spans="1:5">
      <c r="A882" s="18">
        <v>6092903705</v>
      </c>
      <c r="B882" t="s">
        <v>619</v>
      </c>
      <c r="C882" t="s">
        <v>224</v>
      </c>
      <c r="D882" s="8">
        <v>4</v>
      </c>
      <c r="E882" s="8" t="s">
        <v>309</v>
      </c>
    </row>
    <row r="883" spans="1:5">
      <c r="A883" s="18">
        <v>6092903705</v>
      </c>
      <c r="B883" t="s">
        <v>620</v>
      </c>
      <c r="C883" t="s">
        <v>224</v>
      </c>
      <c r="D883" s="8">
        <v>4.5</v>
      </c>
      <c r="E883" s="8" t="s">
        <v>316</v>
      </c>
    </row>
    <row r="884" spans="1:5">
      <c r="A884" s="18">
        <v>6092903705</v>
      </c>
      <c r="B884" t="s">
        <v>621</v>
      </c>
      <c r="C884" t="s">
        <v>224</v>
      </c>
      <c r="D884" s="8">
        <v>5</v>
      </c>
      <c r="E884" s="8" t="s">
        <v>314</v>
      </c>
    </row>
    <row r="885" spans="1:5">
      <c r="A885" s="18">
        <v>6092903705</v>
      </c>
      <c r="B885" t="s">
        <v>622</v>
      </c>
      <c r="C885" t="s">
        <v>224</v>
      </c>
      <c r="D885" s="8">
        <v>5.5</v>
      </c>
      <c r="E885" s="8" t="s">
        <v>315</v>
      </c>
    </row>
    <row r="886" spans="1:5">
      <c r="A886" s="18">
        <v>6092903705</v>
      </c>
      <c r="B886" t="s">
        <v>623</v>
      </c>
      <c r="C886" t="s">
        <v>224</v>
      </c>
      <c r="D886" s="8">
        <v>6</v>
      </c>
      <c r="E886" s="8" t="s">
        <v>332</v>
      </c>
    </row>
    <row r="887" spans="1:5">
      <c r="A887" s="18">
        <v>6092903705</v>
      </c>
      <c r="B887" t="s">
        <v>624</v>
      </c>
      <c r="C887" t="s">
        <v>224</v>
      </c>
      <c r="D887" s="8">
        <v>6.5</v>
      </c>
      <c r="E887" s="8" t="s">
        <v>327</v>
      </c>
    </row>
    <row r="888" spans="1:5">
      <c r="A888" s="18">
        <v>6092903705</v>
      </c>
      <c r="B888" t="s">
        <v>625</v>
      </c>
      <c r="C888" t="s">
        <v>224</v>
      </c>
      <c r="D888" s="8">
        <v>7</v>
      </c>
      <c r="E888" s="8" t="s">
        <v>328</v>
      </c>
    </row>
    <row r="889" spans="1:5">
      <c r="A889" s="18">
        <v>6092903705</v>
      </c>
      <c r="B889" t="s">
        <v>626</v>
      </c>
      <c r="C889" t="s">
        <v>224</v>
      </c>
      <c r="D889" s="8">
        <v>7.5</v>
      </c>
      <c r="E889" s="8" t="s">
        <v>331</v>
      </c>
    </row>
    <row r="890" spans="1:5">
      <c r="A890" s="18">
        <v>6092903705</v>
      </c>
      <c r="B890" t="s">
        <v>627</v>
      </c>
      <c r="C890" t="s">
        <v>224</v>
      </c>
      <c r="D890" s="8">
        <v>8</v>
      </c>
      <c r="E890" s="8" t="s">
        <v>329</v>
      </c>
    </row>
    <row r="891" spans="1:5">
      <c r="A891" s="18">
        <v>6092903705</v>
      </c>
      <c r="B891" t="s">
        <v>628</v>
      </c>
      <c r="C891" t="s">
        <v>224</v>
      </c>
      <c r="D891" s="8">
        <v>8.5</v>
      </c>
      <c r="E891" s="8" t="s">
        <v>334</v>
      </c>
    </row>
    <row r="892" spans="1:5">
      <c r="A892" s="18">
        <v>6092903705</v>
      </c>
      <c r="B892" t="s">
        <v>629</v>
      </c>
      <c r="C892" t="s">
        <v>224</v>
      </c>
      <c r="D892" s="8">
        <v>9</v>
      </c>
      <c r="E892" s="8" t="s">
        <v>312</v>
      </c>
    </row>
    <row r="893" spans="1:5">
      <c r="A893" s="18">
        <v>6092903705</v>
      </c>
      <c r="B893" t="s">
        <v>630</v>
      </c>
      <c r="C893" t="s">
        <v>224</v>
      </c>
      <c r="D893" s="8">
        <v>9.5</v>
      </c>
      <c r="E893" s="8" t="s">
        <v>336</v>
      </c>
    </row>
    <row r="894" spans="1:5">
      <c r="A894" s="18">
        <v>6092903705</v>
      </c>
      <c r="B894" t="s">
        <v>631</v>
      </c>
      <c r="C894" t="s">
        <v>559</v>
      </c>
      <c r="D894" s="8">
        <v>10</v>
      </c>
      <c r="E894" s="8" t="s">
        <v>190</v>
      </c>
    </row>
    <row r="895" spans="1:5">
      <c r="A895" s="18">
        <v>6092903705</v>
      </c>
      <c r="B895" t="s">
        <v>632</v>
      </c>
      <c r="C895" t="s">
        <v>559</v>
      </c>
      <c r="D895" s="8">
        <v>1</v>
      </c>
      <c r="E895" s="8" t="s">
        <v>172</v>
      </c>
    </row>
    <row r="896" spans="1:5">
      <c r="A896" s="18">
        <v>6092903705</v>
      </c>
      <c r="B896" t="s">
        <v>633</v>
      </c>
      <c r="C896" t="s">
        <v>559</v>
      </c>
      <c r="D896" s="8">
        <v>10.5</v>
      </c>
      <c r="E896" s="8" t="s">
        <v>338</v>
      </c>
    </row>
    <row r="897" spans="1:5">
      <c r="A897" s="18">
        <v>6092903705</v>
      </c>
      <c r="B897" t="s">
        <v>634</v>
      </c>
      <c r="C897" t="s">
        <v>559</v>
      </c>
      <c r="D897" s="8">
        <v>11</v>
      </c>
      <c r="E897" s="8" t="s">
        <v>340</v>
      </c>
    </row>
    <row r="898" spans="1:5">
      <c r="A898" s="18">
        <v>6092903705</v>
      </c>
      <c r="B898" t="s">
        <v>635</v>
      </c>
      <c r="C898" t="s">
        <v>559</v>
      </c>
      <c r="D898" s="8">
        <v>11.5</v>
      </c>
      <c r="E898" s="8" t="s">
        <v>342</v>
      </c>
    </row>
    <row r="899" spans="1:5">
      <c r="A899" s="18">
        <v>6092903705</v>
      </c>
      <c r="B899" t="s">
        <v>636</v>
      </c>
      <c r="C899" t="s">
        <v>559</v>
      </c>
      <c r="D899" s="8">
        <v>12</v>
      </c>
      <c r="E899" s="8" t="s">
        <v>344</v>
      </c>
    </row>
    <row r="900" spans="1:5">
      <c r="A900" s="18">
        <v>6092903705</v>
      </c>
      <c r="B900" t="s">
        <v>637</v>
      </c>
      <c r="C900" t="s">
        <v>559</v>
      </c>
      <c r="D900" s="8">
        <v>1.5</v>
      </c>
      <c r="E900" s="8" t="s">
        <v>320</v>
      </c>
    </row>
    <row r="901" spans="1:5">
      <c r="A901" s="18">
        <v>6092903705</v>
      </c>
      <c r="B901" t="s">
        <v>638</v>
      </c>
      <c r="C901" t="s">
        <v>559</v>
      </c>
      <c r="D901" s="8">
        <v>2</v>
      </c>
      <c r="E901" s="8" t="s">
        <v>174</v>
      </c>
    </row>
    <row r="902" spans="1:5">
      <c r="A902" s="18">
        <v>6092903705</v>
      </c>
      <c r="B902" t="s">
        <v>639</v>
      </c>
      <c r="C902" t="s">
        <v>559</v>
      </c>
      <c r="D902" s="8">
        <v>2.5</v>
      </c>
      <c r="E902" s="8" t="s">
        <v>169</v>
      </c>
    </row>
    <row r="903" spans="1:5">
      <c r="A903" s="18">
        <v>6092903705</v>
      </c>
      <c r="B903" t="s">
        <v>640</v>
      </c>
      <c r="C903" t="s">
        <v>559</v>
      </c>
      <c r="D903" s="8">
        <v>3</v>
      </c>
      <c r="E903" s="8" t="s">
        <v>176</v>
      </c>
    </row>
    <row r="904" spans="1:5">
      <c r="A904" s="18">
        <v>6092903705</v>
      </c>
      <c r="B904" t="s">
        <v>641</v>
      </c>
      <c r="C904" t="s">
        <v>559</v>
      </c>
      <c r="D904" s="8">
        <v>3.5</v>
      </c>
      <c r="E904" s="8" t="s">
        <v>323</v>
      </c>
    </row>
    <row r="905" spans="1:5">
      <c r="A905" s="18">
        <v>6092903705</v>
      </c>
      <c r="B905" t="s">
        <v>642</v>
      </c>
      <c r="C905" t="s">
        <v>559</v>
      </c>
      <c r="D905" s="8">
        <v>4</v>
      </c>
      <c r="E905" s="8" t="s">
        <v>178</v>
      </c>
    </row>
    <row r="906" spans="1:5">
      <c r="A906" s="18">
        <v>6092903705</v>
      </c>
      <c r="B906" t="s">
        <v>643</v>
      </c>
      <c r="C906" t="s">
        <v>559</v>
      </c>
      <c r="D906" s="8">
        <v>4.5</v>
      </c>
      <c r="E906" s="8" t="s">
        <v>324</v>
      </c>
    </row>
    <row r="907" spans="1:5">
      <c r="A907" s="18">
        <v>6092903705</v>
      </c>
      <c r="B907" t="s">
        <v>644</v>
      </c>
      <c r="C907" t="s">
        <v>559</v>
      </c>
      <c r="D907" s="8">
        <v>5</v>
      </c>
      <c r="E907" s="8" t="s">
        <v>180</v>
      </c>
    </row>
    <row r="908" spans="1:5">
      <c r="A908" s="18">
        <v>6092903705</v>
      </c>
      <c r="B908" t="s">
        <v>645</v>
      </c>
      <c r="C908" t="s">
        <v>559</v>
      </c>
      <c r="D908" s="8">
        <v>5.5</v>
      </c>
      <c r="E908" s="8" t="s">
        <v>325</v>
      </c>
    </row>
    <row r="909" spans="1:5">
      <c r="A909" s="18">
        <v>6092903705</v>
      </c>
      <c r="B909" t="s">
        <v>646</v>
      </c>
      <c r="C909" t="s">
        <v>559</v>
      </c>
      <c r="D909" s="8">
        <v>6</v>
      </c>
      <c r="E909" s="8" t="s">
        <v>182</v>
      </c>
    </row>
    <row r="910" spans="1:5">
      <c r="A910" s="18">
        <v>6092903705</v>
      </c>
      <c r="B910" t="s">
        <v>647</v>
      </c>
      <c r="C910" t="s">
        <v>559</v>
      </c>
      <c r="D910" s="8">
        <v>6.5</v>
      </c>
      <c r="E910" s="8" t="s">
        <v>326</v>
      </c>
    </row>
    <row r="911" spans="1:5">
      <c r="A911" s="18">
        <v>6092903705</v>
      </c>
      <c r="B911" t="s">
        <v>648</v>
      </c>
      <c r="C911" t="s">
        <v>559</v>
      </c>
      <c r="D911" s="8">
        <v>7</v>
      </c>
      <c r="E911" s="8" t="s">
        <v>184</v>
      </c>
    </row>
    <row r="912" spans="1:5">
      <c r="A912" s="18">
        <v>6092903705</v>
      </c>
      <c r="B912" t="s">
        <v>649</v>
      </c>
      <c r="C912" t="s">
        <v>559</v>
      </c>
      <c r="D912" s="8">
        <v>7.5</v>
      </c>
      <c r="E912" s="8" t="s">
        <v>330</v>
      </c>
    </row>
    <row r="913" spans="1:5">
      <c r="A913" s="18">
        <v>6092903705</v>
      </c>
      <c r="B913" t="s">
        <v>650</v>
      </c>
      <c r="C913" t="s">
        <v>559</v>
      </c>
      <c r="D913" s="8">
        <v>8</v>
      </c>
      <c r="E913" s="8" t="s">
        <v>186</v>
      </c>
    </row>
    <row r="914" spans="1:5">
      <c r="A914" s="18">
        <v>6092903705</v>
      </c>
      <c r="B914" t="s">
        <v>651</v>
      </c>
      <c r="C914" t="s">
        <v>559</v>
      </c>
      <c r="D914" s="8">
        <v>8.5</v>
      </c>
      <c r="E914" s="8" t="s">
        <v>333</v>
      </c>
    </row>
    <row r="915" spans="1:5">
      <c r="A915" s="18">
        <v>6092903705</v>
      </c>
      <c r="B915" t="s">
        <v>652</v>
      </c>
      <c r="C915" t="s">
        <v>559</v>
      </c>
      <c r="D915" s="8">
        <v>9</v>
      </c>
      <c r="E915" s="8" t="s">
        <v>188</v>
      </c>
    </row>
    <row r="916" spans="1:5">
      <c r="A916" s="18">
        <v>6092903705</v>
      </c>
      <c r="B916" t="s">
        <v>653</v>
      </c>
      <c r="C916" t="s">
        <v>559</v>
      </c>
      <c r="D916" s="8">
        <v>9.5</v>
      </c>
      <c r="E916" s="8" t="s">
        <v>335</v>
      </c>
    </row>
    <row r="917" spans="1:5">
      <c r="A917" s="18">
        <v>6092903705</v>
      </c>
      <c r="B917" t="s">
        <v>654</v>
      </c>
      <c r="C917" t="s">
        <v>225</v>
      </c>
      <c r="D917" s="8">
        <v>10</v>
      </c>
      <c r="E917" s="8" t="s">
        <v>190</v>
      </c>
    </row>
    <row r="918" spans="1:5">
      <c r="A918" s="18">
        <v>6092903705</v>
      </c>
      <c r="B918" t="s">
        <v>655</v>
      </c>
      <c r="C918" t="s">
        <v>225</v>
      </c>
      <c r="D918" s="8">
        <v>1</v>
      </c>
      <c r="E918" s="8" t="s">
        <v>172</v>
      </c>
    </row>
    <row r="919" spans="1:5">
      <c r="A919" s="18">
        <v>6092903705</v>
      </c>
      <c r="B919" t="s">
        <v>656</v>
      </c>
      <c r="C919" t="s">
        <v>225</v>
      </c>
      <c r="D919" s="8">
        <v>10.5</v>
      </c>
      <c r="E919" s="8" t="s">
        <v>338</v>
      </c>
    </row>
    <row r="920" spans="1:5">
      <c r="A920" s="18">
        <v>6092903705</v>
      </c>
      <c r="B920" t="s">
        <v>657</v>
      </c>
      <c r="C920" t="s">
        <v>225</v>
      </c>
      <c r="D920" s="8">
        <v>11</v>
      </c>
      <c r="E920" s="8" t="s">
        <v>340</v>
      </c>
    </row>
    <row r="921" spans="1:5">
      <c r="A921" s="18">
        <v>6092903705</v>
      </c>
      <c r="B921" t="s">
        <v>658</v>
      </c>
      <c r="C921" t="s">
        <v>225</v>
      </c>
      <c r="D921" s="8">
        <v>11.5</v>
      </c>
      <c r="E921" s="8" t="s">
        <v>342</v>
      </c>
    </row>
    <row r="922" spans="1:5">
      <c r="A922" s="18">
        <v>6092903705</v>
      </c>
      <c r="B922" t="s">
        <v>659</v>
      </c>
      <c r="C922" t="s">
        <v>225</v>
      </c>
      <c r="D922" s="8">
        <v>12</v>
      </c>
      <c r="E922" s="8" t="s">
        <v>344</v>
      </c>
    </row>
    <row r="923" spans="1:5">
      <c r="A923" s="18">
        <v>6092903705</v>
      </c>
      <c r="B923" t="s">
        <v>660</v>
      </c>
      <c r="C923" t="s">
        <v>225</v>
      </c>
      <c r="D923" s="8">
        <v>1.5</v>
      </c>
      <c r="E923" s="8" t="s">
        <v>320</v>
      </c>
    </row>
    <row r="924" spans="1:5">
      <c r="A924" s="18">
        <v>6092903705</v>
      </c>
      <c r="B924" t="s">
        <v>661</v>
      </c>
      <c r="C924" t="s">
        <v>225</v>
      </c>
      <c r="D924" s="8">
        <v>2</v>
      </c>
      <c r="E924" s="8" t="s">
        <v>174</v>
      </c>
    </row>
    <row r="925" spans="1:5">
      <c r="A925" s="18">
        <v>6092903705</v>
      </c>
      <c r="B925" t="s">
        <v>662</v>
      </c>
      <c r="C925" t="s">
        <v>225</v>
      </c>
      <c r="D925" s="8">
        <v>2.5</v>
      </c>
      <c r="E925" s="8" t="s">
        <v>169</v>
      </c>
    </row>
    <row r="926" spans="1:5">
      <c r="A926" s="18">
        <v>6092903705</v>
      </c>
      <c r="B926" t="s">
        <v>663</v>
      </c>
      <c r="C926" t="s">
        <v>225</v>
      </c>
      <c r="D926" s="8">
        <v>3</v>
      </c>
      <c r="E926" s="8" t="s">
        <v>176</v>
      </c>
    </row>
    <row r="927" spans="1:5">
      <c r="A927" s="18">
        <v>6092903705</v>
      </c>
      <c r="B927" t="s">
        <v>664</v>
      </c>
      <c r="C927" t="s">
        <v>225</v>
      </c>
      <c r="D927" s="8">
        <v>3.5</v>
      </c>
      <c r="E927" s="8" t="s">
        <v>323</v>
      </c>
    </row>
    <row r="928" spans="1:5">
      <c r="A928" s="18">
        <v>6092903705</v>
      </c>
      <c r="B928" t="s">
        <v>665</v>
      </c>
      <c r="C928" t="s">
        <v>225</v>
      </c>
      <c r="D928" s="8">
        <v>4</v>
      </c>
      <c r="E928" s="8" t="s">
        <v>178</v>
      </c>
    </row>
    <row r="929" spans="1:5">
      <c r="A929" s="18">
        <v>6092903705</v>
      </c>
      <c r="B929" t="s">
        <v>666</v>
      </c>
      <c r="C929" t="s">
        <v>225</v>
      </c>
      <c r="D929" s="8">
        <v>4.5</v>
      </c>
      <c r="E929" s="8" t="s">
        <v>324</v>
      </c>
    </row>
    <row r="930" spans="1:5">
      <c r="A930" s="18">
        <v>6092903705</v>
      </c>
      <c r="B930" t="s">
        <v>667</v>
      </c>
      <c r="C930" t="s">
        <v>225</v>
      </c>
      <c r="D930" s="8">
        <v>5</v>
      </c>
      <c r="E930" s="8" t="s">
        <v>180</v>
      </c>
    </row>
    <row r="931" spans="1:5">
      <c r="A931" s="18">
        <v>6092903705</v>
      </c>
      <c r="B931" t="s">
        <v>668</v>
      </c>
      <c r="C931" t="s">
        <v>225</v>
      </c>
      <c r="D931" s="8">
        <v>5.5</v>
      </c>
      <c r="E931" s="8" t="s">
        <v>325</v>
      </c>
    </row>
    <row r="932" spans="1:5">
      <c r="A932" s="18">
        <v>6092903705</v>
      </c>
      <c r="B932" t="s">
        <v>669</v>
      </c>
      <c r="C932" t="s">
        <v>225</v>
      </c>
      <c r="D932" s="8">
        <v>6</v>
      </c>
      <c r="E932" s="8" t="s">
        <v>182</v>
      </c>
    </row>
    <row r="933" spans="1:5">
      <c r="A933" s="18">
        <v>6092903705</v>
      </c>
      <c r="B933" t="s">
        <v>670</v>
      </c>
      <c r="C933" t="s">
        <v>225</v>
      </c>
      <c r="D933" s="8">
        <v>6.5</v>
      </c>
      <c r="E933" s="8" t="s">
        <v>326</v>
      </c>
    </row>
    <row r="934" spans="1:5">
      <c r="A934" s="18">
        <v>6092903705</v>
      </c>
      <c r="B934" t="s">
        <v>671</v>
      </c>
      <c r="C934" t="s">
        <v>225</v>
      </c>
      <c r="D934" s="8">
        <v>7</v>
      </c>
      <c r="E934" s="8" t="s">
        <v>184</v>
      </c>
    </row>
    <row r="935" spans="1:5">
      <c r="A935" s="18">
        <v>6092903705</v>
      </c>
      <c r="B935" t="s">
        <v>672</v>
      </c>
      <c r="C935" t="s">
        <v>225</v>
      </c>
      <c r="D935" s="8">
        <v>7.5</v>
      </c>
      <c r="E935" s="8" t="s">
        <v>330</v>
      </c>
    </row>
    <row r="936" spans="1:5">
      <c r="A936" s="18">
        <v>6092903705</v>
      </c>
      <c r="B936" t="s">
        <v>673</v>
      </c>
      <c r="C936" t="s">
        <v>225</v>
      </c>
      <c r="D936" s="8">
        <v>8</v>
      </c>
      <c r="E936" s="8" t="s">
        <v>186</v>
      </c>
    </row>
    <row r="937" spans="1:5">
      <c r="A937" s="18">
        <v>6092903705</v>
      </c>
      <c r="B937" t="s">
        <v>674</v>
      </c>
      <c r="C937" t="s">
        <v>225</v>
      </c>
      <c r="D937" s="8">
        <v>8.5</v>
      </c>
      <c r="E937" s="8" t="s">
        <v>333</v>
      </c>
    </row>
    <row r="938" spans="1:5">
      <c r="A938" s="18">
        <v>6092903705</v>
      </c>
      <c r="B938" t="s">
        <v>675</v>
      </c>
      <c r="C938" t="s">
        <v>225</v>
      </c>
      <c r="D938" s="8">
        <v>9</v>
      </c>
      <c r="E938" s="8" t="s">
        <v>188</v>
      </c>
    </row>
    <row r="939" spans="1:5">
      <c r="A939" s="18">
        <v>6092903705</v>
      </c>
      <c r="B939" t="s">
        <v>676</v>
      </c>
      <c r="C939" t="s">
        <v>225</v>
      </c>
      <c r="D939" s="8">
        <v>9.5</v>
      </c>
      <c r="E939" s="8" t="s">
        <v>335</v>
      </c>
    </row>
    <row r="940" spans="1:5">
      <c r="A940" s="18">
        <v>6092903705</v>
      </c>
      <c r="B940" t="s">
        <v>677</v>
      </c>
      <c r="C940" t="s">
        <v>226</v>
      </c>
      <c r="D940" s="8">
        <v>10</v>
      </c>
      <c r="E940" s="8" t="s">
        <v>190</v>
      </c>
    </row>
    <row r="941" spans="1:5">
      <c r="A941" s="18">
        <v>6092903705</v>
      </c>
      <c r="B941" t="s">
        <v>678</v>
      </c>
      <c r="C941" t="s">
        <v>226</v>
      </c>
      <c r="D941" s="8">
        <v>1</v>
      </c>
      <c r="E941" s="8" t="s">
        <v>172</v>
      </c>
    </row>
    <row r="942" spans="1:5">
      <c r="A942" s="18">
        <v>6092903705</v>
      </c>
      <c r="B942" t="s">
        <v>679</v>
      </c>
      <c r="C942" t="s">
        <v>226</v>
      </c>
      <c r="D942" s="8">
        <v>10.5</v>
      </c>
      <c r="E942" s="8" t="s">
        <v>338</v>
      </c>
    </row>
    <row r="943" spans="1:5">
      <c r="A943" s="18">
        <v>6092903705</v>
      </c>
      <c r="B943" t="s">
        <v>680</v>
      </c>
      <c r="C943" t="s">
        <v>226</v>
      </c>
      <c r="D943" s="8">
        <v>11</v>
      </c>
      <c r="E943" s="8" t="s">
        <v>340</v>
      </c>
    </row>
    <row r="944" spans="1:5">
      <c r="A944" s="18">
        <v>6092903705</v>
      </c>
      <c r="B944" t="s">
        <v>681</v>
      </c>
      <c r="C944" t="s">
        <v>226</v>
      </c>
      <c r="D944" s="8">
        <v>11.5</v>
      </c>
      <c r="E944" s="8" t="s">
        <v>342</v>
      </c>
    </row>
    <row r="945" spans="1:5">
      <c r="A945" s="18">
        <v>6092903705</v>
      </c>
      <c r="B945" t="s">
        <v>682</v>
      </c>
      <c r="C945" t="s">
        <v>226</v>
      </c>
      <c r="D945" s="8">
        <v>12</v>
      </c>
      <c r="E945" s="8" t="s">
        <v>344</v>
      </c>
    </row>
    <row r="946" spans="1:5">
      <c r="A946" s="18">
        <v>6092903705</v>
      </c>
      <c r="B946" t="s">
        <v>683</v>
      </c>
      <c r="C946" t="s">
        <v>226</v>
      </c>
      <c r="D946" s="8">
        <v>1.5</v>
      </c>
      <c r="E946" s="8" t="s">
        <v>320</v>
      </c>
    </row>
    <row r="947" spans="1:5">
      <c r="A947" s="18">
        <v>6092903705</v>
      </c>
      <c r="B947" t="s">
        <v>684</v>
      </c>
      <c r="C947" t="s">
        <v>226</v>
      </c>
      <c r="D947" s="8">
        <v>2</v>
      </c>
      <c r="E947" s="8" t="s">
        <v>174</v>
      </c>
    </row>
    <row r="948" spans="1:5">
      <c r="A948" s="18">
        <v>6092903705</v>
      </c>
      <c r="B948" t="s">
        <v>685</v>
      </c>
      <c r="C948" t="s">
        <v>226</v>
      </c>
      <c r="D948" s="8">
        <v>2.5</v>
      </c>
      <c r="E948" s="8" t="s">
        <v>169</v>
      </c>
    </row>
    <row r="949" spans="1:5">
      <c r="A949" s="18">
        <v>6092903705</v>
      </c>
      <c r="B949" t="s">
        <v>686</v>
      </c>
      <c r="C949" t="s">
        <v>226</v>
      </c>
      <c r="D949" s="8">
        <v>3</v>
      </c>
      <c r="E949" s="8" t="s">
        <v>176</v>
      </c>
    </row>
    <row r="950" spans="1:5">
      <c r="A950" s="18">
        <v>6092903705</v>
      </c>
      <c r="B950" t="s">
        <v>687</v>
      </c>
      <c r="C950" t="s">
        <v>226</v>
      </c>
      <c r="D950" s="8">
        <v>3.5</v>
      </c>
      <c r="E950" s="8" t="s">
        <v>323</v>
      </c>
    </row>
    <row r="951" spans="1:5">
      <c r="A951" s="18">
        <v>6092903705</v>
      </c>
      <c r="B951" t="s">
        <v>688</v>
      </c>
      <c r="C951" t="s">
        <v>226</v>
      </c>
      <c r="D951" s="8">
        <v>4</v>
      </c>
      <c r="E951" s="8" t="s">
        <v>178</v>
      </c>
    </row>
    <row r="952" spans="1:5">
      <c r="A952" s="18">
        <v>6092903705</v>
      </c>
      <c r="B952" t="s">
        <v>689</v>
      </c>
      <c r="C952" t="s">
        <v>226</v>
      </c>
      <c r="D952" s="8">
        <v>4.5</v>
      </c>
      <c r="E952" s="8" t="s">
        <v>324</v>
      </c>
    </row>
    <row r="953" spans="1:5">
      <c r="A953" s="18">
        <v>6092903705</v>
      </c>
      <c r="B953" t="s">
        <v>690</v>
      </c>
      <c r="C953" t="s">
        <v>226</v>
      </c>
      <c r="D953" s="8">
        <v>5</v>
      </c>
      <c r="E953" s="8" t="s">
        <v>180</v>
      </c>
    </row>
    <row r="954" spans="1:5">
      <c r="A954" s="18">
        <v>6092903705</v>
      </c>
      <c r="B954" t="s">
        <v>691</v>
      </c>
      <c r="C954" t="s">
        <v>226</v>
      </c>
      <c r="D954" s="8">
        <v>5.5</v>
      </c>
      <c r="E954" s="8" t="s">
        <v>325</v>
      </c>
    </row>
    <row r="955" spans="1:5">
      <c r="A955" s="18">
        <v>6092903705</v>
      </c>
      <c r="B955" t="s">
        <v>692</v>
      </c>
      <c r="C955" t="s">
        <v>226</v>
      </c>
      <c r="D955" s="8">
        <v>6</v>
      </c>
      <c r="E955" s="8" t="s">
        <v>182</v>
      </c>
    </row>
    <row r="956" spans="1:5">
      <c r="A956" s="18">
        <v>6092903705</v>
      </c>
      <c r="B956" t="s">
        <v>693</v>
      </c>
      <c r="C956" t="s">
        <v>226</v>
      </c>
      <c r="D956" s="8">
        <v>6.5</v>
      </c>
      <c r="E956" s="8" t="s">
        <v>326</v>
      </c>
    </row>
    <row r="957" spans="1:5">
      <c r="A957" s="18">
        <v>6092903705</v>
      </c>
      <c r="B957" t="s">
        <v>694</v>
      </c>
      <c r="C957" t="s">
        <v>226</v>
      </c>
      <c r="D957" s="8">
        <v>7</v>
      </c>
      <c r="E957" s="8" t="s">
        <v>184</v>
      </c>
    </row>
    <row r="958" spans="1:5">
      <c r="A958" s="18">
        <v>6092903705</v>
      </c>
      <c r="B958" t="s">
        <v>695</v>
      </c>
      <c r="C958" t="s">
        <v>226</v>
      </c>
      <c r="D958" s="8">
        <v>7.5</v>
      </c>
      <c r="E958" s="8" t="s">
        <v>330</v>
      </c>
    </row>
    <row r="959" spans="1:5">
      <c r="A959" s="18">
        <v>6092903705</v>
      </c>
      <c r="B959" t="s">
        <v>696</v>
      </c>
      <c r="C959" t="s">
        <v>226</v>
      </c>
      <c r="D959" s="8">
        <v>8</v>
      </c>
      <c r="E959" s="8" t="s">
        <v>186</v>
      </c>
    </row>
    <row r="960" spans="1:5">
      <c r="A960" s="18">
        <v>6092903705</v>
      </c>
      <c r="B960" t="s">
        <v>697</v>
      </c>
      <c r="C960" t="s">
        <v>226</v>
      </c>
      <c r="D960" s="8">
        <v>8.5</v>
      </c>
      <c r="E960" s="8" t="s">
        <v>333</v>
      </c>
    </row>
    <row r="961" spans="1:5">
      <c r="A961" s="18">
        <v>6092903705</v>
      </c>
      <c r="B961" t="s">
        <v>698</v>
      </c>
      <c r="C961" t="s">
        <v>226</v>
      </c>
      <c r="D961" s="8">
        <v>9</v>
      </c>
      <c r="E961" s="8" t="s">
        <v>188</v>
      </c>
    </row>
    <row r="962" spans="1:5">
      <c r="A962" s="18">
        <v>6092903705</v>
      </c>
      <c r="B962" t="s">
        <v>699</v>
      </c>
      <c r="C962" t="s">
        <v>226</v>
      </c>
      <c r="D962" s="8">
        <v>9.5</v>
      </c>
      <c r="E962" s="8" t="s">
        <v>335</v>
      </c>
    </row>
    <row r="963" spans="1:5">
      <c r="A963" s="18">
        <v>6092903705</v>
      </c>
      <c r="B963" t="s">
        <v>700</v>
      </c>
      <c r="C963" t="s">
        <v>560</v>
      </c>
      <c r="D963" s="8">
        <v>10</v>
      </c>
      <c r="E963" s="8" t="s">
        <v>190</v>
      </c>
    </row>
    <row r="964" spans="1:5">
      <c r="A964" s="18">
        <v>6092903705</v>
      </c>
      <c r="B964" t="s">
        <v>701</v>
      </c>
      <c r="C964" t="s">
        <v>560</v>
      </c>
      <c r="D964" s="8">
        <v>1</v>
      </c>
      <c r="E964" s="8" t="s">
        <v>172</v>
      </c>
    </row>
    <row r="965" spans="1:5">
      <c r="A965" s="18">
        <v>6092903705</v>
      </c>
      <c r="B965" t="s">
        <v>702</v>
      </c>
      <c r="C965" t="s">
        <v>560</v>
      </c>
      <c r="D965" s="8">
        <v>1.5</v>
      </c>
      <c r="E965" s="8" t="s">
        <v>320</v>
      </c>
    </row>
    <row r="966" spans="1:5">
      <c r="A966" s="18">
        <v>6092903705</v>
      </c>
      <c r="B966" t="s">
        <v>703</v>
      </c>
      <c r="C966" t="s">
        <v>560</v>
      </c>
      <c r="D966" s="8">
        <v>2</v>
      </c>
      <c r="E966" s="8" t="s">
        <v>174</v>
      </c>
    </row>
    <row r="967" spans="1:5">
      <c r="A967" s="18">
        <v>6092903705</v>
      </c>
      <c r="B967" t="s">
        <v>704</v>
      </c>
      <c r="C967" t="s">
        <v>560</v>
      </c>
      <c r="D967" s="8">
        <v>2.5</v>
      </c>
      <c r="E967" s="8" t="s">
        <v>169</v>
      </c>
    </row>
    <row r="968" spans="1:5">
      <c r="A968" s="18">
        <v>6092903705</v>
      </c>
      <c r="B968" t="s">
        <v>705</v>
      </c>
      <c r="C968" t="s">
        <v>560</v>
      </c>
      <c r="D968" s="8">
        <v>3</v>
      </c>
      <c r="E968" s="8" t="s">
        <v>176</v>
      </c>
    </row>
    <row r="969" spans="1:5">
      <c r="A969" s="18">
        <v>6092903705</v>
      </c>
      <c r="B969" t="s">
        <v>706</v>
      </c>
      <c r="C969" t="s">
        <v>560</v>
      </c>
      <c r="D969" s="8">
        <v>3.5</v>
      </c>
      <c r="E969" s="8" t="s">
        <v>323</v>
      </c>
    </row>
    <row r="970" spans="1:5">
      <c r="A970" s="18">
        <v>6092903705</v>
      </c>
      <c r="B970" t="s">
        <v>707</v>
      </c>
      <c r="C970" t="s">
        <v>560</v>
      </c>
      <c r="D970" s="8">
        <v>4</v>
      </c>
      <c r="E970" s="8" t="s">
        <v>178</v>
      </c>
    </row>
    <row r="971" spans="1:5">
      <c r="A971" s="18">
        <v>6092903705</v>
      </c>
      <c r="B971" t="s">
        <v>708</v>
      </c>
      <c r="C971" t="s">
        <v>560</v>
      </c>
      <c r="D971" s="8">
        <v>4.5</v>
      </c>
      <c r="E971" s="8" t="s">
        <v>324</v>
      </c>
    </row>
    <row r="972" spans="1:5">
      <c r="A972" s="18">
        <v>6092903705</v>
      </c>
      <c r="B972" t="s">
        <v>709</v>
      </c>
      <c r="C972" t="s">
        <v>560</v>
      </c>
      <c r="D972" s="8">
        <v>5</v>
      </c>
      <c r="E972" s="8" t="s">
        <v>180</v>
      </c>
    </row>
    <row r="973" spans="1:5">
      <c r="A973" s="18">
        <v>6092903705</v>
      </c>
      <c r="B973" t="s">
        <v>710</v>
      </c>
      <c r="C973" t="s">
        <v>560</v>
      </c>
      <c r="D973" s="8">
        <v>5.5</v>
      </c>
      <c r="E973" s="8" t="s">
        <v>325</v>
      </c>
    </row>
    <row r="974" spans="1:5">
      <c r="A974" s="18">
        <v>6092903705</v>
      </c>
      <c r="B974" t="s">
        <v>711</v>
      </c>
      <c r="C974" t="s">
        <v>560</v>
      </c>
      <c r="D974" s="8">
        <v>6</v>
      </c>
      <c r="E974" s="8" t="s">
        <v>182</v>
      </c>
    </row>
    <row r="975" spans="1:5">
      <c r="A975" s="18">
        <v>6092903705</v>
      </c>
      <c r="B975" t="s">
        <v>712</v>
      </c>
      <c r="C975" t="s">
        <v>560</v>
      </c>
      <c r="D975" s="8">
        <v>6.5</v>
      </c>
      <c r="E975" s="8" t="s">
        <v>326</v>
      </c>
    </row>
    <row r="976" spans="1:5">
      <c r="A976" s="18">
        <v>6092903705</v>
      </c>
      <c r="B976" t="s">
        <v>713</v>
      </c>
      <c r="C976" t="s">
        <v>560</v>
      </c>
      <c r="D976" s="8">
        <v>7</v>
      </c>
      <c r="E976" s="8" t="s">
        <v>184</v>
      </c>
    </row>
    <row r="977" spans="1:5">
      <c r="A977" s="18">
        <v>6092903705</v>
      </c>
      <c r="B977" t="s">
        <v>714</v>
      </c>
      <c r="C977" t="s">
        <v>560</v>
      </c>
      <c r="D977" s="8">
        <v>7.5</v>
      </c>
      <c r="E977" s="8" t="s">
        <v>330</v>
      </c>
    </row>
    <row r="978" spans="1:5">
      <c r="A978" s="18">
        <v>6092903705</v>
      </c>
      <c r="B978" t="s">
        <v>715</v>
      </c>
      <c r="C978" t="s">
        <v>560</v>
      </c>
      <c r="D978" s="8">
        <v>8</v>
      </c>
      <c r="E978" s="8" t="s">
        <v>186</v>
      </c>
    </row>
    <row r="979" spans="1:5">
      <c r="A979" s="18">
        <v>6092903705</v>
      </c>
      <c r="B979" t="s">
        <v>716</v>
      </c>
      <c r="C979" t="s">
        <v>560</v>
      </c>
      <c r="D979" s="8">
        <v>8.5</v>
      </c>
      <c r="E979" s="8" t="s">
        <v>333</v>
      </c>
    </row>
    <row r="980" spans="1:5">
      <c r="A980" s="18">
        <v>6092903705</v>
      </c>
      <c r="B980" t="s">
        <v>717</v>
      </c>
      <c r="C980" t="s">
        <v>560</v>
      </c>
      <c r="D980" s="8">
        <v>9</v>
      </c>
      <c r="E980" s="8" t="s">
        <v>188</v>
      </c>
    </row>
    <row r="981" spans="1:5">
      <c r="A981" s="18">
        <v>6092903705</v>
      </c>
      <c r="B981" t="s">
        <v>718</v>
      </c>
      <c r="C981" t="s">
        <v>560</v>
      </c>
      <c r="D981" s="8">
        <v>9.5</v>
      </c>
      <c r="E981" s="8" t="s">
        <v>335</v>
      </c>
    </row>
    <row r="982" spans="1:5">
      <c r="A982" s="18">
        <v>6092903705</v>
      </c>
      <c r="B982" t="s">
        <v>719</v>
      </c>
      <c r="C982" t="s">
        <v>227</v>
      </c>
      <c r="D982" s="8">
        <v>10</v>
      </c>
      <c r="E982" s="8" t="s">
        <v>190</v>
      </c>
    </row>
    <row r="983" spans="1:5">
      <c r="A983" s="18">
        <v>6092903705</v>
      </c>
      <c r="B983" t="s">
        <v>720</v>
      </c>
      <c r="C983" t="s">
        <v>227</v>
      </c>
      <c r="D983" s="8">
        <v>1</v>
      </c>
      <c r="E983" s="8" t="s">
        <v>172</v>
      </c>
    </row>
    <row r="984" spans="1:5">
      <c r="A984" s="18">
        <v>6092903705</v>
      </c>
      <c r="B984" t="s">
        <v>721</v>
      </c>
      <c r="C984" t="s">
        <v>227</v>
      </c>
      <c r="D984" s="8">
        <v>10.5</v>
      </c>
      <c r="E984" s="8" t="s">
        <v>338</v>
      </c>
    </row>
    <row r="985" spans="1:5">
      <c r="A985" s="18">
        <v>6092903705</v>
      </c>
      <c r="B985" t="s">
        <v>722</v>
      </c>
      <c r="C985" t="s">
        <v>227</v>
      </c>
      <c r="D985" s="8">
        <v>11</v>
      </c>
      <c r="E985" s="8" t="s">
        <v>340</v>
      </c>
    </row>
    <row r="986" spans="1:5">
      <c r="A986" s="18">
        <v>6092903705</v>
      </c>
      <c r="B986" t="s">
        <v>723</v>
      </c>
      <c r="C986" t="s">
        <v>227</v>
      </c>
      <c r="D986" s="8">
        <v>11.5</v>
      </c>
      <c r="E986" s="8" t="s">
        <v>342</v>
      </c>
    </row>
    <row r="987" spans="1:5">
      <c r="A987" s="18">
        <v>6092903705</v>
      </c>
      <c r="B987" t="s">
        <v>724</v>
      </c>
      <c r="C987" t="s">
        <v>227</v>
      </c>
      <c r="D987" s="8">
        <v>12</v>
      </c>
      <c r="E987" s="8" t="s">
        <v>344</v>
      </c>
    </row>
    <row r="988" spans="1:5">
      <c r="A988" s="18">
        <v>6092903705</v>
      </c>
      <c r="B988" t="s">
        <v>725</v>
      </c>
      <c r="C988" t="s">
        <v>227</v>
      </c>
      <c r="D988" s="8">
        <v>1.5</v>
      </c>
      <c r="E988" s="8" t="s">
        <v>320</v>
      </c>
    </row>
    <row r="989" spans="1:5">
      <c r="A989" s="18">
        <v>6092903705</v>
      </c>
      <c r="B989" t="s">
        <v>726</v>
      </c>
      <c r="C989" t="s">
        <v>227</v>
      </c>
      <c r="D989" s="8">
        <v>2</v>
      </c>
      <c r="E989" s="8" t="s">
        <v>174</v>
      </c>
    </row>
    <row r="990" spans="1:5">
      <c r="A990" s="18">
        <v>6092903705</v>
      </c>
      <c r="B990" t="s">
        <v>727</v>
      </c>
      <c r="C990" t="s">
        <v>227</v>
      </c>
      <c r="D990" s="8">
        <v>2.5</v>
      </c>
      <c r="E990" s="8" t="s">
        <v>169</v>
      </c>
    </row>
    <row r="991" spans="1:5">
      <c r="A991" s="18">
        <v>6092903705</v>
      </c>
      <c r="B991" t="s">
        <v>728</v>
      </c>
      <c r="C991" t="s">
        <v>227</v>
      </c>
      <c r="D991" s="8">
        <v>3</v>
      </c>
      <c r="E991" s="8" t="s">
        <v>176</v>
      </c>
    </row>
    <row r="992" spans="1:5">
      <c r="A992" s="18">
        <v>6092903705</v>
      </c>
      <c r="B992" t="s">
        <v>729</v>
      </c>
      <c r="C992" t="s">
        <v>227</v>
      </c>
      <c r="D992" s="8">
        <v>3.5</v>
      </c>
      <c r="E992" s="8" t="s">
        <v>323</v>
      </c>
    </row>
    <row r="993" spans="1:5">
      <c r="A993" s="18">
        <v>6092903705</v>
      </c>
      <c r="B993" t="s">
        <v>730</v>
      </c>
      <c r="C993" t="s">
        <v>227</v>
      </c>
      <c r="D993" s="8">
        <v>4</v>
      </c>
      <c r="E993" s="8" t="s">
        <v>178</v>
      </c>
    </row>
    <row r="994" spans="1:5">
      <c r="A994" s="18">
        <v>6092903705</v>
      </c>
      <c r="B994" t="s">
        <v>731</v>
      </c>
      <c r="C994" t="s">
        <v>227</v>
      </c>
      <c r="D994" s="8">
        <v>4.5</v>
      </c>
      <c r="E994" s="8" t="s">
        <v>324</v>
      </c>
    </row>
    <row r="995" spans="1:5">
      <c r="A995" s="18">
        <v>6092903705</v>
      </c>
      <c r="B995" t="s">
        <v>732</v>
      </c>
      <c r="C995" t="s">
        <v>227</v>
      </c>
      <c r="D995" s="8">
        <v>5</v>
      </c>
      <c r="E995" s="8" t="s">
        <v>180</v>
      </c>
    </row>
    <row r="996" spans="1:5">
      <c r="A996" s="18">
        <v>6092903705</v>
      </c>
      <c r="B996" t="s">
        <v>733</v>
      </c>
      <c r="C996" t="s">
        <v>227</v>
      </c>
      <c r="D996" s="8">
        <v>5.5</v>
      </c>
      <c r="E996" s="8" t="s">
        <v>325</v>
      </c>
    </row>
    <row r="997" spans="1:5">
      <c r="A997" s="18">
        <v>6092903705</v>
      </c>
      <c r="B997" t="s">
        <v>734</v>
      </c>
      <c r="C997" t="s">
        <v>227</v>
      </c>
      <c r="D997" s="8">
        <v>6</v>
      </c>
      <c r="E997" s="8" t="s">
        <v>182</v>
      </c>
    </row>
    <row r="998" spans="1:5">
      <c r="A998" s="18">
        <v>6092903705</v>
      </c>
      <c r="B998" t="s">
        <v>735</v>
      </c>
      <c r="C998" t="s">
        <v>227</v>
      </c>
      <c r="D998" s="8">
        <v>6.5</v>
      </c>
      <c r="E998" s="8" t="s">
        <v>326</v>
      </c>
    </row>
    <row r="999" spans="1:5">
      <c r="A999" s="18">
        <v>6092903705</v>
      </c>
      <c r="B999" t="s">
        <v>736</v>
      </c>
      <c r="C999" t="s">
        <v>227</v>
      </c>
      <c r="D999" s="8">
        <v>7</v>
      </c>
      <c r="E999" s="8" t="s">
        <v>184</v>
      </c>
    </row>
    <row r="1000" spans="1:5">
      <c r="A1000" s="18">
        <v>6092903705</v>
      </c>
      <c r="B1000" t="s">
        <v>737</v>
      </c>
      <c r="C1000" t="s">
        <v>227</v>
      </c>
      <c r="D1000" s="8">
        <v>7.5</v>
      </c>
      <c r="E1000" s="8" t="s">
        <v>330</v>
      </c>
    </row>
    <row r="1001" spans="1:5">
      <c r="A1001" s="18">
        <v>6092903705</v>
      </c>
      <c r="B1001" t="s">
        <v>738</v>
      </c>
      <c r="C1001" t="s">
        <v>227</v>
      </c>
      <c r="D1001" s="8">
        <v>8</v>
      </c>
      <c r="E1001" s="8" t="s">
        <v>186</v>
      </c>
    </row>
    <row r="1002" spans="1:5">
      <c r="A1002" s="18">
        <v>6092903705</v>
      </c>
      <c r="B1002" t="s">
        <v>739</v>
      </c>
      <c r="C1002" t="s">
        <v>227</v>
      </c>
      <c r="D1002" s="8">
        <v>8.5</v>
      </c>
      <c r="E1002" s="8" t="s">
        <v>333</v>
      </c>
    </row>
    <row r="1003" spans="1:5">
      <c r="A1003" s="18">
        <v>6092903705</v>
      </c>
      <c r="B1003" t="s">
        <v>740</v>
      </c>
      <c r="C1003" t="s">
        <v>227</v>
      </c>
      <c r="D1003" s="8">
        <v>9</v>
      </c>
      <c r="E1003" s="8" t="s">
        <v>188</v>
      </c>
    </row>
    <row r="1004" spans="1:5">
      <c r="A1004" s="18">
        <v>6092903705</v>
      </c>
      <c r="B1004" t="s">
        <v>741</v>
      </c>
      <c r="C1004" t="s">
        <v>227</v>
      </c>
      <c r="D1004" s="8">
        <v>9.5</v>
      </c>
      <c r="E1004" s="8" t="s">
        <v>335</v>
      </c>
    </row>
    <row r="1005" spans="1:5">
      <c r="A1005" s="18">
        <v>6092903705</v>
      </c>
      <c r="B1005" t="s">
        <v>742</v>
      </c>
      <c r="C1005" t="s">
        <v>347</v>
      </c>
      <c r="D1005" s="8">
        <v>10</v>
      </c>
      <c r="E1005" s="8" t="s">
        <v>337</v>
      </c>
    </row>
    <row r="1006" spans="1:5">
      <c r="A1006" s="18">
        <v>6092903705</v>
      </c>
      <c r="B1006" t="s">
        <v>743</v>
      </c>
      <c r="C1006" t="s">
        <v>347</v>
      </c>
      <c r="D1006" s="8">
        <v>1</v>
      </c>
      <c r="E1006" s="8" t="s">
        <v>319</v>
      </c>
    </row>
    <row r="1007" spans="1:5">
      <c r="A1007" s="18">
        <v>6092903705</v>
      </c>
      <c r="B1007" t="s">
        <v>744</v>
      </c>
      <c r="C1007" t="s">
        <v>347</v>
      </c>
      <c r="D1007" s="8">
        <v>10.5</v>
      </c>
      <c r="E1007" s="8" t="s">
        <v>339</v>
      </c>
    </row>
    <row r="1008" spans="1:5">
      <c r="A1008" s="18">
        <v>6092903705</v>
      </c>
      <c r="B1008" t="s">
        <v>745</v>
      </c>
      <c r="C1008" t="s">
        <v>347</v>
      </c>
      <c r="D1008" s="8">
        <v>11</v>
      </c>
      <c r="E1008" s="8" t="s">
        <v>341</v>
      </c>
    </row>
    <row r="1009" spans="1:5">
      <c r="A1009" s="18">
        <v>6092903705</v>
      </c>
      <c r="B1009" t="s">
        <v>746</v>
      </c>
      <c r="C1009" t="s">
        <v>347</v>
      </c>
      <c r="D1009" s="8">
        <v>11.5</v>
      </c>
      <c r="E1009" s="8" t="s">
        <v>343</v>
      </c>
    </row>
    <row r="1010" spans="1:5">
      <c r="A1010" s="18">
        <v>6092903705</v>
      </c>
      <c r="B1010" t="s">
        <v>747</v>
      </c>
      <c r="C1010" t="s">
        <v>347</v>
      </c>
      <c r="D1010" s="8">
        <v>12</v>
      </c>
      <c r="E1010" s="8" t="s">
        <v>345</v>
      </c>
    </row>
    <row r="1011" spans="1:5">
      <c r="A1011" s="18">
        <v>6092903705</v>
      </c>
      <c r="B1011" t="s">
        <v>748</v>
      </c>
      <c r="C1011" t="s">
        <v>347</v>
      </c>
      <c r="D1011" s="8">
        <v>1.5</v>
      </c>
      <c r="E1011" s="8" t="s">
        <v>321</v>
      </c>
    </row>
    <row r="1012" spans="1:5">
      <c r="A1012" s="18">
        <v>6092903705</v>
      </c>
      <c r="B1012" t="s">
        <v>749</v>
      </c>
      <c r="C1012" t="s">
        <v>347</v>
      </c>
      <c r="D1012" s="8">
        <v>2</v>
      </c>
      <c r="E1012" s="8" t="s">
        <v>313</v>
      </c>
    </row>
    <row r="1013" spans="1:5">
      <c r="A1013" s="18">
        <v>6092903705</v>
      </c>
      <c r="B1013" t="s">
        <v>750</v>
      </c>
      <c r="C1013" t="s">
        <v>347</v>
      </c>
      <c r="D1013" s="8">
        <v>2.5</v>
      </c>
      <c r="E1013" s="8" t="s">
        <v>311</v>
      </c>
    </row>
    <row r="1014" spans="1:5">
      <c r="A1014" s="18">
        <v>6092903705</v>
      </c>
      <c r="B1014" t="s">
        <v>751</v>
      </c>
      <c r="C1014" t="s">
        <v>347</v>
      </c>
      <c r="D1014" s="8">
        <v>3</v>
      </c>
      <c r="E1014" s="8" t="s">
        <v>322</v>
      </c>
    </row>
    <row r="1015" spans="1:5">
      <c r="A1015" s="18">
        <v>6092903705</v>
      </c>
      <c r="B1015" t="s">
        <v>752</v>
      </c>
      <c r="C1015" t="s">
        <v>347</v>
      </c>
      <c r="D1015" s="8">
        <v>3.5</v>
      </c>
      <c r="E1015" s="8" t="s">
        <v>310</v>
      </c>
    </row>
    <row r="1016" spans="1:5">
      <c r="A1016" s="18">
        <v>6092903705</v>
      </c>
      <c r="B1016" t="s">
        <v>572</v>
      </c>
      <c r="C1016" t="s">
        <v>347</v>
      </c>
      <c r="D1016" s="8">
        <v>4</v>
      </c>
      <c r="E1016" s="8" t="s">
        <v>309</v>
      </c>
    </row>
    <row r="1017" spans="1:5">
      <c r="A1017" s="18">
        <v>6092903705</v>
      </c>
      <c r="B1017" t="s">
        <v>753</v>
      </c>
      <c r="C1017" t="s">
        <v>347</v>
      </c>
      <c r="D1017" s="8">
        <v>4.5</v>
      </c>
      <c r="E1017" s="8" t="s">
        <v>316</v>
      </c>
    </row>
    <row r="1018" spans="1:5">
      <c r="A1018" s="18">
        <v>6092903705</v>
      </c>
      <c r="B1018" t="s">
        <v>754</v>
      </c>
      <c r="C1018" t="s">
        <v>347</v>
      </c>
      <c r="D1018" s="8">
        <v>5</v>
      </c>
      <c r="E1018" s="8" t="s">
        <v>314</v>
      </c>
    </row>
    <row r="1019" spans="1:5">
      <c r="A1019" s="18">
        <v>6092903705</v>
      </c>
      <c r="B1019" t="s">
        <v>755</v>
      </c>
      <c r="C1019" t="s">
        <v>347</v>
      </c>
      <c r="D1019" s="8">
        <v>5.5</v>
      </c>
      <c r="E1019" s="8" t="s">
        <v>315</v>
      </c>
    </row>
    <row r="1020" spans="1:5">
      <c r="A1020" s="18">
        <v>6092903705</v>
      </c>
      <c r="B1020" t="s">
        <v>756</v>
      </c>
      <c r="C1020" t="s">
        <v>347</v>
      </c>
      <c r="D1020" s="8">
        <v>6</v>
      </c>
      <c r="E1020" s="8" t="s">
        <v>332</v>
      </c>
    </row>
    <row r="1021" spans="1:5">
      <c r="A1021" s="18">
        <v>6092903705</v>
      </c>
      <c r="B1021" t="s">
        <v>757</v>
      </c>
      <c r="C1021" t="s">
        <v>347</v>
      </c>
      <c r="D1021" s="8">
        <v>6.5</v>
      </c>
      <c r="E1021" s="8" t="s">
        <v>327</v>
      </c>
    </row>
    <row r="1022" spans="1:5">
      <c r="A1022" s="18">
        <v>6092903705</v>
      </c>
      <c r="B1022" t="s">
        <v>758</v>
      </c>
      <c r="C1022" t="s">
        <v>347</v>
      </c>
      <c r="D1022" s="8">
        <v>7</v>
      </c>
      <c r="E1022" s="8" t="s">
        <v>328</v>
      </c>
    </row>
    <row r="1023" spans="1:5">
      <c r="A1023" s="18">
        <v>6092903705</v>
      </c>
      <c r="B1023" t="s">
        <v>759</v>
      </c>
      <c r="C1023" t="s">
        <v>347</v>
      </c>
      <c r="D1023" s="8">
        <v>7.5</v>
      </c>
      <c r="E1023" s="8" t="s">
        <v>331</v>
      </c>
    </row>
    <row r="1024" spans="1:5">
      <c r="A1024" s="18">
        <v>6092903705</v>
      </c>
      <c r="B1024" t="s">
        <v>760</v>
      </c>
      <c r="C1024" t="s">
        <v>347</v>
      </c>
      <c r="D1024" s="8">
        <v>8</v>
      </c>
      <c r="E1024" s="8" t="s">
        <v>329</v>
      </c>
    </row>
    <row r="1025" spans="1:5">
      <c r="A1025" s="18">
        <v>6092903705</v>
      </c>
      <c r="B1025" t="s">
        <v>761</v>
      </c>
      <c r="C1025" t="s">
        <v>347</v>
      </c>
      <c r="D1025" s="8">
        <v>8.5</v>
      </c>
      <c r="E1025" s="8" t="s">
        <v>334</v>
      </c>
    </row>
    <row r="1026" spans="1:5">
      <c r="A1026" s="18">
        <v>6092903705</v>
      </c>
      <c r="B1026" t="s">
        <v>762</v>
      </c>
      <c r="C1026" t="s">
        <v>347</v>
      </c>
      <c r="D1026" s="8">
        <v>9</v>
      </c>
      <c r="E1026" s="8" t="s">
        <v>312</v>
      </c>
    </row>
    <row r="1027" spans="1:5">
      <c r="A1027" s="18">
        <v>6092903705</v>
      </c>
      <c r="B1027" t="s">
        <v>763</v>
      </c>
      <c r="C1027" t="s">
        <v>347</v>
      </c>
      <c r="D1027" s="8">
        <v>9.5</v>
      </c>
      <c r="E1027" s="8" t="s">
        <v>336</v>
      </c>
    </row>
    <row r="1028" spans="1:5">
      <c r="A1028" s="18">
        <v>6092903705</v>
      </c>
      <c r="B1028" t="s">
        <v>764</v>
      </c>
      <c r="C1028" t="s">
        <v>561</v>
      </c>
      <c r="D1028" s="8">
        <v>10</v>
      </c>
      <c r="E1028" s="8" t="s">
        <v>190</v>
      </c>
    </row>
    <row r="1029" spans="1:5">
      <c r="A1029" s="18">
        <v>6092903705</v>
      </c>
      <c r="B1029" t="s">
        <v>765</v>
      </c>
      <c r="C1029" t="s">
        <v>561</v>
      </c>
      <c r="D1029" s="8">
        <v>1</v>
      </c>
      <c r="E1029" s="8" t="s">
        <v>172</v>
      </c>
    </row>
    <row r="1030" spans="1:5">
      <c r="A1030" s="18">
        <v>6092903705</v>
      </c>
      <c r="B1030" t="s">
        <v>766</v>
      </c>
      <c r="C1030" t="s">
        <v>561</v>
      </c>
      <c r="D1030" s="8">
        <v>10.5</v>
      </c>
      <c r="E1030" s="8" t="s">
        <v>338</v>
      </c>
    </row>
    <row r="1031" spans="1:5">
      <c r="A1031" s="18">
        <v>6092903705</v>
      </c>
      <c r="B1031" t="s">
        <v>767</v>
      </c>
      <c r="C1031" t="s">
        <v>561</v>
      </c>
      <c r="D1031" s="8">
        <v>11</v>
      </c>
      <c r="E1031" s="8" t="s">
        <v>340</v>
      </c>
    </row>
    <row r="1032" spans="1:5">
      <c r="A1032" s="18">
        <v>6092903705</v>
      </c>
      <c r="B1032" t="s">
        <v>768</v>
      </c>
      <c r="C1032" t="s">
        <v>561</v>
      </c>
      <c r="D1032" s="8">
        <v>11.5</v>
      </c>
      <c r="E1032" s="8" t="s">
        <v>342</v>
      </c>
    </row>
    <row r="1033" spans="1:5">
      <c r="A1033" s="18">
        <v>6092903705</v>
      </c>
      <c r="B1033" t="s">
        <v>769</v>
      </c>
      <c r="C1033" t="s">
        <v>561</v>
      </c>
      <c r="D1033" s="8">
        <v>12</v>
      </c>
      <c r="E1033" s="8" t="s">
        <v>344</v>
      </c>
    </row>
    <row r="1034" spans="1:5">
      <c r="A1034" s="18">
        <v>6092903705</v>
      </c>
      <c r="B1034" t="s">
        <v>770</v>
      </c>
      <c r="C1034" t="s">
        <v>561</v>
      </c>
      <c r="D1034" s="8">
        <v>1.5</v>
      </c>
      <c r="E1034" s="8" t="s">
        <v>320</v>
      </c>
    </row>
    <row r="1035" spans="1:5">
      <c r="A1035" s="18">
        <v>6092903705</v>
      </c>
      <c r="B1035" t="s">
        <v>771</v>
      </c>
      <c r="C1035" t="s">
        <v>561</v>
      </c>
      <c r="D1035" s="8">
        <v>2</v>
      </c>
      <c r="E1035" s="8" t="s">
        <v>174</v>
      </c>
    </row>
    <row r="1036" spans="1:5">
      <c r="A1036" s="18">
        <v>6092903705</v>
      </c>
      <c r="B1036" t="s">
        <v>772</v>
      </c>
      <c r="C1036" t="s">
        <v>561</v>
      </c>
      <c r="D1036" s="8">
        <v>2.5</v>
      </c>
      <c r="E1036" s="8" t="s">
        <v>169</v>
      </c>
    </row>
    <row r="1037" spans="1:5">
      <c r="A1037" s="18">
        <v>6092903705</v>
      </c>
      <c r="B1037" t="s">
        <v>773</v>
      </c>
      <c r="C1037" t="s">
        <v>561</v>
      </c>
      <c r="D1037" s="8">
        <v>3</v>
      </c>
      <c r="E1037" s="8" t="s">
        <v>176</v>
      </c>
    </row>
    <row r="1038" spans="1:5">
      <c r="A1038" s="18">
        <v>6092903705</v>
      </c>
      <c r="B1038" t="s">
        <v>774</v>
      </c>
      <c r="C1038" t="s">
        <v>561</v>
      </c>
      <c r="D1038" s="8">
        <v>3.5</v>
      </c>
      <c r="E1038" s="8" t="s">
        <v>323</v>
      </c>
    </row>
    <row r="1039" spans="1:5">
      <c r="A1039" s="18">
        <v>6092903705</v>
      </c>
      <c r="B1039" t="s">
        <v>775</v>
      </c>
      <c r="C1039" t="s">
        <v>561</v>
      </c>
      <c r="D1039" s="8">
        <v>4</v>
      </c>
      <c r="E1039" s="8" t="s">
        <v>178</v>
      </c>
    </row>
    <row r="1040" spans="1:5">
      <c r="A1040" s="18">
        <v>6092903705</v>
      </c>
      <c r="B1040" t="s">
        <v>776</v>
      </c>
      <c r="C1040" t="s">
        <v>561</v>
      </c>
      <c r="D1040" s="8">
        <v>4.5</v>
      </c>
      <c r="E1040" s="8" t="s">
        <v>324</v>
      </c>
    </row>
    <row r="1041" spans="1:5">
      <c r="A1041" s="18">
        <v>6092903705</v>
      </c>
      <c r="B1041" t="s">
        <v>777</v>
      </c>
      <c r="C1041" t="s">
        <v>561</v>
      </c>
      <c r="D1041" s="8">
        <v>5</v>
      </c>
      <c r="E1041" s="8" t="s">
        <v>180</v>
      </c>
    </row>
    <row r="1042" spans="1:5">
      <c r="A1042" s="18">
        <v>6092903705</v>
      </c>
      <c r="B1042" t="s">
        <v>778</v>
      </c>
      <c r="C1042" t="s">
        <v>561</v>
      </c>
      <c r="D1042" s="8">
        <v>5.5</v>
      </c>
      <c r="E1042" s="8" t="s">
        <v>325</v>
      </c>
    </row>
    <row r="1043" spans="1:5">
      <c r="A1043" s="18">
        <v>6092903705</v>
      </c>
      <c r="B1043" t="s">
        <v>779</v>
      </c>
      <c r="C1043" t="s">
        <v>561</v>
      </c>
      <c r="D1043" s="8">
        <v>6</v>
      </c>
      <c r="E1043" s="8" t="s">
        <v>182</v>
      </c>
    </row>
    <row r="1044" spans="1:5">
      <c r="A1044" s="18">
        <v>6092903705</v>
      </c>
      <c r="B1044" t="s">
        <v>780</v>
      </c>
      <c r="C1044" t="s">
        <v>561</v>
      </c>
      <c r="D1044" s="8">
        <v>6.5</v>
      </c>
      <c r="E1044" s="8" t="s">
        <v>326</v>
      </c>
    </row>
    <row r="1045" spans="1:5">
      <c r="A1045" s="18">
        <v>6092903705</v>
      </c>
      <c r="B1045" t="s">
        <v>781</v>
      </c>
      <c r="C1045" t="s">
        <v>561</v>
      </c>
      <c r="D1045" s="8">
        <v>7</v>
      </c>
      <c r="E1045" s="8" t="s">
        <v>184</v>
      </c>
    </row>
    <row r="1046" spans="1:5">
      <c r="A1046" s="18">
        <v>6092903705</v>
      </c>
      <c r="B1046" t="s">
        <v>782</v>
      </c>
      <c r="C1046" t="s">
        <v>561</v>
      </c>
      <c r="D1046" s="8">
        <v>7.5</v>
      </c>
      <c r="E1046" s="8" t="s">
        <v>330</v>
      </c>
    </row>
    <row r="1047" spans="1:5">
      <c r="A1047" s="18">
        <v>6092903705</v>
      </c>
      <c r="B1047" t="s">
        <v>783</v>
      </c>
      <c r="C1047" t="s">
        <v>561</v>
      </c>
      <c r="D1047" s="8">
        <v>8</v>
      </c>
      <c r="E1047" s="8" t="s">
        <v>186</v>
      </c>
    </row>
    <row r="1048" spans="1:5">
      <c r="A1048" s="18">
        <v>6092903705</v>
      </c>
      <c r="B1048" t="s">
        <v>784</v>
      </c>
      <c r="C1048" t="s">
        <v>561</v>
      </c>
      <c r="D1048" s="8">
        <v>8.5</v>
      </c>
      <c r="E1048" s="8" t="s">
        <v>333</v>
      </c>
    </row>
    <row r="1049" spans="1:5">
      <c r="A1049" s="18">
        <v>6092903705</v>
      </c>
      <c r="B1049" t="s">
        <v>785</v>
      </c>
      <c r="C1049" t="s">
        <v>561</v>
      </c>
      <c r="D1049" s="8">
        <v>9</v>
      </c>
      <c r="E1049" s="8" t="s">
        <v>188</v>
      </c>
    </row>
    <row r="1050" spans="1:5">
      <c r="A1050" s="18">
        <v>6092903705</v>
      </c>
      <c r="B1050" t="s">
        <v>786</v>
      </c>
      <c r="C1050" t="s">
        <v>561</v>
      </c>
      <c r="D1050" s="8">
        <v>9.5</v>
      </c>
      <c r="E1050" s="8" t="s">
        <v>335</v>
      </c>
    </row>
    <row r="1051" spans="1:5">
      <c r="A1051" s="18">
        <v>6092903705</v>
      </c>
      <c r="B1051" t="s">
        <v>787</v>
      </c>
      <c r="C1051" t="s">
        <v>420</v>
      </c>
      <c r="D1051" s="8">
        <v>10</v>
      </c>
      <c r="E1051" s="8" t="s">
        <v>190</v>
      </c>
    </row>
    <row r="1052" spans="1:5">
      <c r="A1052" s="18">
        <v>6092903705</v>
      </c>
      <c r="B1052" t="s">
        <v>788</v>
      </c>
      <c r="C1052" t="s">
        <v>420</v>
      </c>
      <c r="D1052" s="8">
        <v>1</v>
      </c>
      <c r="E1052" s="8" t="s">
        <v>172</v>
      </c>
    </row>
    <row r="1053" spans="1:5">
      <c r="A1053" s="18">
        <v>6092903705</v>
      </c>
      <c r="B1053" t="s">
        <v>789</v>
      </c>
      <c r="C1053" t="s">
        <v>420</v>
      </c>
      <c r="D1053" s="8">
        <v>10.5</v>
      </c>
      <c r="E1053" s="8" t="s">
        <v>338</v>
      </c>
    </row>
    <row r="1054" spans="1:5">
      <c r="A1054" s="18">
        <v>6092903705</v>
      </c>
      <c r="B1054" t="s">
        <v>790</v>
      </c>
      <c r="C1054" t="s">
        <v>420</v>
      </c>
      <c r="D1054" s="8">
        <v>11</v>
      </c>
      <c r="E1054" s="8" t="s">
        <v>340</v>
      </c>
    </row>
    <row r="1055" spans="1:5">
      <c r="A1055" s="18">
        <v>6092903705</v>
      </c>
      <c r="B1055" t="s">
        <v>791</v>
      </c>
      <c r="C1055" t="s">
        <v>420</v>
      </c>
      <c r="D1055" s="8">
        <v>11.5</v>
      </c>
      <c r="E1055" s="8" t="s">
        <v>342</v>
      </c>
    </row>
    <row r="1056" spans="1:5">
      <c r="A1056" s="18">
        <v>6092903705</v>
      </c>
      <c r="B1056" t="s">
        <v>792</v>
      </c>
      <c r="C1056" t="s">
        <v>420</v>
      </c>
      <c r="D1056" s="8">
        <v>12</v>
      </c>
      <c r="E1056" s="8" t="s">
        <v>344</v>
      </c>
    </row>
    <row r="1057" spans="1:5">
      <c r="A1057" s="18">
        <v>6092903705</v>
      </c>
      <c r="B1057" t="s">
        <v>793</v>
      </c>
      <c r="C1057" t="s">
        <v>420</v>
      </c>
      <c r="D1057" s="8">
        <v>1.5</v>
      </c>
      <c r="E1057" s="8" t="s">
        <v>320</v>
      </c>
    </row>
    <row r="1058" spans="1:5">
      <c r="A1058" s="18">
        <v>6092903705</v>
      </c>
      <c r="B1058" t="s">
        <v>794</v>
      </c>
      <c r="C1058" t="s">
        <v>420</v>
      </c>
      <c r="D1058" s="8">
        <v>2</v>
      </c>
      <c r="E1058" s="8" t="s">
        <v>174</v>
      </c>
    </row>
    <row r="1059" spans="1:5">
      <c r="A1059" s="18">
        <v>6092903705</v>
      </c>
      <c r="B1059" t="s">
        <v>795</v>
      </c>
      <c r="C1059" t="s">
        <v>420</v>
      </c>
      <c r="D1059" s="8">
        <v>2.5</v>
      </c>
      <c r="E1059" s="8" t="s">
        <v>169</v>
      </c>
    </row>
    <row r="1060" spans="1:5">
      <c r="A1060" s="18">
        <v>6092903705</v>
      </c>
      <c r="B1060" t="s">
        <v>796</v>
      </c>
      <c r="C1060" t="s">
        <v>420</v>
      </c>
      <c r="D1060" s="8">
        <v>3</v>
      </c>
      <c r="E1060" s="8" t="s">
        <v>176</v>
      </c>
    </row>
    <row r="1061" spans="1:5">
      <c r="A1061" s="18">
        <v>6092903705</v>
      </c>
      <c r="B1061" t="s">
        <v>797</v>
      </c>
      <c r="C1061" t="s">
        <v>420</v>
      </c>
      <c r="D1061" s="8">
        <v>3.5</v>
      </c>
      <c r="E1061" s="8" t="s">
        <v>323</v>
      </c>
    </row>
    <row r="1062" spans="1:5">
      <c r="A1062" s="18">
        <v>6092903705</v>
      </c>
      <c r="B1062" t="s">
        <v>573</v>
      </c>
      <c r="C1062" t="s">
        <v>420</v>
      </c>
      <c r="D1062" s="8">
        <v>4</v>
      </c>
      <c r="E1062" s="8" t="s">
        <v>178</v>
      </c>
    </row>
    <row r="1063" spans="1:5">
      <c r="A1063" s="18">
        <v>6092903705</v>
      </c>
      <c r="B1063" t="s">
        <v>798</v>
      </c>
      <c r="C1063" t="s">
        <v>420</v>
      </c>
      <c r="D1063" s="8">
        <v>4.5</v>
      </c>
      <c r="E1063" s="8" t="s">
        <v>324</v>
      </c>
    </row>
    <row r="1064" spans="1:5">
      <c r="A1064" s="18">
        <v>6092903705</v>
      </c>
      <c r="B1064" t="s">
        <v>799</v>
      </c>
      <c r="C1064" t="s">
        <v>420</v>
      </c>
      <c r="D1064" s="8">
        <v>5</v>
      </c>
      <c r="E1064" s="8" t="s">
        <v>180</v>
      </c>
    </row>
    <row r="1065" spans="1:5">
      <c r="A1065" s="18">
        <v>6092903705</v>
      </c>
      <c r="B1065" t="s">
        <v>800</v>
      </c>
      <c r="C1065" t="s">
        <v>420</v>
      </c>
      <c r="D1065" s="8">
        <v>5.5</v>
      </c>
      <c r="E1065" s="8" t="s">
        <v>325</v>
      </c>
    </row>
    <row r="1066" spans="1:5">
      <c r="A1066" s="18">
        <v>6092903705</v>
      </c>
      <c r="B1066" t="s">
        <v>801</v>
      </c>
      <c r="C1066" t="s">
        <v>420</v>
      </c>
      <c r="D1066" s="8">
        <v>6</v>
      </c>
      <c r="E1066" s="8" t="s">
        <v>182</v>
      </c>
    </row>
    <row r="1067" spans="1:5">
      <c r="A1067" s="18">
        <v>6092903705</v>
      </c>
      <c r="B1067" t="s">
        <v>802</v>
      </c>
      <c r="C1067" t="s">
        <v>420</v>
      </c>
      <c r="D1067" s="8">
        <v>6.5</v>
      </c>
      <c r="E1067" s="8" t="s">
        <v>326</v>
      </c>
    </row>
    <row r="1068" spans="1:5">
      <c r="A1068" s="18">
        <v>6092903705</v>
      </c>
      <c r="B1068" t="s">
        <v>803</v>
      </c>
      <c r="C1068" t="s">
        <v>420</v>
      </c>
      <c r="D1068" s="8">
        <v>7</v>
      </c>
      <c r="E1068" s="8" t="s">
        <v>184</v>
      </c>
    </row>
    <row r="1069" spans="1:5">
      <c r="A1069" s="18">
        <v>6092903705</v>
      </c>
      <c r="B1069" t="s">
        <v>804</v>
      </c>
      <c r="C1069" t="s">
        <v>420</v>
      </c>
      <c r="D1069" s="8">
        <v>7.5</v>
      </c>
      <c r="E1069" s="8" t="s">
        <v>330</v>
      </c>
    </row>
    <row r="1070" spans="1:5">
      <c r="A1070" s="18">
        <v>6092903705</v>
      </c>
      <c r="B1070" t="s">
        <v>805</v>
      </c>
      <c r="C1070" t="s">
        <v>420</v>
      </c>
      <c r="D1070" s="8">
        <v>8</v>
      </c>
      <c r="E1070" s="8" t="s">
        <v>186</v>
      </c>
    </row>
    <row r="1071" spans="1:5">
      <c r="A1071" s="18">
        <v>6092903705</v>
      </c>
      <c r="B1071" t="s">
        <v>806</v>
      </c>
      <c r="C1071" t="s">
        <v>420</v>
      </c>
      <c r="D1071" s="8">
        <v>8.5</v>
      </c>
      <c r="E1071" s="8" t="s">
        <v>333</v>
      </c>
    </row>
    <row r="1072" spans="1:5">
      <c r="A1072" s="18">
        <v>6092903705</v>
      </c>
      <c r="B1072" t="s">
        <v>807</v>
      </c>
      <c r="C1072" t="s">
        <v>420</v>
      </c>
      <c r="D1072" s="8">
        <v>9</v>
      </c>
      <c r="E1072" s="8" t="s">
        <v>188</v>
      </c>
    </row>
    <row r="1073" spans="1:5">
      <c r="A1073" s="18">
        <v>6092903705</v>
      </c>
      <c r="B1073" t="s">
        <v>808</v>
      </c>
      <c r="C1073" t="s">
        <v>420</v>
      </c>
      <c r="D1073" s="8">
        <v>9.5</v>
      </c>
      <c r="E1073" s="8" t="s">
        <v>335</v>
      </c>
    </row>
    <row r="1074" spans="1:5">
      <c r="A1074" s="18">
        <v>6092903705</v>
      </c>
      <c r="B1074" t="s">
        <v>809</v>
      </c>
      <c r="C1074" t="s">
        <v>230</v>
      </c>
      <c r="D1074" s="8">
        <v>10</v>
      </c>
      <c r="E1074" s="8" t="s">
        <v>337</v>
      </c>
    </row>
    <row r="1075" spans="1:5">
      <c r="A1075" s="18">
        <v>6092903705</v>
      </c>
      <c r="B1075" t="s">
        <v>810</v>
      </c>
      <c r="C1075" t="s">
        <v>230</v>
      </c>
      <c r="D1075" s="8">
        <v>1</v>
      </c>
      <c r="E1075" s="8" t="s">
        <v>319</v>
      </c>
    </row>
    <row r="1076" spans="1:5">
      <c r="A1076" s="18">
        <v>6092903705</v>
      </c>
      <c r="B1076" t="s">
        <v>811</v>
      </c>
      <c r="C1076" t="s">
        <v>230</v>
      </c>
      <c r="D1076" s="8">
        <v>10.5</v>
      </c>
      <c r="E1076" s="8" t="s">
        <v>339</v>
      </c>
    </row>
    <row r="1077" spans="1:5">
      <c r="A1077" s="18">
        <v>6092903705</v>
      </c>
      <c r="B1077" t="s">
        <v>812</v>
      </c>
      <c r="C1077" t="s">
        <v>230</v>
      </c>
      <c r="D1077" s="8">
        <v>11</v>
      </c>
      <c r="E1077" s="8" t="s">
        <v>341</v>
      </c>
    </row>
    <row r="1078" spans="1:5">
      <c r="A1078" s="18">
        <v>6092903705</v>
      </c>
      <c r="B1078" t="s">
        <v>813</v>
      </c>
      <c r="C1078" t="s">
        <v>230</v>
      </c>
      <c r="D1078" s="8">
        <v>11.5</v>
      </c>
      <c r="E1078" s="8" t="s">
        <v>343</v>
      </c>
    </row>
    <row r="1079" spans="1:5">
      <c r="A1079" s="18">
        <v>6092903705</v>
      </c>
      <c r="B1079" t="s">
        <v>814</v>
      </c>
      <c r="C1079" t="s">
        <v>230</v>
      </c>
      <c r="D1079" s="8">
        <v>12</v>
      </c>
      <c r="E1079" s="8" t="s">
        <v>345</v>
      </c>
    </row>
    <row r="1080" spans="1:5">
      <c r="A1080" s="18">
        <v>6092903705</v>
      </c>
      <c r="B1080" t="s">
        <v>815</v>
      </c>
      <c r="C1080" t="s">
        <v>230</v>
      </c>
      <c r="D1080" s="8">
        <v>1.5</v>
      </c>
      <c r="E1080" s="8" t="s">
        <v>321</v>
      </c>
    </row>
    <row r="1081" spans="1:5">
      <c r="A1081" s="18">
        <v>6092903705</v>
      </c>
      <c r="B1081" t="s">
        <v>816</v>
      </c>
      <c r="C1081" t="s">
        <v>230</v>
      </c>
      <c r="D1081" s="8">
        <v>2</v>
      </c>
      <c r="E1081" s="8" t="s">
        <v>313</v>
      </c>
    </row>
    <row r="1082" spans="1:5">
      <c r="A1082" s="18">
        <v>6092903705</v>
      </c>
      <c r="B1082" t="s">
        <v>817</v>
      </c>
      <c r="C1082" t="s">
        <v>456</v>
      </c>
      <c r="D1082" s="8">
        <v>2.5</v>
      </c>
      <c r="E1082" s="8" t="s">
        <v>311</v>
      </c>
    </row>
    <row r="1083" spans="1:5">
      <c r="A1083" s="18">
        <v>6092903705</v>
      </c>
      <c r="B1083" t="s">
        <v>818</v>
      </c>
      <c r="C1083" t="s">
        <v>456</v>
      </c>
      <c r="D1083" s="8">
        <v>3</v>
      </c>
      <c r="E1083" s="8" t="s">
        <v>322</v>
      </c>
    </row>
    <row r="1084" spans="1:5">
      <c r="A1084" s="18">
        <v>6092903705</v>
      </c>
      <c r="B1084" t="s">
        <v>819</v>
      </c>
      <c r="C1084" t="s">
        <v>456</v>
      </c>
      <c r="D1084" s="8">
        <v>3.5</v>
      </c>
      <c r="E1084" s="8" t="s">
        <v>310</v>
      </c>
    </row>
    <row r="1085" spans="1:5">
      <c r="A1085" s="18">
        <v>6092903705</v>
      </c>
      <c r="B1085" t="s">
        <v>820</v>
      </c>
      <c r="C1085" t="s">
        <v>456</v>
      </c>
      <c r="D1085" s="8">
        <v>4</v>
      </c>
      <c r="E1085" s="8" t="s">
        <v>309</v>
      </c>
    </row>
    <row r="1086" spans="1:5">
      <c r="A1086" s="18">
        <v>6092903705</v>
      </c>
      <c r="B1086" t="s">
        <v>821</v>
      </c>
      <c r="C1086" t="s">
        <v>456</v>
      </c>
      <c r="D1086" s="8">
        <v>4.5</v>
      </c>
      <c r="E1086" s="8" t="s">
        <v>316</v>
      </c>
    </row>
    <row r="1087" spans="1:5">
      <c r="A1087" s="18">
        <v>6092903705</v>
      </c>
      <c r="B1087" t="s">
        <v>822</v>
      </c>
      <c r="C1087" t="s">
        <v>456</v>
      </c>
      <c r="D1087" s="8">
        <v>5</v>
      </c>
      <c r="E1087" s="8" t="s">
        <v>314</v>
      </c>
    </row>
    <row r="1088" spans="1:5">
      <c r="A1088" s="18">
        <v>6092903705</v>
      </c>
      <c r="B1088" t="s">
        <v>823</v>
      </c>
      <c r="C1088" t="s">
        <v>456</v>
      </c>
      <c r="D1088" s="8">
        <v>5.5</v>
      </c>
      <c r="E1088" s="8" t="s">
        <v>315</v>
      </c>
    </row>
    <row r="1089" spans="1:5">
      <c r="A1089" s="18">
        <v>6092903705</v>
      </c>
      <c r="B1089" t="s">
        <v>824</v>
      </c>
      <c r="C1089" t="s">
        <v>456</v>
      </c>
      <c r="D1089" s="8">
        <v>6</v>
      </c>
      <c r="E1089" s="8" t="s">
        <v>332</v>
      </c>
    </row>
    <row r="1090" spans="1:5">
      <c r="A1090" s="18">
        <v>6092903705</v>
      </c>
      <c r="B1090" t="s">
        <v>825</v>
      </c>
      <c r="C1090" t="s">
        <v>230</v>
      </c>
      <c r="D1090" s="8">
        <v>6.5</v>
      </c>
      <c r="E1090" s="8" t="s">
        <v>327</v>
      </c>
    </row>
    <row r="1091" spans="1:5">
      <c r="A1091" s="18">
        <v>6092903705</v>
      </c>
      <c r="B1091" t="s">
        <v>826</v>
      </c>
      <c r="C1091" t="s">
        <v>230</v>
      </c>
      <c r="D1091" s="8">
        <v>7</v>
      </c>
      <c r="E1091" s="8" t="s">
        <v>328</v>
      </c>
    </row>
    <row r="1092" spans="1:5">
      <c r="A1092" s="18">
        <v>6092903705</v>
      </c>
      <c r="B1092" t="s">
        <v>827</v>
      </c>
      <c r="C1092" t="s">
        <v>230</v>
      </c>
      <c r="D1092" s="8">
        <v>7.5</v>
      </c>
      <c r="E1092" s="8" t="s">
        <v>331</v>
      </c>
    </row>
    <row r="1093" spans="1:5">
      <c r="A1093" s="18">
        <v>6092903705</v>
      </c>
      <c r="B1093" t="s">
        <v>828</v>
      </c>
      <c r="C1093" t="s">
        <v>230</v>
      </c>
      <c r="D1093" s="8">
        <v>8</v>
      </c>
      <c r="E1093" s="8" t="s">
        <v>329</v>
      </c>
    </row>
    <row r="1094" spans="1:5">
      <c r="A1094" s="18">
        <v>6092903705</v>
      </c>
      <c r="B1094" t="s">
        <v>829</v>
      </c>
      <c r="C1094" t="s">
        <v>230</v>
      </c>
      <c r="D1094" s="8">
        <v>8.5</v>
      </c>
      <c r="E1094" s="8" t="s">
        <v>334</v>
      </c>
    </row>
    <row r="1095" spans="1:5">
      <c r="A1095" s="18">
        <v>6092903705</v>
      </c>
      <c r="B1095" t="s">
        <v>830</v>
      </c>
      <c r="C1095" t="s">
        <v>230</v>
      </c>
      <c r="D1095" s="8">
        <v>9</v>
      </c>
      <c r="E1095" s="8" t="s">
        <v>312</v>
      </c>
    </row>
    <row r="1096" spans="1:5">
      <c r="A1096" s="18">
        <v>6092903705</v>
      </c>
      <c r="B1096" t="s">
        <v>831</v>
      </c>
      <c r="C1096" t="s">
        <v>230</v>
      </c>
      <c r="D1096" s="8">
        <v>9.5</v>
      </c>
      <c r="E1096" s="8" t="s">
        <v>336</v>
      </c>
    </row>
    <row r="1097" spans="1:5">
      <c r="A1097" s="18">
        <v>6092903705</v>
      </c>
      <c r="B1097" t="s">
        <v>832</v>
      </c>
      <c r="C1097" t="s">
        <v>562</v>
      </c>
      <c r="D1097" s="8">
        <v>10</v>
      </c>
      <c r="E1097" s="8" t="s">
        <v>190</v>
      </c>
    </row>
    <row r="1098" spans="1:5">
      <c r="A1098" s="18">
        <v>6092903705</v>
      </c>
      <c r="B1098" t="s">
        <v>833</v>
      </c>
      <c r="C1098" t="s">
        <v>562</v>
      </c>
      <c r="D1098" s="8">
        <v>1</v>
      </c>
      <c r="E1098" s="8" t="s">
        <v>172</v>
      </c>
    </row>
    <row r="1099" spans="1:5">
      <c r="A1099" s="18">
        <v>6092903705</v>
      </c>
      <c r="B1099" t="s">
        <v>834</v>
      </c>
      <c r="C1099" t="s">
        <v>562</v>
      </c>
      <c r="D1099" s="8">
        <v>10.5</v>
      </c>
      <c r="E1099" s="8" t="s">
        <v>338</v>
      </c>
    </row>
    <row r="1100" spans="1:5">
      <c r="A1100" s="18">
        <v>6092903705</v>
      </c>
      <c r="B1100" t="s">
        <v>835</v>
      </c>
      <c r="C1100" t="s">
        <v>562</v>
      </c>
      <c r="D1100" s="8">
        <v>11</v>
      </c>
      <c r="E1100" s="8" t="s">
        <v>340</v>
      </c>
    </row>
    <row r="1101" spans="1:5">
      <c r="A1101" s="18">
        <v>6092903705</v>
      </c>
      <c r="B1101" t="s">
        <v>836</v>
      </c>
      <c r="C1101" t="s">
        <v>562</v>
      </c>
      <c r="D1101" s="8">
        <v>11.5</v>
      </c>
      <c r="E1101" s="8" t="s">
        <v>342</v>
      </c>
    </row>
    <row r="1102" spans="1:5">
      <c r="A1102" s="18">
        <v>6092903705</v>
      </c>
      <c r="B1102" t="s">
        <v>837</v>
      </c>
      <c r="C1102" t="s">
        <v>562</v>
      </c>
      <c r="D1102" s="8">
        <v>12</v>
      </c>
      <c r="E1102" s="8" t="s">
        <v>344</v>
      </c>
    </row>
    <row r="1103" spans="1:5">
      <c r="A1103" s="18">
        <v>6092903705</v>
      </c>
      <c r="B1103" t="s">
        <v>838</v>
      </c>
      <c r="C1103" t="s">
        <v>563</v>
      </c>
      <c r="D1103" s="8">
        <v>1.5</v>
      </c>
      <c r="E1103" s="8" t="s">
        <v>320</v>
      </c>
    </row>
    <row r="1104" spans="1:5">
      <c r="A1104" s="18">
        <v>6092903705</v>
      </c>
      <c r="B1104" t="s">
        <v>839</v>
      </c>
      <c r="C1104" t="s">
        <v>563</v>
      </c>
      <c r="D1104" s="8">
        <v>2</v>
      </c>
      <c r="E1104" s="8" t="s">
        <v>174</v>
      </c>
    </row>
    <row r="1105" spans="1:5">
      <c r="A1105" s="18">
        <v>6092903705</v>
      </c>
      <c r="B1105" t="s">
        <v>840</v>
      </c>
      <c r="C1105" t="s">
        <v>563</v>
      </c>
      <c r="D1105" s="8">
        <v>2.5</v>
      </c>
      <c r="E1105" s="8" t="s">
        <v>169</v>
      </c>
    </row>
    <row r="1106" spans="1:5">
      <c r="A1106" s="18">
        <v>6092903705</v>
      </c>
      <c r="B1106" t="s">
        <v>841</v>
      </c>
      <c r="C1106" t="s">
        <v>563</v>
      </c>
      <c r="D1106" s="8">
        <v>3</v>
      </c>
      <c r="E1106" s="8" t="s">
        <v>176</v>
      </c>
    </row>
    <row r="1107" spans="1:5">
      <c r="A1107" s="18">
        <v>6092903705</v>
      </c>
      <c r="B1107" t="s">
        <v>842</v>
      </c>
      <c r="C1107" t="s">
        <v>563</v>
      </c>
      <c r="D1107" s="8">
        <v>3.5</v>
      </c>
      <c r="E1107" s="8" t="s">
        <v>323</v>
      </c>
    </row>
    <row r="1108" spans="1:5">
      <c r="A1108" s="18">
        <v>6092903705</v>
      </c>
      <c r="B1108" t="s">
        <v>843</v>
      </c>
      <c r="C1108" t="s">
        <v>563</v>
      </c>
      <c r="D1108" s="8">
        <v>4</v>
      </c>
      <c r="E1108" s="8" t="s">
        <v>178</v>
      </c>
    </row>
    <row r="1109" spans="1:5">
      <c r="A1109" s="18">
        <v>6092903705</v>
      </c>
      <c r="B1109" t="s">
        <v>844</v>
      </c>
      <c r="C1109" t="s">
        <v>563</v>
      </c>
      <c r="D1109" s="8">
        <v>4.5</v>
      </c>
      <c r="E1109" s="8" t="s">
        <v>324</v>
      </c>
    </row>
    <row r="1110" spans="1:5">
      <c r="A1110" s="18">
        <v>6092903705</v>
      </c>
      <c r="B1110" t="s">
        <v>845</v>
      </c>
      <c r="C1110" t="s">
        <v>563</v>
      </c>
      <c r="D1110" s="8">
        <v>5</v>
      </c>
      <c r="E1110" s="8" t="s">
        <v>180</v>
      </c>
    </row>
    <row r="1111" spans="1:5">
      <c r="A1111" s="18">
        <v>6092903705</v>
      </c>
      <c r="B1111" t="s">
        <v>846</v>
      </c>
      <c r="C1111" t="s">
        <v>563</v>
      </c>
      <c r="D1111" s="8">
        <v>5.5</v>
      </c>
      <c r="E1111" s="8" t="s">
        <v>325</v>
      </c>
    </row>
    <row r="1112" spans="1:5">
      <c r="A1112" s="18">
        <v>6092903705</v>
      </c>
      <c r="B1112" t="s">
        <v>847</v>
      </c>
      <c r="C1112" t="s">
        <v>563</v>
      </c>
      <c r="D1112" s="8">
        <v>6</v>
      </c>
      <c r="E1112" s="8" t="s">
        <v>182</v>
      </c>
    </row>
    <row r="1113" spans="1:5">
      <c r="A1113" s="18">
        <v>6092903705</v>
      </c>
      <c r="B1113" t="s">
        <v>848</v>
      </c>
      <c r="C1113" t="s">
        <v>562</v>
      </c>
      <c r="D1113" s="8">
        <v>6.5</v>
      </c>
      <c r="E1113" s="8" t="s">
        <v>326</v>
      </c>
    </row>
    <row r="1114" spans="1:5">
      <c r="A1114" s="18">
        <v>6092903705</v>
      </c>
      <c r="B1114" t="s">
        <v>849</v>
      </c>
      <c r="C1114" t="s">
        <v>562</v>
      </c>
      <c r="D1114" s="8">
        <v>7</v>
      </c>
      <c r="E1114" s="8" t="s">
        <v>184</v>
      </c>
    </row>
    <row r="1115" spans="1:5">
      <c r="A1115" s="18">
        <v>6092903705</v>
      </c>
      <c r="B1115" t="s">
        <v>850</v>
      </c>
      <c r="C1115" t="s">
        <v>562</v>
      </c>
      <c r="D1115" s="8">
        <v>7.5</v>
      </c>
      <c r="E1115" s="8" t="s">
        <v>330</v>
      </c>
    </row>
    <row r="1116" spans="1:5">
      <c r="A1116" s="18">
        <v>6092903705</v>
      </c>
      <c r="B1116" t="s">
        <v>851</v>
      </c>
      <c r="C1116" t="s">
        <v>562</v>
      </c>
      <c r="D1116" s="8">
        <v>8</v>
      </c>
      <c r="E1116" s="8" t="s">
        <v>186</v>
      </c>
    </row>
    <row r="1117" spans="1:5">
      <c r="A1117" s="18">
        <v>6092903705</v>
      </c>
      <c r="B1117" t="s">
        <v>852</v>
      </c>
      <c r="C1117" t="s">
        <v>562</v>
      </c>
      <c r="D1117" s="8">
        <v>8.5</v>
      </c>
      <c r="E1117" s="8" t="s">
        <v>333</v>
      </c>
    </row>
    <row r="1118" spans="1:5">
      <c r="A1118" s="18">
        <v>6092903705</v>
      </c>
      <c r="B1118" t="s">
        <v>853</v>
      </c>
      <c r="C1118" t="s">
        <v>562</v>
      </c>
      <c r="D1118" s="8">
        <v>9</v>
      </c>
      <c r="E1118" s="8" t="s">
        <v>188</v>
      </c>
    </row>
    <row r="1119" spans="1:5">
      <c r="A1119" s="18">
        <v>6092903705</v>
      </c>
      <c r="B1119" t="s">
        <v>854</v>
      </c>
      <c r="C1119" t="s">
        <v>562</v>
      </c>
      <c r="D1119" s="8">
        <v>9.5</v>
      </c>
      <c r="E1119" s="8" t="s">
        <v>335</v>
      </c>
    </row>
    <row r="1120" spans="1:5">
      <c r="A1120" s="18">
        <v>6092903705</v>
      </c>
      <c r="B1120" t="s">
        <v>855</v>
      </c>
      <c r="C1120" t="s">
        <v>224</v>
      </c>
      <c r="D1120" s="8">
        <v>0.5</v>
      </c>
      <c r="E1120" s="8" t="s">
        <v>70</v>
      </c>
    </row>
    <row r="1121" spans="1:5">
      <c r="A1121" s="18">
        <v>6092903705</v>
      </c>
      <c r="B1121" t="s">
        <v>856</v>
      </c>
      <c r="C1121" t="s">
        <v>559</v>
      </c>
      <c r="D1121" s="8">
        <v>0.5</v>
      </c>
      <c r="E1121" s="8" t="s">
        <v>70</v>
      </c>
    </row>
    <row r="1122" spans="1:5">
      <c r="A1122" s="18">
        <v>6092903705</v>
      </c>
      <c r="B1122" t="s">
        <v>857</v>
      </c>
      <c r="C1122" t="s">
        <v>225</v>
      </c>
      <c r="D1122" s="8">
        <v>0.5</v>
      </c>
      <c r="E1122" s="8" t="s">
        <v>70</v>
      </c>
    </row>
    <row r="1123" spans="1:5">
      <c r="A1123" s="18">
        <v>6092903705</v>
      </c>
      <c r="B1123" t="s">
        <v>858</v>
      </c>
      <c r="C1123" t="s">
        <v>226</v>
      </c>
      <c r="D1123" s="8">
        <v>0.5</v>
      </c>
      <c r="E1123" s="8" t="s">
        <v>70</v>
      </c>
    </row>
    <row r="1124" spans="1:5">
      <c r="A1124" s="18">
        <v>6092903705</v>
      </c>
      <c r="B1124" t="s">
        <v>859</v>
      </c>
      <c r="C1124" t="s">
        <v>560</v>
      </c>
      <c r="D1124" s="8">
        <v>0.5</v>
      </c>
      <c r="E1124" s="8" t="s">
        <v>70</v>
      </c>
    </row>
    <row r="1125" spans="1:5">
      <c r="A1125" s="18">
        <v>6092903705</v>
      </c>
      <c r="B1125" t="s">
        <v>860</v>
      </c>
      <c r="C1125" t="s">
        <v>227</v>
      </c>
      <c r="D1125" s="8">
        <v>0.5</v>
      </c>
      <c r="E1125" s="8" t="s">
        <v>70</v>
      </c>
    </row>
    <row r="1126" spans="1:5">
      <c r="A1126" s="18">
        <v>6092903705</v>
      </c>
      <c r="B1126" t="s">
        <v>861</v>
      </c>
      <c r="C1126" t="s">
        <v>228</v>
      </c>
      <c r="D1126" s="8">
        <v>0.5</v>
      </c>
      <c r="E1126" s="8" t="s">
        <v>70</v>
      </c>
    </row>
    <row r="1127" spans="1:5">
      <c r="A1127" s="18">
        <v>6092903705</v>
      </c>
      <c r="B1127" t="s">
        <v>862</v>
      </c>
      <c r="C1127" t="s">
        <v>564</v>
      </c>
      <c r="D1127" s="8">
        <v>0.5</v>
      </c>
      <c r="E1127" s="8" t="s">
        <v>70</v>
      </c>
    </row>
    <row r="1128" spans="1:5">
      <c r="A1128" s="18">
        <v>6092903705</v>
      </c>
      <c r="B1128" t="s">
        <v>863</v>
      </c>
      <c r="C1128" t="s">
        <v>229</v>
      </c>
      <c r="D1128" s="8">
        <v>0.5</v>
      </c>
      <c r="E1128" s="8" t="s">
        <v>70</v>
      </c>
    </row>
    <row r="1129" spans="1:5">
      <c r="A1129" s="18">
        <v>6092903705</v>
      </c>
      <c r="B1129" t="s">
        <v>864</v>
      </c>
      <c r="C1129" t="s">
        <v>230</v>
      </c>
      <c r="D1129" s="8">
        <v>0.5</v>
      </c>
      <c r="E1129" s="8" t="s">
        <v>70</v>
      </c>
    </row>
    <row r="1130" spans="1:5">
      <c r="A1130" s="18">
        <v>6092903705</v>
      </c>
      <c r="B1130" t="s">
        <v>865</v>
      </c>
      <c r="C1130" t="s">
        <v>562</v>
      </c>
      <c r="D1130" s="8">
        <v>0.5</v>
      </c>
      <c r="E1130" s="8" t="s">
        <v>70</v>
      </c>
    </row>
    <row r="1131" spans="1:5">
      <c r="A1131" s="18">
        <v>6092903705</v>
      </c>
      <c r="B1131" t="s">
        <v>2561</v>
      </c>
      <c r="C1131" t="s">
        <v>253</v>
      </c>
      <c r="D1131" s="8">
        <v>10</v>
      </c>
      <c r="E1131" s="8" t="s">
        <v>190</v>
      </c>
    </row>
    <row r="1132" spans="1:5">
      <c r="A1132" s="18">
        <v>6092903705</v>
      </c>
      <c r="B1132" t="s">
        <v>2562</v>
      </c>
      <c r="C1132" t="s">
        <v>253</v>
      </c>
      <c r="D1132" s="8">
        <v>1</v>
      </c>
      <c r="E1132" s="8" t="s">
        <v>172</v>
      </c>
    </row>
    <row r="1133" spans="1:5">
      <c r="A1133" s="18">
        <v>6092903705</v>
      </c>
      <c r="B1133" t="s">
        <v>2563</v>
      </c>
      <c r="C1133" t="s">
        <v>253</v>
      </c>
      <c r="D1133" s="8">
        <v>10.5</v>
      </c>
      <c r="E1133" s="8" t="s">
        <v>338</v>
      </c>
    </row>
    <row r="1134" spans="1:5">
      <c r="A1134" s="18">
        <v>6092903705</v>
      </c>
      <c r="B1134" t="s">
        <v>2564</v>
      </c>
      <c r="C1134" t="s">
        <v>253</v>
      </c>
      <c r="D1134" s="8">
        <v>11</v>
      </c>
      <c r="E1134" s="8" t="s">
        <v>340</v>
      </c>
    </row>
    <row r="1135" spans="1:5">
      <c r="A1135" s="18">
        <v>6092903705</v>
      </c>
      <c r="B1135" t="s">
        <v>2565</v>
      </c>
      <c r="C1135" t="s">
        <v>253</v>
      </c>
      <c r="D1135" s="8">
        <v>11.5</v>
      </c>
      <c r="E1135" s="8" t="s">
        <v>342</v>
      </c>
    </row>
    <row r="1136" spans="1:5">
      <c r="A1136" s="18">
        <v>6092903705</v>
      </c>
      <c r="B1136" t="s">
        <v>2566</v>
      </c>
      <c r="C1136" t="s">
        <v>253</v>
      </c>
      <c r="D1136" s="8">
        <v>12</v>
      </c>
      <c r="E1136" s="8" t="s">
        <v>344</v>
      </c>
    </row>
    <row r="1137" spans="1:5">
      <c r="A1137" s="18">
        <v>6092903705</v>
      </c>
      <c r="B1137" t="s">
        <v>2567</v>
      </c>
      <c r="C1137" t="s">
        <v>253</v>
      </c>
      <c r="D1137" s="8">
        <v>1.5</v>
      </c>
      <c r="E1137" s="8" t="s">
        <v>320</v>
      </c>
    </row>
    <row r="1138" spans="1:5">
      <c r="A1138" s="18">
        <v>6092903705</v>
      </c>
      <c r="B1138" t="s">
        <v>2568</v>
      </c>
      <c r="C1138" t="s">
        <v>253</v>
      </c>
      <c r="D1138" s="8">
        <v>2</v>
      </c>
      <c r="E1138" s="8" t="s">
        <v>174</v>
      </c>
    </row>
    <row r="1139" spans="1:5">
      <c r="A1139" s="18">
        <v>6092903705</v>
      </c>
      <c r="B1139" t="s">
        <v>2569</v>
      </c>
      <c r="C1139" t="s">
        <v>253</v>
      </c>
      <c r="D1139" s="8">
        <v>2.5</v>
      </c>
      <c r="E1139" s="8" t="s">
        <v>169</v>
      </c>
    </row>
    <row r="1140" spans="1:5">
      <c r="A1140" s="18">
        <v>6092903705</v>
      </c>
      <c r="B1140" t="s">
        <v>2570</v>
      </c>
      <c r="C1140" t="s">
        <v>253</v>
      </c>
      <c r="D1140" s="8">
        <v>3</v>
      </c>
      <c r="E1140" s="8" t="s">
        <v>176</v>
      </c>
    </row>
    <row r="1141" spans="1:5">
      <c r="A1141" s="18">
        <v>6092903705</v>
      </c>
      <c r="B1141" t="s">
        <v>2571</v>
      </c>
      <c r="C1141" t="s">
        <v>253</v>
      </c>
      <c r="D1141" s="8">
        <v>3.5</v>
      </c>
      <c r="E1141" s="8" t="s">
        <v>323</v>
      </c>
    </row>
    <row r="1142" spans="1:5">
      <c r="A1142" s="18">
        <v>6092903705</v>
      </c>
      <c r="B1142" t="s">
        <v>2572</v>
      </c>
      <c r="C1142" t="s">
        <v>253</v>
      </c>
      <c r="D1142" s="8">
        <v>4</v>
      </c>
      <c r="E1142" s="8" t="s">
        <v>178</v>
      </c>
    </row>
    <row r="1143" spans="1:5">
      <c r="A1143" s="18">
        <v>6092903705</v>
      </c>
      <c r="B1143" t="s">
        <v>2573</v>
      </c>
      <c r="C1143" t="s">
        <v>253</v>
      </c>
      <c r="D1143" s="8">
        <v>4.5</v>
      </c>
      <c r="E1143" s="8" t="s">
        <v>324</v>
      </c>
    </row>
    <row r="1144" spans="1:5">
      <c r="A1144" s="18">
        <v>6092903705</v>
      </c>
      <c r="B1144" t="s">
        <v>2574</v>
      </c>
      <c r="C1144" t="s">
        <v>253</v>
      </c>
      <c r="D1144" s="8">
        <v>5</v>
      </c>
      <c r="E1144" s="8" t="s">
        <v>180</v>
      </c>
    </row>
    <row r="1145" spans="1:5">
      <c r="A1145" s="18">
        <v>6092903705</v>
      </c>
      <c r="B1145" t="s">
        <v>2575</v>
      </c>
      <c r="C1145" t="s">
        <v>253</v>
      </c>
      <c r="D1145" s="8">
        <v>5.5</v>
      </c>
      <c r="E1145" s="8" t="s">
        <v>325</v>
      </c>
    </row>
    <row r="1146" spans="1:5">
      <c r="A1146" s="18">
        <v>6092903705</v>
      </c>
      <c r="B1146" t="s">
        <v>2576</v>
      </c>
      <c r="C1146" t="s">
        <v>253</v>
      </c>
      <c r="D1146" s="8">
        <v>6</v>
      </c>
      <c r="E1146" s="8" t="s">
        <v>182</v>
      </c>
    </row>
    <row r="1147" spans="1:5">
      <c r="A1147" s="18">
        <v>6092903705</v>
      </c>
      <c r="B1147" t="s">
        <v>2577</v>
      </c>
      <c r="C1147" t="s">
        <v>253</v>
      </c>
      <c r="D1147" s="8">
        <v>6.5</v>
      </c>
      <c r="E1147" s="8" t="s">
        <v>326</v>
      </c>
    </row>
    <row r="1148" spans="1:5">
      <c r="A1148" s="18">
        <v>6092903705</v>
      </c>
      <c r="B1148" t="s">
        <v>2578</v>
      </c>
      <c r="C1148" t="s">
        <v>253</v>
      </c>
      <c r="D1148" s="8">
        <v>7</v>
      </c>
      <c r="E1148" s="8" t="s">
        <v>184</v>
      </c>
    </row>
    <row r="1149" spans="1:5">
      <c r="A1149" s="18">
        <v>6092903705</v>
      </c>
      <c r="B1149" t="s">
        <v>2579</v>
      </c>
      <c r="C1149" t="s">
        <v>253</v>
      </c>
      <c r="D1149" s="8">
        <v>7.5</v>
      </c>
      <c r="E1149" s="8" t="s">
        <v>330</v>
      </c>
    </row>
    <row r="1150" spans="1:5">
      <c r="A1150" s="18">
        <v>6092903705</v>
      </c>
      <c r="B1150" t="s">
        <v>2580</v>
      </c>
      <c r="C1150" t="s">
        <v>253</v>
      </c>
      <c r="D1150" s="8">
        <v>8</v>
      </c>
      <c r="E1150" s="8" t="s">
        <v>186</v>
      </c>
    </row>
    <row r="1151" spans="1:5">
      <c r="A1151" s="18">
        <v>6092903705</v>
      </c>
      <c r="B1151" t="s">
        <v>2581</v>
      </c>
      <c r="C1151" t="s">
        <v>253</v>
      </c>
      <c r="D1151" s="8">
        <v>8.5</v>
      </c>
      <c r="E1151" s="8" t="s">
        <v>333</v>
      </c>
    </row>
    <row r="1152" spans="1:5">
      <c r="A1152" s="18">
        <v>6092903705</v>
      </c>
      <c r="B1152" t="s">
        <v>2582</v>
      </c>
      <c r="C1152" t="s">
        <v>253</v>
      </c>
      <c r="D1152" s="8">
        <v>9</v>
      </c>
      <c r="E1152" s="8" t="s">
        <v>188</v>
      </c>
    </row>
    <row r="1153" spans="1:5">
      <c r="A1153" s="18">
        <v>6092903705</v>
      </c>
      <c r="B1153" t="s">
        <v>2583</v>
      </c>
      <c r="C1153" t="s">
        <v>253</v>
      </c>
      <c r="D1153" s="8">
        <v>9.5</v>
      </c>
      <c r="E1153" s="8" t="s">
        <v>335</v>
      </c>
    </row>
    <row r="1154" spans="1:5">
      <c r="A1154" s="18">
        <v>6092903705</v>
      </c>
      <c r="B1154" t="s">
        <v>2584</v>
      </c>
      <c r="C1154" t="s">
        <v>545</v>
      </c>
      <c r="D1154" s="8">
        <v>10</v>
      </c>
      <c r="E1154" s="8" t="s">
        <v>190</v>
      </c>
    </row>
    <row r="1155" spans="1:5">
      <c r="A1155" s="18">
        <v>6092903705</v>
      </c>
      <c r="B1155" t="s">
        <v>2585</v>
      </c>
      <c r="C1155" t="s">
        <v>545</v>
      </c>
      <c r="D1155" s="8">
        <v>1</v>
      </c>
      <c r="E1155" s="8" t="s">
        <v>172</v>
      </c>
    </row>
    <row r="1156" spans="1:5">
      <c r="A1156" s="18">
        <v>6092903705</v>
      </c>
      <c r="B1156" t="s">
        <v>2586</v>
      </c>
      <c r="C1156" t="s">
        <v>545</v>
      </c>
      <c r="D1156" s="8">
        <v>10.5</v>
      </c>
      <c r="E1156" s="8" t="s">
        <v>338</v>
      </c>
    </row>
    <row r="1157" spans="1:5">
      <c r="A1157" s="18">
        <v>6092903705</v>
      </c>
      <c r="B1157" t="s">
        <v>2587</v>
      </c>
      <c r="C1157" t="s">
        <v>545</v>
      </c>
      <c r="D1157" s="8">
        <v>11</v>
      </c>
      <c r="E1157" s="8" t="s">
        <v>340</v>
      </c>
    </row>
    <row r="1158" spans="1:5">
      <c r="A1158" s="18">
        <v>6092903705</v>
      </c>
      <c r="B1158" t="s">
        <v>2588</v>
      </c>
      <c r="C1158" t="s">
        <v>545</v>
      </c>
      <c r="D1158" s="8">
        <v>11.5</v>
      </c>
      <c r="E1158" s="8" t="s">
        <v>342</v>
      </c>
    </row>
    <row r="1159" spans="1:5">
      <c r="A1159" s="18">
        <v>6092903705</v>
      </c>
      <c r="B1159" t="s">
        <v>2589</v>
      </c>
      <c r="C1159" t="s">
        <v>545</v>
      </c>
      <c r="D1159" s="8">
        <v>12</v>
      </c>
      <c r="E1159" s="8" t="s">
        <v>344</v>
      </c>
    </row>
    <row r="1160" spans="1:5">
      <c r="A1160" s="18">
        <v>6092903705</v>
      </c>
      <c r="B1160" t="s">
        <v>2590</v>
      </c>
      <c r="C1160" t="s">
        <v>545</v>
      </c>
      <c r="D1160" s="8">
        <v>1.5</v>
      </c>
      <c r="E1160" s="8" t="s">
        <v>320</v>
      </c>
    </row>
    <row r="1161" spans="1:5">
      <c r="A1161" s="18">
        <v>6092903705</v>
      </c>
      <c r="B1161" t="s">
        <v>2591</v>
      </c>
      <c r="C1161" t="s">
        <v>545</v>
      </c>
      <c r="D1161" s="8">
        <v>2</v>
      </c>
      <c r="E1161" s="8" t="s">
        <v>174</v>
      </c>
    </row>
    <row r="1162" spans="1:5">
      <c r="A1162" s="18">
        <v>6092903705</v>
      </c>
      <c r="B1162" t="s">
        <v>2592</v>
      </c>
      <c r="C1162" t="s">
        <v>545</v>
      </c>
      <c r="D1162" s="8">
        <v>2.5</v>
      </c>
      <c r="E1162" s="8" t="s">
        <v>169</v>
      </c>
    </row>
    <row r="1163" spans="1:5">
      <c r="A1163" s="18">
        <v>6092903705</v>
      </c>
      <c r="B1163" t="s">
        <v>2593</v>
      </c>
      <c r="C1163" t="s">
        <v>545</v>
      </c>
      <c r="D1163" s="8">
        <v>3</v>
      </c>
      <c r="E1163" s="8" t="s">
        <v>176</v>
      </c>
    </row>
    <row r="1164" spans="1:5">
      <c r="A1164" s="18">
        <v>6092903705</v>
      </c>
      <c r="B1164" t="s">
        <v>2594</v>
      </c>
      <c r="C1164" t="s">
        <v>545</v>
      </c>
      <c r="D1164" s="8">
        <v>3.5</v>
      </c>
      <c r="E1164" s="8" t="s">
        <v>323</v>
      </c>
    </row>
    <row r="1165" spans="1:5">
      <c r="A1165" s="18">
        <v>6092903705</v>
      </c>
      <c r="B1165" t="s">
        <v>2595</v>
      </c>
      <c r="C1165" t="s">
        <v>545</v>
      </c>
      <c r="D1165" s="8">
        <v>4</v>
      </c>
      <c r="E1165" s="8" t="s">
        <v>178</v>
      </c>
    </row>
    <row r="1166" spans="1:5">
      <c r="A1166" s="18">
        <v>6092903705</v>
      </c>
      <c r="B1166" t="s">
        <v>2596</v>
      </c>
      <c r="C1166" t="s">
        <v>545</v>
      </c>
      <c r="D1166" s="8">
        <v>4.5</v>
      </c>
      <c r="E1166" s="8" t="s">
        <v>324</v>
      </c>
    </row>
    <row r="1167" spans="1:5">
      <c r="A1167" s="18">
        <v>6092903705</v>
      </c>
      <c r="B1167" t="s">
        <v>2597</v>
      </c>
      <c r="C1167" t="s">
        <v>545</v>
      </c>
      <c r="D1167" s="8">
        <v>5</v>
      </c>
      <c r="E1167" s="8" t="s">
        <v>180</v>
      </c>
    </row>
    <row r="1168" spans="1:5">
      <c r="A1168" s="18">
        <v>6092903705</v>
      </c>
      <c r="B1168" t="s">
        <v>2598</v>
      </c>
      <c r="C1168" t="s">
        <v>545</v>
      </c>
      <c r="D1168" s="8">
        <v>5.5</v>
      </c>
      <c r="E1168" s="8" t="s">
        <v>325</v>
      </c>
    </row>
    <row r="1169" spans="1:5">
      <c r="A1169" s="18">
        <v>6092903705</v>
      </c>
      <c r="B1169" t="s">
        <v>2599</v>
      </c>
      <c r="C1169" t="s">
        <v>545</v>
      </c>
      <c r="D1169" s="8">
        <v>6</v>
      </c>
      <c r="E1169" s="8" t="s">
        <v>182</v>
      </c>
    </row>
    <row r="1170" spans="1:5">
      <c r="A1170" s="18">
        <v>6092903705</v>
      </c>
      <c r="B1170" t="s">
        <v>2600</v>
      </c>
      <c r="C1170" t="s">
        <v>545</v>
      </c>
      <c r="D1170" s="8">
        <v>6.5</v>
      </c>
      <c r="E1170" s="8" t="s">
        <v>326</v>
      </c>
    </row>
    <row r="1171" spans="1:5">
      <c r="A1171" s="18">
        <v>6092903705</v>
      </c>
      <c r="B1171" t="s">
        <v>2601</v>
      </c>
      <c r="C1171" t="s">
        <v>545</v>
      </c>
      <c r="D1171" s="8">
        <v>7</v>
      </c>
      <c r="E1171" s="8" t="s">
        <v>184</v>
      </c>
    </row>
    <row r="1172" spans="1:5">
      <c r="A1172" s="18">
        <v>6092903705</v>
      </c>
      <c r="B1172" t="s">
        <v>2602</v>
      </c>
      <c r="C1172" t="s">
        <v>545</v>
      </c>
      <c r="D1172" s="8">
        <v>7.5</v>
      </c>
      <c r="E1172" s="8" t="s">
        <v>330</v>
      </c>
    </row>
    <row r="1173" spans="1:5">
      <c r="A1173" s="18">
        <v>6092903705</v>
      </c>
      <c r="B1173" t="s">
        <v>2603</v>
      </c>
      <c r="C1173" t="s">
        <v>545</v>
      </c>
      <c r="D1173" s="8">
        <v>8</v>
      </c>
      <c r="E1173" s="8" t="s">
        <v>186</v>
      </c>
    </row>
    <row r="1174" spans="1:5">
      <c r="A1174" s="18">
        <v>6092903705</v>
      </c>
      <c r="B1174" t="s">
        <v>2604</v>
      </c>
      <c r="C1174" t="s">
        <v>545</v>
      </c>
      <c r="D1174" s="8">
        <v>8.5</v>
      </c>
      <c r="E1174" s="8" t="s">
        <v>333</v>
      </c>
    </row>
    <row r="1175" spans="1:5">
      <c r="A1175" s="18">
        <v>6092903705</v>
      </c>
      <c r="B1175" t="s">
        <v>2605</v>
      </c>
      <c r="C1175" t="s">
        <v>545</v>
      </c>
      <c r="D1175" s="8">
        <v>9</v>
      </c>
      <c r="E1175" s="8" t="s">
        <v>188</v>
      </c>
    </row>
    <row r="1176" spans="1:5">
      <c r="A1176" s="18">
        <v>6092903705</v>
      </c>
      <c r="B1176" t="s">
        <v>2606</v>
      </c>
      <c r="C1176" t="s">
        <v>545</v>
      </c>
      <c r="D1176" s="8">
        <v>9.5</v>
      </c>
      <c r="E1176" s="8" t="s">
        <v>335</v>
      </c>
    </row>
    <row r="1177" spans="1:5">
      <c r="A1177" s="18">
        <v>6092903705</v>
      </c>
      <c r="B1177" t="s">
        <v>2607</v>
      </c>
      <c r="C1177" t="s">
        <v>254</v>
      </c>
      <c r="D1177" s="8">
        <v>10</v>
      </c>
      <c r="E1177" s="8" t="s">
        <v>190</v>
      </c>
    </row>
    <row r="1178" spans="1:5">
      <c r="A1178" s="18">
        <v>6092903705</v>
      </c>
      <c r="B1178" t="s">
        <v>2608</v>
      </c>
      <c r="C1178" t="s">
        <v>254</v>
      </c>
      <c r="D1178" s="8">
        <v>1</v>
      </c>
      <c r="E1178" s="8" t="s">
        <v>172</v>
      </c>
    </row>
    <row r="1179" spans="1:5">
      <c r="A1179" s="18">
        <v>6092903705</v>
      </c>
      <c r="B1179" t="s">
        <v>2609</v>
      </c>
      <c r="C1179" t="s">
        <v>254</v>
      </c>
      <c r="D1179" s="8">
        <v>10.5</v>
      </c>
      <c r="E1179" s="8" t="s">
        <v>338</v>
      </c>
    </row>
    <row r="1180" spans="1:5">
      <c r="A1180" s="18">
        <v>6092903705</v>
      </c>
      <c r="B1180" t="s">
        <v>2610</v>
      </c>
      <c r="C1180" t="s">
        <v>254</v>
      </c>
      <c r="D1180" s="8">
        <v>11</v>
      </c>
      <c r="E1180" s="8" t="s">
        <v>340</v>
      </c>
    </row>
    <row r="1181" spans="1:5">
      <c r="A1181" s="18">
        <v>6092903705</v>
      </c>
      <c r="B1181" t="s">
        <v>2611</v>
      </c>
      <c r="C1181" t="s">
        <v>254</v>
      </c>
      <c r="D1181" s="8">
        <v>11.5</v>
      </c>
      <c r="E1181" s="8" t="s">
        <v>342</v>
      </c>
    </row>
    <row r="1182" spans="1:5">
      <c r="A1182" s="18">
        <v>6092903705</v>
      </c>
      <c r="B1182" t="s">
        <v>2612</v>
      </c>
      <c r="C1182" t="s">
        <v>254</v>
      </c>
      <c r="D1182" s="8">
        <v>12</v>
      </c>
      <c r="E1182" s="8" t="s">
        <v>344</v>
      </c>
    </row>
    <row r="1183" spans="1:5">
      <c r="A1183" s="18">
        <v>6092903705</v>
      </c>
      <c r="B1183" t="s">
        <v>2613</v>
      </c>
      <c r="C1183" t="s">
        <v>254</v>
      </c>
      <c r="D1183" s="8">
        <v>1.5</v>
      </c>
      <c r="E1183" s="8" t="s">
        <v>320</v>
      </c>
    </row>
    <row r="1184" spans="1:5">
      <c r="A1184" s="18">
        <v>6092903705</v>
      </c>
      <c r="B1184" t="s">
        <v>2614</v>
      </c>
      <c r="C1184" t="s">
        <v>254</v>
      </c>
      <c r="D1184" s="8">
        <v>2</v>
      </c>
      <c r="E1184" s="8" t="s">
        <v>174</v>
      </c>
    </row>
    <row r="1185" spans="1:5">
      <c r="A1185" s="18">
        <v>6092903705</v>
      </c>
      <c r="B1185" t="s">
        <v>2615</v>
      </c>
      <c r="C1185" t="s">
        <v>254</v>
      </c>
      <c r="D1185" s="8">
        <v>2.5</v>
      </c>
      <c r="E1185" s="8" t="s">
        <v>169</v>
      </c>
    </row>
    <row r="1186" spans="1:5">
      <c r="A1186" s="18">
        <v>6092903705</v>
      </c>
      <c r="B1186" t="s">
        <v>2616</v>
      </c>
      <c r="C1186" t="s">
        <v>254</v>
      </c>
      <c r="D1186" s="8">
        <v>3</v>
      </c>
      <c r="E1186" s="8" t="s">
        <v>176</v>
      </c>
    </row>
    <row r="1187" spans="1:5">
      <c r="A1187" s="18">
        <v>6092903705</v>
      </c>
      <c r="B1187" t="s">
        <v>2617</v>
      </c>
      <c r="C1187" t="s">
        <v>254</v>
      </c>
      <c r="D1187" s="8">
        <v>3.5</v>
      </c>
      <c r="E1187" s="8" t="s">
        <v>323</v>
      </c>
    </row>
    <row r="1188" spans="1:5">
      <c r="A1188" s="18">
        <v>6092903705</v>
      </c>
      <c r="B1188" t="s">
        <v>2618</v>
      </c>
      <c r="C1188" t="s">
        <v>254</v>
      </c>
      <c r="D1188" s="8">
        <v>4</v>
      </c>
      <c r="E1188" s="8" t="s">
        <v>178</v>
      </c>
    </row>
    <row r="1189" spans="1:5">
      <c r="A1189" s="18">
        <v>6092903705</v>
      </c>
      <c r="B1189" t="s">
        <v>2619</v>
      </c>
      <c r="C1189" t="s">
        <v>254</v>
      </c>
      <c r="D1189" s="8">
        <v>4.5</v>
      </c>
      <c r="E1189" s="8" t="s">
        <v>324</v>
      </c>
    </row>
    <row r="1190" spans="1:5">
      <c r="A1190" s="18">
        <v>6092903705</v>
      </c>
      <c r="B1190" t="s">
        <v>2620</v>
      </c>
      <c r="C1190" t="s">
        <v>254</v>
      </c>
      <c r="D1190" s="8">
        <v>5</v>
      </c>
      <c r="E1190" s="8" t="s">
        <v>180</v>
      </c>
    </row>
    <row r="1191" spans="1:5">
      <c r="A1191" s="18">
        <v>6092903705</v>
      </c>
      <c r="B1191" t="s">
        <v>2621</v>
      </c>
      <c r="C1191" t="s">
        <v>254</v>
      </c>
      <c r="D1191" s="8">
        <v>5.5</v>
      </c>
      <c r="E1191" s="8" t="s">
        <v>325</v>
      </c>
    </row>
    <row r="1192" spans="1:5">
      <c r="A1192" s="18">
        <v>6092903705</v>
      </c>
      <c r="B1192" t="s">
        <v>2622</v>
      </c>
      <c r="C1192" t="s">
        <v>254</v>
      </c>
      <c r="D1192" s="8">
        <v>6</v>
      </c>
      <c r="E1192" s="8" t="s">
        <v>182</v>
      </c>
    </row>
    <row r="1193" spans="1:5">
      <c r="A1193" s="18">
        <v>6092903705</v>
      </c>
      <c r="B1193" t="s">
        <v>2623</v>
      </c>
      <c r="C1193" t="s">
        <v>254</v>
      </c>
      <c r="D1193" s="8">
        <v>6.5</v>
      </c>
      <c r="E1193" s="8" t="s">
        <v>326</v>
      </c>
    </row>
    <row r="1194" spans="1:5">
      <c r="A1194" s="18">
        <v>6092903705</v>
      </c>
      <c r="B1194" t="s">
        <v>2624</v>
      </c>
      <c r="C1194" t="s">
        <v>254</v>
      </c>
      <c r="D1194" s="8">
        <v>7</v>
      </c>
      <c r="E1194" s="8" t="s">
        <v>184</v>
      </c>
    </row>
    <row r="1195" spans="1:5">
      <c r="A1195" s="18">
        <v>6092903705</v>
      </c>
      <c r="B1195" t="s">
        <v>2625</v>
      </c>
      <c r="C1195" t="s">
        <v>254</v>
      </c>
      <c r="D1195" s="8">
        <v>7.5</v>
      </c>
      <c r="E1195" s="8" t="s">
        <v>330</v>
      </c>
    </row>
    <row r="1196" spans="1:5">
      <c r="A1196" s="18">
        <v>6092903705</v>
      </c>
      <c r="B1196" t="s">
        <v>2626</v>
      </c>
      <c r="C1196" t="s">
        <v>254</v>
      </c>
      <c r="D1196" s="8">
        <v>8</v>
      </c>
      <c r="E1196" s="8" t="s">
        <v>186</v>
      </c>
    </row>
    <row r="1197" spans="1:5">
      <c r="A1197" s="18">
        <v>6092903705</v>
      </c>
      <c r="B1197" t="s">
        <v>2627</v>
      </c>
      <c r="C1197" t="s">
        <v>254</v>
      </c>
      <c r="D1197" s="8">
        <v>8.5</v>
      </c>
      <c r="E1197" s="8" t="s">
        <v>333</v>
      </c>
    </row>
    <row r="1198" spans="1:5">
      <c r="A1198" s="18">
        <v>6092903705</v>
      </c>
      <c r="B1198" t="s">
        <v>2628</v>
      </c>
      <c r="C1198" t="s">
        <v>254</v>
      </c>
      <c r="D1198" s="8">
        <v>9</v>
      </c>
      <c r="E1198" s="8" t="s">
        <v>188</v>
      </c>
    </row>
    <row r="1199" spans="1:5">
      <c r="A1199" s="18">
        <v>6092903705</v>
      </c>
      <c r="B1199" t="s">
        <v>2629</v>
      </c>
      <c r="C1199" t="s">
        <v>254</v>
      </c>
      <c r="D1199" s="8">
        <v>9.5</v>
      </c>
      <c r="E1199" s="8" t="s">
        <v>335</v>
      </c>
    </row>
    <row r="1200" spans="1:5">
      <c r="A1200" s="18">
        <v>6092903705</v>
      </c>
      <c r="B1200" t="s">
        <v>2630</v>
      </c>
      <c r="C1200" t="s">
        <v>255</v>
      </c>
      <c r="D1200" s="8">
        <v>10</v>
      </c>
      <c r="E1200" s="8" t="s">
        <v>190</v>
      </c>
    </row>
    <row r="1201" spans="1:5">
      <c r="A1201" s="18">
        <v>6092903705</v>
      </c>
      <c r="B1201" t="s">
        <v>2631</v>
      </c>
      <c r="C1201" t="s">
        <v>255</v>
      </c>
      <c r="D1201" s="8">
        <v>1</v>
      </c>
      <c r="E1201" s="8" t="s">
        <v>172</v>
      </c>
    </row>
    <row r="1202" spans="1:5">
      <c r="A1202" s="18">
        <v>6092903705</v>
      </c>
      <c r="B1202" t="s">
        <v>2632</v>
      </c>
      <c r="C1202" t="s">
        <v>255</v>
      </c>
      <c r="D1202" s="8">
        <v>10.5</v>
      </c>
      <c r="E1202" s="8" t="s">
        <v>338</v>
      </c>
    </row>
    <row r="1203" spans="1:5">
      <c r="A1203" s="18">
        <v>6092903705</v>
      </c>
      <c r="B1203" t="s">
        <v>2633</v>
      </c>
      <c r="C1203" t="s">
        <v>255</v>
      </c>
      <c r="D1203" s="8">
        <v>11</v>
      </c>
      <c r="E1203" s="8" t="s">
        <v>340</v>
      </c>
    </row>
    <row r="1204" spans="1:5">
      <c r="A1204" s="18">
        <v>6092903705</v>
      </c>
      <c r="B1204" t="s">
        <v>2634</v>
      </c>
      <c r="C1204" t="s">
        <v>255</v>
      </c>
      <c r="D1204" s="8">
        <v>11.5</v>
      </c>
      <c r="E1204" s="8" t="s">
        <v>342</v>
      </c>
    </row>
    <row r="1205" spans="1:5">
      <c r="A1205" s="18">
        <v>6092903705</v>
      </c>
      <c r="B1205" t="s">
        <v>2635</v>
      </c>
      <c r="C1205" t="s">
        <v>255</v>
      </c>
      <c r="D1205" s="8">
        <v>12</v>
      </c>
      <c r="E1205" s="8" t="s">
        <v>344</v>
      </c>
    </row>
    <row r="1206" spans="1:5">
      <c r="A1206" s="18">
        <v>6092903705</v>
      </c>
      <c r="B1206" t="s">
        <v>2636</v>
      </c>
      <c r="C1206" t="s">
        <v>255</v>
      </c>
      <c r="D1206" s="8">
        <v>1.5</v>
      </c>
      <c r="E1206" s="8" t="s">
        <v>320</v>
      </c>
    </row>
    <row r="1207" spans="1:5">
      <c r="A1207" s="18">
        <v>6092903705</v>
      </c>
      <c r="B1207" t="s">
        <v>2637</v>
      </c>
      <c r="C1207" t="s">
        <v>255</v>
      </c>
      <c r="D1207" s="8">
        <v>2</v>
      </c>
      <c r="E1207" s="8" t="s">
        <v>174</v>
      </c>
    </row>
    <row r="1208" spans="1:5">
      <c r="A1208" s="18">
        <v>6092903705</v>
      </c>
      <c r="B1208" t="s">
        <v>2638</v>
      </c>
      <c r="C1208" t="s">
        <v>255</v>
      </c>
      <c r="D1208" s="8">
        <v>2.5</v>
      </c>
      <c r="E1208" s="8" t="s">
        <v>169</v>
      </c>
    </row>
    <row r="1209" spans="1:5">
      <c r="A1209" s="18">
        <v>6092903705</v>
      </c>
      <c r="B1209" t="s">
        <v>2639</v>
      </c>
      <c r="C1209" t="s">
        <v>255</v>
      </c>
      <c r="D1209" s="8">
        <v>3</v>
      </c>
      <c r="E1209" s="8" t="s">
        <v>176</v>
      </c>
    </row>
    <row r="1210" spans="1:5">
      <c r="A1210" s="18">
        <v>6092903705</v>
      </c>
      <c r="B1210" t="s">
        <v>2640</v>
      </c>
      <c r="C1210" t="s">
        <v>255</v>
      </c>
      <c r="D1210" s="8">
        <v>3.5</v>
      </c>
      <c r="E1210" s="8" t="s">
        <v>323</v>
      </c>
    </row>
    <row r="1211" spans="1:5">
      <c r="A1211" s="18">
        <v>6092903705</v>
      </c>
      <c r="B1211" t="s">
        <v>2641</v>
      </c>
      <c r="C1211" t="s">
        <v>255</v>
      </c>
      <c r="D1211" s="8">
        <v>4</v>
      </c>
      <c r="E1211" s="8" t="s">
        <v>178</v>
      </c>
    </row>
    <row r="1212" spans="1:5">
      <c r="A1212" s="18">
        <v>6092903705</v>
      </c>
      <c r="B1212" t="s">
        <v>2642</v>
      </c>
      <c r="C1212" t="s">
        <v>255</v>
      </c>
      <c r="D1212" s="8">
        <v>4.5</v>
      </c>
      <c r="E1212" s="8" t="s">
        <v>324</v>
      </c>
    </row>
    <row r="1213" spans="1:5">
      <c r="A1213" s="18">
        <v>6092903705</v>
      </c>
      <c r="B1213" t="s">
        <v>2643</v>
      </c>
      <c r="C1213" t="s">
        <v>255</v>
      </c>
      <c r="D1213" s="8">
        <v>5</v>
      </c>
      <c r="E1213" s="8" t="s">
        <v>180</v>
      </c>
    </row>
    <row r="1214" spans="1:5">
      <c r="A1214" s="18">
        <v>6092903705</v>
      </c>
      <c r="B1214" t="s">
        <v>2644</v>
      </c>
      <c r="C1214" t="s">
        <v>255</v>
      </c>
      <c r="D1214" s="8">
        <v>5.5</v>
      </c>
      <c r="E1214" s="8" t="s">
        <v>325</v>
      </c>
    </row>
    <row r="1215" spans="1:5">
      <c r="A1215" s="18">
        <v>6092903705</v>
      </c>
      <c r="B1215" t="s">
        <v>2645</v>
      </c>
      <c r="C1215" t="s">
        <v>255</v>
      </c>
      <c r="D1215" s="8">
        <v>6</v>
      </c>
      <c r="E1215" s="8" t="s">
        <v>182</v>
      </c>
    </row>
    <row r="1216" spans="1:5">
      <c r="A1216" s="18">
        <v>6092903705</v>
      </c>
      <c r="B1216" t="s">
        <v>2646</v>
      </c>
      <c r="C1216" t="s">
        <v>255</v>
      </c>
      <c r="D1216" s="8">
        <v>6.5</v>
      </c>
      <c r="E1216" s="8" t="s">
        <v>326</v>
      </c>
    </row>
    <row r="1217" spans="1:5">
      <c r="A1217" s="18">
        <v>6092903705</v>
      </c>
      <c r="B1217" t="s">
        <v>2647</v>
      </c>
      <c r="C1217" t="s">
        <v>255</v>
      </c>
      <c r="D1217" s="8">
        <v>7</v>
      </c>
      <c r="E1217" s="8" t="s">
        <v>184</v>
      </c>
    </row>
    <row r="1218" spans="1:5">
      <c r="A1218" s="18">
        <v>6092903705</v>
      </c>
      <c r="B1218" t="s">
        <v>2648</v>
      </c>
      <c r="C1218" t="s">
        <v>255</v>
      </c>
      <c r="D1218" s="8">
        <v>7.5</v>
      </c>
      <c r="E1218" s="8" t="s">
        <v>330</v>
      </c>
    </row>
    <row r="1219" spans="1:5">
      <c r="A1219" s="18">
        <v>6092903705</v>
      </c>
      <c r="B1219" t="s">
        <v>2649</v>
      </c>
      <c r="C1219" t="s">
        <v>255</v>
      </c>
      <c r="D1219" s="8">
        <v>8</v>
      </c>
      <c r="E1219" s="8" t="s">
        <v>186</v>
      </c>
    </row>
    <row r="1220" spans="1:5">
      <c r="A1220" s="18">
        <v>6092903705</v>
      </c>
      <c r="B1220" t="s">
        <v>2650</v>
      </c>
      <c r="C1220" t="s">
        <v>255</v>
      </c>
      <c r="D1220" s="8">
        <v>8.5</v>
      </c>
      <c r="E1220" s="8" t="s">
        <v>333</v>
      </c>
    </row>
    <row r="1221" spans="1:5">
      <c r="A1221" s="18">
        <v>6092903705</v>
      </c>
      <c r="B1221" t="s">
        <v>2651</v>
      </c>
      <c r="C1221" t="s">
        <v>255</v>
      </c>
      <c r="D1221" s="8">
        <v>9</v>
      </c>
      <c r="E1221" s="8" t="s">
        <v>188</v>
      </c>
    </row>
    <row r="1222" spans="1:5">
      <c r="A1222" s="18">
        <v>6092903705</v>
      </c>
      <c r="B1222" t="s">
        <v>2652</v>
      </c>
      <c r="C1222" t="s">
        <v>255</v>
      </c>
      <c r="D1222" s="8">
        <v>9.5</v>
      </c>
      <c r="E1222" s="8" t="s">
        <v>335</v>
      </c>
    </row>
    <row r="1223" spans="1:5">
      <c r="A1223" s="18">
        <v>6092903705</v>
      </c>
      <c r="B1223" t="s">
        <v>2653</v>
      </c>
      <c r="C1223" t="s">
        <v>565</v>
      </c>
      <c r="D1223" s="8">
        <v>10</v>
      </c>
      <c r="E1223" s="8" t="s">
        <v>190</v>
      </c>
    </row>
    <row r="1224" spans="1:5">
      <c r="A1224" s="18">
        <v>6092903705</v>
      </c>
      <c r="B1224" t="s">
        <v>2654</v>
      </c>
      <c r="C1224" t="s">
        <v>565</v>
      </c>
      <c r="D1224" s="8">
        <v>1</v>
      </c>
      <c r="E1224" s="8" t="s">
        <v>172</v>
      </c>
    </row>
    <row r="1225" spans="1:5">
      <c r="A1225" s="18">
        <v>6092903705</v>
      </c>
      <c r="B1225" t="s">
        <v>2655</v>
      </c>
      <c r="C1225" t="s">
        <v>565</v>
      </c>
      <c r="D1225" s="8">
        <v>1.5</v>
      </c>
      <c r="E1225" s="8" t="s">
        <v>320</v>
      </c>
    </row>
    <row r="1226" spans="1:5">
      <c r="A1226" s="18">
        <v>6092903705</v>
      </c>
      <c r="B1226" t="s">
        <v>2656</v>
      </c>
      <c r="C1226" t="s">
        <v>565</v>
      </c>
      <c r="D1226" s="8">
        <v>2</v>
      </c>
      <c r="E1226" s="8" t="s">
        <v>174</v>
      </c>
    </row>
    <row r="1227" spans="1:5">
      <c r="A1227" s="18">
        <v>6092903705</v>
      </c>
      <c r="B1227" t="s">
        <v>2657</v>
      </c>
      <c r="C1227" t="s">
        <v>565</v>
      </c>
      <c r="D1227" s="8">
        <v>2.5</v>
      </c>
      <c r="E1227" s="8" t="s">
        <v>169</v>
      </c>
    </row>
    <row r="1228" spans="1:5">
      <c r="A1228" s="18">
        <v>6092903705</v>
      </c>
      <c r="B1228" t="s">
        <v>2658</v>
      </c>
      <c r="C1228" t="s">
        <v>565</v>
      </c>
      <c r="D1228" s="8">
        <v>3</v>
      </c>
      <c r="E1228" s="8" t="s">
        <v>176</v>
      </c>
    </row>
    <row r="1229" spans="1:5">
      <c r="A1229" s="18">
        <v>6092903705</v>
      </c>
      <c r="B1229" t="s">
        <v>2659</v>
      </c>
      <c r="C1229" t="s">
        <v>565</v>
      </c>
      <c r="D1229" s="8">
        <v>3.5</v>
      </c>
      <c r="E1229" s="8" t="s">
        <v>323</v>
      </c>
    </row>
    <row r="1230" spans="1:5">
      <c r="A1230" s="18">
        <v>6092903705</v>
      </c>
      <c r="B1230" t="s">
        <v>2660</v>
      </c>
      <c r="C1230" t="s">
        <v>565</v>
      </c>
      <c r="D1230" s="8">
        <v>4</v>
      </c>
      <c r="E1230" s="8" t="s">
        <v>178</v>
      </c>
    </row>
    <row r="1231" spans="1:5">
      <c r="A1231" s="18">
        <v>6092903705</v>
      </c>
      <c r="B1231" t="s">
        <v>2661</v>
      </c>
      <c r="C1231" t="s">
        <v>565</v>
      </c>
      <c r="D1231" s="8">
        <v>4.5</v>
      </c>
      <c r="E1231" s="8" t="s">
        <v>324</v>
      </c>
    </row>
    <row r="1232" spans="1:5">
      <c r="A1232" s="18">
        <v>6092903705</v>
      </c>
      <c r="B1232" t="s">
        <v>2662</v>
      </c>
      <c r="C1232" t="s">
        <v>565</v>
      </c>
      <c r="D1232" s="8">
        <v>5</v>
      </c>
      <c r="E1232" s="8" t="s">
        <v>180</v>
      </c>
    </row>
    <row r="1233" spans="1:5">
      <c r="A1233" s="18">
        <v>6092903705</v>
      </c>
      <c r="B1233" t="s">
        <v>2663</v>
      </c>
      <c r="C1233" t="s">
        <v>565</v>
      </c>
      <c r="D1233" s="8">
        <v>5.5</v>
      </c>
      <c r="E1233" s="8" t="s">
        <v>325</v>
      </c>
    </row>
    <row r="1234" spans="1:5">
      <c r="A1234" s="18">
        <v>6092903705</v>
      </c>
      <c r="B1234" t="s">
        <v>2664</v>
      </c>
      <c r="C1234" t="s">
        <v>565</v>
      </c>
      <c r="D1234" s="8">
        <v>6</v>
      </c>
      <c r="E1234" s="8" t="s">
        <v>182</v>
      </c>
    </row>
    <row r="1235" spans="1:5">
      <c r="A1235" s="18">
        <v>6092903705</v>
      </c>
      <c r="B1235" t="s">
        <v>2665</v>
      </c>
      <c r="C1235" t="s">
        <v>565</v>
      </c>
      <c r="D1235" s="8">
        <v>6.5</v>
      </c>
      <c r="E1235" s="8" t="s">
        <v>326</v>
      </c>
    </row>
    <row r="1236" spans="1:5">
      <c r="A1236" s="18">
        <v>6092903705</v>
      </c>
      <c r="B1236" t="s">
        <v>2666</v>
      </c>
      <c r="C1236" t="s">
        <v>565</v>
      </c>
      <c r="D1236" s="8">
        <v>7</v>
      </c>
      <c r="E1236" s="8" t="s">
        <v>184</v>
      </c>
    </row>
    <row r="1237" spans="1:5">
      <c r="A1237" s="18">
        <v>6092903705</v>
      </c>
      <c r="B1237" t="s">
        <v>2667</v>
      </c>
      <c r="C1237" t="s">
        <v>565</v>
      </c>
      <c r="D1237" s="8">
        <v>7.5</v>
      </c>
      <c r="E1237" s="8" t="s">
        <v>330</v>
      </c>
    </row>
    <row r="1238" spans="1:5">
      <c r="A1238" s="18">
        <v>6092903705</v>
      </c>
      <c r="B1238" t="s">
        <v>2668</v>
      </c>
      <c r="C1238" t="s">
        <v>565</v>
      </c>
      <c r="D1238" s="8">
        <v>8</v>
      </c>
      <c r="E1238" s="8" t="s">
        <v>186</v>
      </c>
    </row>
    <row r="1239" spans="1:5">
      <c r="A1239" s="18">
        <v>6092903705</v>
      </c>
      <c r="B1239" t="s">
        <v>2669</v>
      </c>
      <c r="C1239" t="s">
        <v>565</v>
      </c>
      <c r="D1239" s="8">
        <v>8.5</v>
      </c>
      <c r="E1239" s="8" t="s">
        <v>333</v>
      </c>
    </row>
    <row r="1240" spans="1:5">
      <c r="A1240" s="18">
        <v>6092903705</v>
      </c>
      <c r="B1240" t="s">
        <v>2670</v>
      </c>
      <c r="C1240" t="s">
        <v>565</v>
      </c>
      <c r="D1240" s="8">
        <v>9</v>
      </c>
      <c r="E1240" s="8" t="s">
        <v>188</v>
      </c>
    </row>
    <row r="1241" spans="1:5">
      <c r="A1241" s="18">
        <v>6092903705</v>
      </c>
      <c r="B1241" t="s">
        <v>2671</v>
      </c>
      <c r="C1241" t="s">
        <v>565</v>
      </c>
      <c r="D1241" s="8">
        <v>9.5</v>
      </c>
      <c r="E1241" s="8" t="s">
        <v>335</v>
      </c>
    </row>
    <row r="1242" spans="1:5">
      <c r="A1242" s="18">
        <v>6092903705</v>
      </c>
      <c r="B1242" t="s">
        <v>2672</v>
      </c>
      <c r="C1242" t="s">
        <v>256</v>
      </c>
      <c r="D1242" s="8">
        <v>10</v>
      </c>
      <c r="E1242" s="8" t="s">
        <v>190</v>
      </c>
    </row>
    <row r="1243" spans="1:5">
      <c r="A1243" s="18">
        <v>6092903705</v>
      </c>
      <c r="B1243" t="s">
        <v>2673</v>
      </c>
      <c r="C1243" t="s">
        <v>256</v>
      </c>
      <c r="D1243" s="8">
        <v>1</v>
      </c>
      <c r="E1243" s="8" t="s">
        <v>172</v>
      </c>
    </row>
    <row r="1244" spans="1:5">
      <c r="A1244" s="18">
        <v>6092903705</v>
      </c>
      <c r="B1244" t="s">
        <v>2674</v>
      </c>
      <c r="C1244" t="s">
        <v>256</v>
      </c>
      <c r="D1244" s="8">
        <v>10.5</v>
      </c>
      <c r="E1244" s="8" t="s">
        <v>338</v>
      </c>
    </row>
    <row r="1245" spans="1:5">
      <c r="A1245" s="18">
        <v>6092903705</v>
      </c>
      <c r="B1245" t="s">
        <v>2675</v>
      </c>
      <c r="C1245" t="s">
        <v>256</v>
      </c>
      <c r="D1245" s="8">
        <v>11</v>
      </c>
      <c r="E1245" s="8" t="s">
        <v>340</v>
      </c>
    </row>
    <row r="1246" spans="1:5">
      <c r="A1246" s="18">
        <v>6092903705</v>
      </c>
      <c r="B1246" t="s">
        <v>2676</v>
      </c>
      <c r="C1246" t="s">
        <v>256</v>
      </c>
      <c r="D1246" s="8">
        <v>11.5</v>
      </c>
      <c r="E1246" s="8" t="s">
        <v>342</v>
      </c>
    </row>
    <row r="1247" spans="1:5">
      <c r="A1247" s="18">
        <v>6092903705</v>
      </c>
      <c r="B1247" t="s">
        <v>2677</v>
      </c>
      <c r="C1247" t="s">
        <v>256</v>
      </c>
      <c r="D1247" s="8">
        <v>12</v>
      </c>
      <c r="E1247" s="8" t="s">
        <v>344</v>
      </c>
    </row>
    <row r="1248" spans="1:5">
      <c r="A1248" s="18">
        <v>6092903705</v>
      </c>
      <c r="B1248" t="s">
        <v>2678</v>
      </c>
      <c r="C1248" t="s">
        <v>256</v>
      </c>
      <c r="D1248" s="8">
        <v>1.5</v>
      </c>
      <c r="E1248" s="8" t="s">
        <v>320</v>
      </c>
    </row>
    <row r="1249" spans="1:5">
      <c r="A1249" s="18">
        <v>6092903705</v>
      </c>
      <c r="B1249" t="s">
        <v>2679</v>
      </c>
      <c r="C1249" t="s">
        <v>256</v>
      </c>
      <c r="D1249" s="8">
        <v>2</v>
      </c>
      <c r="E1249" s="8" t="s">
        <v>174</v>
      </c>
    </row>
    <row r="1250" spans="1:5">
      <c r="A1250" s="18">
        <v>6092903705</v>
      </c>
      <c r="B1250" t="s">
        <v>2680</v>
      </c>
      <c r="C1250" t="s">
        <v>256</v>
      </c>
      <c r="D1250" s="8">
        <v>2.5</v>
      </c>
      <c r="E1250" s="8" t="s">
        <v>169</v>
      </c>
    </row>
    <row r="1251" spans="1:5">
      <c r="A1251" s="18">
        <v>6092903705</v>
      </c>
      <c r="B1251" t="s">
        <v>2681</v>
      </c>
      <c r="C1251" t="s">
        <v>256</v>
      </c>
      <c r="D1251" s="8">
        <v>3</v>
      </c>
      <c r="E1251" s="8" t="s">
        <v>176</v>
      </c>
    </row>
    <row r="1252" spans="1:5">
      <c r="A1252" s="18">
        <v>6092903705</v>
      </c>
      <c r="B1252" t="s">
        <v>2682</v>
      </c>
      <c r="C1252" t="s">
        <v>256</v>
      </c>
      <c r="D1252" s="8">
        <v>3.5</v>
      </c>
      <c r="E1252" s="8" t="s">
        <v>323</v>
      </c>
    </row>
    <row r="1253" spans="1:5">
      <c r="A1253" s="18">
        <v>6092903705</v>
      </c>
      <c r="B1253" t="s">
        <v>2683</v>
      </c>
      <c r="C1253" t="s">
        <v>256</v>
      </c>
      <c r="D1253" s="8">
        <v>4</v>
      </c>
      <c r="E1253" s="8" t="s">
        <v>178</v>
      </c>
    </row>
    <row r="1254" spans="1:5">
      <c r="A1254" s="18">
        <v>6092903705</v>
      </c>
      <c r="B1254" t="s">
        <v>2684</v>
      </c>
      <c r="C1254" t="s">
        <v>256</v>
      </c>
      <c r="D1254" s="8">
        <v>4.5</v>
      </c>
      <c r="E1254" s="8" t="s">
        <v>324</v>
      </c>
    </row>
    <row r="1255" spans="1:5">
      <c r="A1255" s="18">
        <v>6092903705</v>
      </c>
      <c r="B1255" t="s">
        <v>2685</v>
      </c>
      <c r="C1255" t="s">
        <v>256</v>
      </c>
      <c r="D1255" s="8">
        <v>5</v>
      </c>
      <c r="E1255" s="8" t="s">
        <v>180</v>
      </c>
    </row>
    <row r="1256" spans="1:5">
      <c r="A1256" s="18">
        <v>6092903705</v>
      </c>
      <c r="B1256" t="s">
        <v>2686</v>
      </c>
      <c r="C1256" t="s">
        <v>256</v>
      </c>
      <c r="D1256" s="8">
        <v>5.5</v>
      </c>
      <c r="E1256" s="8" t="s">
        <v>325</v>
      </c>
    </row>
    <row r="1257" spans="1:5">
      <c r="A1257" s="18">
        <v>6092903705</v>
      </c>
      <c r="B1257" t="s">
        <v>2687</v>
      </c>
      <c r="C1257" t="s">
        <v>256</v>
      </c>
      <c r="D1257" s="8">
        <v>6</v>
      </c>
      <c r="E1257" s="8" t="s">
        <v>182</v>
      </c>
    </row>
    <row r="1258" spans="1:5">
      <c r="A1258" s="18">
        <v>6092903705</v>
      </c>
      <c r="B1258" t="s">
        <v>2688</v>
      </c>
      <c r="C1258" t="s">
        <v>256</v>
      </c>
      <c r="D1258" s="8">
        <v>6.5</v>
      </c>
      <c r="E1258" s="8" t="s">
        <v>326</v>
      </c>
    </row>
    <row r="1259" spans="1:5">
      <c r="A1259" s="18">
        <v>6092903705</v>
      </c>
      <c r="B1259" t="s">
        <v>2689</v>
      </c>
      <c r="C1259" t="s">
        <v>256</v>
      </c>
      <c r="D1259" s="8">
        <v>7</v>
      </c>
      <c r="E1259" s="8" t="s">
        <v>184</v>
      </c>
    </row>
    <row r="1260" spans="1:5">
      <c r="A1260" s="18">
        <v>6092903705</v>
      </c>
      <c r="B1260" t="s">
        <v>2690</v>
      </c>
      <c r="C1260" t="s">
        <v>256</v>
      </c>
      <c r="D1260" s="8">
        <v>7.5</v>
      </c>
      <c r="E1260" s="8" t="s">
        <v>330</v>
      </c>
    </row>
    <row r="1261" spans="1:5">
      <c r="A1261" s="18">
        <v>6092903705</v>
      </c>
      <c r="B1261" t="s">
        <v>2691</v>
      </c>
      <c r="C1261" t="s">
        <v>256</v>
      </c>
      <c r="D1261" s="8">
        <v>8</v>
      </c>
      <c r="E1261" s="8" t="s">
        <v>186</v>
      </c>
    </row>
    <row r="1262" spans="1:5">
      <c r="A1262" s="18">
        <v>6092903705</v>
      </c>
      <c r="B1262" t="s">
        <v>2692</v>
      </c>
      <c r="C1262" t="s">
        <v>256</v>
      </c>
      <c r="D1262" s="8">
        <v>8.5</v>
      </c>
      <c r="E1262" s="8" t="s">
        <v>333</v>
      </c>
    </row>
    <row r="1263" spans="1:5">
      <c r="A1263" s="18">
        <v>6092903705</v>
      </c>
      <c r="B1263" t="s">
        <v>2693</v>
      </c>
      <c r="C1263" t="s">
        <v>256</v>
      </c>
      <c r="D1263" s="8">
        <v>9</v>
      </c>
      <c r="E1263" s="8" t="s">
        <v>188</v>
      </c>
    </row>
    <row r="1264" spans="1:5">
      <c r="A1264" s="18">
        <v>6092903705</v>
      </c>
      <c r="B1264" t="s">
        <v>2694</v>
      </c>
      <c r="C1264" t="s">
        <v>256</v>
      </c>
      <c r="D1264" s="8">
        <v>9.5</v>
      </c>
      <c r="E1264" s="8" t="s">
        <v>335</v>
      </c>
    </row>
    <row r="1265" spans="1:5">
      <c r="A1265" s="18">
        <v>6092903705</v>
      </c>
      <c r="B1265" t="s">
        <v>2695</v>
      </c>
      <c r="C1265" t="s">
        <v>348</v>
      </c>
      <c r="D1265" s="8">
        <v>10</v>
      </c>
      <c r="E1265" s="8" t="s">
        <v>190</v>
      </c>
    </row>
    <row r="1266" spans="1:5">
      <c r="A1266" s="18">
        <v>6092903705</v>
      </c>
      <c r="B1266" t="s">
        <v>2696</v>
      </c>
      <c r="C1266" t="s">
        <v>348</v>
      </c>
      <c r="D1266" s="8">
        <v>1</v>
      </c>
      <c r="E1266" s="8" t="s">
        <v>172</v>
      </c>
    </row>
    <row r="1267" spans="1:5">
      <c r="A1267" s="18">
        <v>6092903705</v>
      </c>
      <c r="B1267" t="s">
        <v>2697</v>
      </c>
      <c r="C1267" t="s">
        <v>348</v>
      </c>
      <c r="D1267" s="8">
        <v>10.5</v>
      </c>
      <c r="E1267" s="8" t="s">
        <v>338</v>
      </c>
    </row>
    <row r="1268" spans="1:5">
      <c r="A1268" s="18">
        <v>6092903705</v>
      </c>
      <c r="B1268" t="s">
        <v>2698</v>
      </c>
      <c r="C1268" t="s">
        <v>348</v>
      </c>
      <c r="D1268" s="8">
        <v>11</v>
      </c>
      <c r="E1268" s="8" t="s">
        <v>340</v>
      </c>
    </row>
    <row r="1269" spans="1:5">
      <c r="A1269" s="18">
        <v>6092903705</v>
      </c>
      <c r="B1269" t="s">
        <v>2699</v>
      </c>
      <c r="C1269" t="s">
        <v>348</v>
      </c>
      <c r="D1269" s="8">
        <v>11.5</v>
      </c>
      <c r="E1269" s="8" t="s">
        <v>342</v>
      </c>
    </row>
    <row r="1270" spans="1:5">
      <c r="A1270" s="18">
        <v>6092903705</v>
      </c>
      <c r="B1270" t="s">
        <v>2700</v>
      </c>
      <c r="C1270" t="s">
        <v>348</v>
      </c>
      <c r="D1270" s="8">
        <v>12</v>
      </c>
      <c r="E1270" s="8" t="s">
        <v>344</v>
      </c>
    </row>
    <row r="1271" spans="1:5">
      <c r="A1271" s="18">
        <v>6092903705</v>
      </c>
      <c r="B1271" t="s">
        <v>2701</v>
      </c>
      <c r="C1271" t="s">
        <v>348</v>
      </c>
      <c r="D1271" s="8">
        <v>1.5</v>
      </c>
      <c r="E1271" s="8" t="s">
        <v>320</v>
      </c>
    </row>
    <row r="1272" spans="1:5">
      <c r="A1272" s="18">
        <v>6092903705</v>
      </c>
      <c r="B1272" t="s">
        <v>2702</v>
      </c>
      <c r="C1272" t="s">
        <v>348</v>
      </c>
      <c r="D1272" s="8">
        <v>2</v>
      </c>
      <c r="E1272" s="8" t="s">
        <v>174</v>
      </c>
    </row>
    <row r="1273" spans="1:5">
      <c r="A1273" s="18">
        <v>6092903705</v>
      </c>
      <c r="B1273" t="s">
        <v>2703</v>
      </c>
      <c r="C1273" t="s">
        <v>348</v>
      </c>
      <c r="D1273" s="8">
        <v>2.5</v>
      </c>
      <c r="E1273" s="8" t="s">
        <v>169</v>
      </c>
    </row>
    <row r="1274" spans="1:5">
      <c r="A1274" s="18">
        <v>6092903705</v>
      </c>
      <c r="B1274" t="s">
        <v>2704</v>
      </c>
      <c r="C1274" t="s">
        <v>348</v>
      </c>
      <c r="D1274" s="8">
        <v>3</v>
      </c>
      <c r="E1274" s="8" t="s">
        <v>176</v>
      </c>
    </row>
    <row r="1275" spans="1:5">
      <c r="A1275" s="18">
        <v>6092903705</v>
      </c>
      <c r="B1275" t="s">
        <v>2705</v>
      </c>
      <c r="C1275" t="s">
        <v>348</v>
      </c>
      <c r="D1275" s="8">
        <v>3.5</v>
      </c>
      <c r="E1275" s="8" t="s">
        <v>323</v>
      </c>
    </row>
    <row r="1276" spans="1:5">
      <c r="A1276" s="18">
        <v>6092903705</v>
      </c>
      <c r="B1276" t="s">
        <v>2706</v>
      </c>
      <c r="C1276" t="s">
        <v>348</v>
      </c>
      <c r="D1276" s="8">
        <v>4</v>
      </c>
      <c r="E1276" s="8" t="s">
        <v>178</v>
      </c>
    </row>
    <row r="1277" spans="1:5">
      <c r="A1277" s="18">
        <v>6092903705</v>
      </c>
      <c r="B1277" t="s">
        <v>2707</v>
      </c>
      <c r="C1277" t="s">
        <v>348</v>
      </c>
      <c r="D1277" s="8">
        <v>4.5</v>
      </c>
      <c r="E1277" s="8" t="s">
        <v>324</v>
      </c>
    </row>
    <row r="1278" spans="1:5">
      <c r="A1278" s="18">
        <v>6092903705</v>
      </c>
      <c r="B1278" t="s">
        <v>2708</v>
      </c>
      <c r="C1278" t="s">
        <v>348</v>
      </c>
      <c r="D1278" s="8">
        <v>5</v>
      </c>
      <c r="E1278" s="8" t="s">
        <v>180</v>
      </c>
    </row>
    <row r="1279" spans="1:5">
      <c r="A1279" s="18">
        <v>6092903705</v>
      </c>
      <c r="B1279" t="s">
        <v>2709</v>
      </c>
      <c r="C1279" t="s">
        <v>348</v>
      </c>
      <c r="D1279" s="8">
        <v>5.5</v>
      </c>
      <c r="E1279" s="8" t="s">
        <v>325</v>
      </c>
    </row>
    <row r="1280" spans="1:5">
      <c r="A1280" s="18">
        <v>6092903705</v>
      </c>
      <c r="B1280" t="s">
        <v>2710</v>
      </c>
      <c r="C1280" t="s">
        <v>348</v>
      </c>
      <c r="D1280" s="8">
        <v>6</v>
      </c>
      <c r="E1280" s="8" t="s">
        <v>182</v>
      </c>
    </row>
    <row r="1281" spans="1:5">
      <c r="A1281" s="18">
        <v>6092903705</v>
      </c>
      <c r="B1281" t="s">
        <v>2711</v>
      </c>
      <c r="C1281" t="s">
        <v>348</v>
      </c>
      <c r="D1281" s="8">
        <v>6.5</v>
      </c>
      <c r="E1281" s="8" t="s">
        <v>326</v>
      </c>
    </row>
    <row r="1282" spans="1:5">
      <c r="A1282" s="18">
        <v>6092903705</v>
      </c>
      <c r="B1282" t="s">
        <v>2712</v>
      </c>
      <c r="C1282" t="s">
        <v>348</v>
      </c>
      <c r="D1282" s="8">
        <v>7</v>
      </c>
      <c r="E1282" s="8" t="s">
        <v>184</v>
      </c>
    </row>
    <row r="1283" spans="1:5">
      <c r="A1283" s="18">
        <v>6092903705</v>
      </c>
      <c r="B1283" t="s">
        <v>2713</v>
      </c>
      <c r="C1283" t="s">
        <v>348</v>
      </c>
      <c r="D1283" s="8">
        <v>7.5</v>
      </c>
      <c r="E1283" s="8" t="s">
        <v>330</v>
      </c>
    </row>
    <row r="1284" spans="1:5">
      <c r="A1284" s="18">
        <v>6092903705</v>
      </c>
      <c r="B1284" t="s">
        <v>2714</v>
      </c>
      <c r="C1284" t="s">
        <v>348</v>
      </c>
      <c r="D1284" s="8">
        <v>8</v>
      </c>
      <c r="E1284" s="8" t="s">
        <v>186</v>
      </c>
    </row>
    <row r="1285" spans="1:5">
      <c r="A1285" s="18">
        <v>6092903705</v>
      </c>
      <c r="B1285" t="s">
        <v>2715</v>
      </c>
      <c r="C1285" t="s">
        <v>348</v>
      </c>
      <c r="D1285" s="8">
        <v>8.5</v>
      </c>
      <c r="E1285" s="8" t="s">
        <v>333</v>
      </c>
    </row>
    <row r="1286" spans="1:5">
      <c r="A1286" s="18">
        <v>6092903705</v>
      </c>
      <c r="B1286" t="s">
        <v>2716</v>
      </c>
      <c r="C1286" t="s">
        <v>348</v>
      </c>
      <c r="D1286" s="8">
        <v>9</v>
      </c>
      <c r="E1286" s="8" t="s">
        <v>188</v>
      </c>
    </row>
    <row r="1287" spans="1:5">
      <c r="A1287" s="18">
        <v>6092903705</v>
      </c>
      <c r="B1287" t="s">
        <v>2717</v>
      </c>
      <c r="C1287" t="s">
        <v>348</v>
      </c>
      <c r="D1287" s="8">
        <v>9.5</v>
      </c>
      <c r="E1287" s="8" t="s">
        <v>335</v>
      </c>
    </row>
    <row r="1288" spans="1:5">
      <c r="A1288" s="18">
        <v>6092903705</v>
      </c>
      <c r="B1288" t="s">
        <v>2718</v>
      </c>
      <c r="C1288" t="s">
        <v>566</v>
      </c>
      <c r="D1288" s="8">
        <v>10</v>
      </c>
      <c r="E1288" s="8" t="s">
        <v>190</v>
      </c>
    </row>
    <row r="1289" spans="1:5">
      <c r="A1289" s="18">
        <v>6092903705</v>
      </c>
      <c r="B1289" t="s">
        <v>2719</v>
      </c>
      <c r="C1289" t="s">
        <v>566</v>
      </c>
      <c r="D1289" s="8">
        <v>1</v>
      </c>
      <c r="E1289" s="8" t="s">
        <v>172</v>
      </c>
    </row>
    <row r="1290" spans="1:5">
      <c r="A1290" s="18">
        <v>6092903705</v>
      </c>
      <c r="B1290" t="s">
        <v>2720</v>
      </c>
      <c r="C1290" t="s">
        <v>566</v>
      </c>
      <c r="D1290" s="8">
        <v>10.5</v>
      </c>
      <c r="E1290" s="8" t="s">
        <v>338</v>
      </c>
    </row>
    <row r="1291" spans="1:5">
      <c r="A1291" s="18">
        <v>6092903705</v>
      </c>
      <c r="B1291" t="s">
        <v>2721</v>
      </c>
      <c r="C1291" t="s">
        <v>566</v>
      </c>
      <c r="D1291" s="8">
        <v>11</v>
      </c>
      <c r="E1291" s="8" t="s">
        <v>340</v>
      </c>
    </row>
    <row r="1292" spans="1:5">
      <c r="A1292" s="18">
        <v>6092903705</v>
      </c>
      <c r="B1292" t="s">
        <v>2722</v>
      </c>
      <c r="C1292" t="s">
        <v>566</v>
      </c>
      <c r="D1292" s="8">
        <v>11.5</v>
      </c>
      <c r="E1292" s="8" t="s">
        <v>342</v>
      </c>
    </row>
    <row r="1293" spans="1:5">
      <c r="A1293" s="18">
        <v>6092903705</v>
      </c>
      <c r="B1293" t="s">
        <v>2723</v>
      </c>
      <c r="C1293" t="s">
        <v>566</v>
      </c>
      <c r="D1293" s="8">
        <v>12</v>
      </c>
      <c r="E1293" s="8" t="s">
        <v>344</v>
      </c>
    </row>
    <row r="1294" spans="1:5">
      <c r="A1294" s="18">
        <v>6092903705</v>
      </c>
      <c r="B1294" t="s">
        <v>2724</v>
      </c>
      <c r="C1294" t="s">
        <v>566</v>
      </c>
      <c r="D1294" s="8">
        <v>1.5</v>
      </c>
      <c r="E1294" s="8" t="s">
        <v>320</v>
      </c>
    </row>
    <row r="1295" spans="1:5">
      <c r="A1295" s="18">
        <v>6092903705</v>
      </c>
      <c r="B1295" t="s">
        <v>2317</v>
      </c>
      <c r="C1295" t="s">
        <v>566</v>
      </c>
      <c r="D1295" s="8">
        <v>2</v>
      </c>
      <c r="E1295" s="8" t="s">
        <v>174</v>
      </c>
    </row>
    <row r="1296" spans="1:5">
      <c r="A1296" s="18">
        <v>6092903705</v>
      </c>
      <c r="B1296" t="s">
        <v>2725</v>
      </c>
      <c r="C1296" t="s">
        <v>566</v>
      </c>
      <c r="D1296" s="8">
        <v>2.5</v>
      </c>
      <c r="E1296" s="8" t="s">
        <v>169</v>
      </c>
    </row>
    <row r="1297" spans="1:5">
      <c r="A1297" s="18">
        <v>6092903705</v>
      </c>
      <c r="B1297" t="s">
        <v>2726</v>
      </c>
      <c r="C1297" t="s">
        <v>566</v>
      </c>
      <c r="D1297" s="8">
        <v>3</v>
      </c>
      <c r="E1297" s="8" t="s">
        <v>176</v>
      </c>
    </row>
    <row r="1298" spans="1:5">
      <c r="A1298" s="18">
        <v>6092903705</v>
      </c>
      <c r="B1298" t="s">
        <v>2727</v>
      </c>
      <c r="C1298" t="s">
        <v>566</v>
      </c>
      <c r="D1298" s="8">
        <v>3.5</v>
      </c>
      <c r="E1298" s="8" t="s">
        <v>323</v>
      </c>
    </row>
    <row r="1299" spans="1:5">
      <c r="A1299" s="18">
        <v>6092903705</v>
      </c>
      <c r="B1299" t="s">
        <v>2728</v>
      </c>
      <c r="C1299" t="s">
        <v>566</v>
      </c>
      <c r="D1299" s="8">
        <v>4</v>
      </c>
      <c r="E1299" s="8" t="s">
        <v>178</v>
      </c>
    </row>
    <row r="1300" spans="1:5">
      <c r="A1300" s="18">
        <v>6092903705</v>
      </c>
      <c r="B1300" t="s">
        <v>2729</v>
      </c>
      <c r="C1300" t="s">
        <v>566</v>
      </c>
      <c r="D1300" s="8">
        <v>4.5</v>
      </c>
      <c r="E1300" s="8" t="s">
        <v>324</v>
      </c>
    </row>
    <row r="1301" spans="1:5">
      <c r="A1301" s="18">
        <v>6092903705</v>
      </c>
      <c r="B1301" t="s">
        <v>2730</v>
      </c>
      <c r="C1301" t="s">
        <v>566</v>
      </c>
      <c r="D1301" s="8">
        <v>5</v>
      </c>
      <c r="E1301" s="8" t="s">
        <v>180</v>
      </c>
    </row>
    <row r="1302" spans="1:5">
      <c r="A1302" s="18">
        <v>6092903705</v>
      </c>
      <c r="B1302" t="s">
        <v>2731</v>
      </c>
      <c r="C1302" t="s">
        <v>566</v>
      </c>
      <c r="D1302" s="8">
        <v>5.5</v>
      </c>
      <c r="E1302" s="8" t="s">
        <v>325</v>
      </c>
    </row>
    <row r="1303" spans="1:5">
      <c r="A1303" s="18">
        <v>6092903705</v>
      </c>
      <c r="B1303" t="s">
        <v>2732</v>
      </c>
      <c r="C1303" t="s">
        <v>566</v>
      </c>
      <c r="D1303" s="8">
        <v>6</v>
      </c>
      <c r="E1303" s="8" t="s">
        <v>182</v>
      </c>
    </row>
    <row r="1304" spans="1:5">
      <c r="A1304" s="18">
        <v>6092903705</v>
      </c>
      <c r="B1304" t="s">
        <v>2733</v>
      </c>
      <c r="C1304" t="s">
        <v>566</v>
      </c>
      <c r="D1304" s="8">
        <v>6.5</v>
      </c>
      <c r="E1304" s="8" t="s">
        <v>326</v>
      </c>
    </row>
    <row r="1305" spans="1:5">
      <c r="A1305" s="18">
        <v>6092903705</v>
      </c>
      <c r="B1305" t="s">
        <v>2734</v>
      </c>
      <c r="C1305" t="s">
        <v>566</v>
      </c>
      <c r="D1305" s="8">
        <v>7</v>
      </c>
      <c r="E1305" s="8" t="s">
        <v>184</v>
      </c>
    </row>
    <row r="1306" spans="1:5">
      <c r="A1306" s="18">
        <v>6092903705</v>
      </c>
      <c r="B1306" t="s">
        <v>2735</v>
      </c>
      <c r="C1306" t="s">
        <v>566</v>
      </c>
      <c r="D1306" s="8">
        <v>7.5</v>
      </c>
      <c r="E1306" s="8" t="s">
        <v>330</v>
      </c>
    </row>
    <row r="1307" spans="1:5">
      <c r="A1307" s="18">
        <v>6092903705</v>
      </c>
      <c r="B1307" t="s">
        <v>2736</v>
      </c>
      <c r="C1307" t="s">
        <v>566</v>
      </c>
      <c r="D1307" s="8">
        <v>8</v>
      </c>
      <c r="E1307" s="8" t="s">
        <v>186</v>
      </c>
    </row>
    <row r="1308" spans="1:5">
      <c r="A1308" s="18">
        <v>6092903705</v>
      </c>
      <c r="B1308" t="s">
        <v>2737</v>
      </c>
      <c r="C1308" t="s">
        <v>566</v>
      </c>
      <c r="D1308" s="8">
        <v>8.5</v>
      </c>
      <c r="E1308" s="8" t="s">
        <v>333</v>
      </c>
    </row>
    <row r="1309" spans="1:5">
      <c r="A1309" s="18">
        <v>6092903705</v>
      </c>
      <c r="B1309" t="s">
        <v>2738</v>
      </c>
      <c r="C1309" t="s">
        <v>566</v>
      </c>
      <c r="D1309" s="8">
        <v>9</v>
      </c>
      <c r="E1309" s="8" t="s">
        <v>188</v>
      </c>
    </row>
    <row r="1310" spans="1:5">
      <c r="A1310" s="18">
        <v>6092903705</v>
      </c>
      <c r="B1310" t="s">
        <v>2739</v>
      </c>
      <c r="C1310" t="s">
        <v>566</v>
      </c>
      <c r="D1310" s="8">
        <v>9.5</v>
      </c>
      <c r="E1310" s="8" t="s">
        <v>335</v>
      </c>
    </row>
    <row r="1311" spans="1:5">
      <c r="A1311" s="18">
        <v>6092903705</v>
      </c>
      <c r="B1311" t="s">
        <v>2740</v>
      </c>
      <c r="C1311" t="s">
        <v>421</v>
      </c>
      <c r="D1311" s="8">
        <v>10</v>
      </c>
      <c r="E1311" s="8" t="s">
        <v>190</v>
      </c>
    </row>
    <row r="1312" spans="1:5">
      <c r="A1312" s="18">
        <v>6092903705</v>
      </c>
      <c r="B1312" t="s">
        <v>2741</v>
      </c>
      <c r="C1312" t="s">
        <v>421</v>
      </c>
      <c r="D1312" s="8">
        <v>1</v>
      </c>
      <c r="E1312" s="8" t="s">
        <v>172</v>
      </c>
    </row>
    <row r="1313" spans="1:5">
      <c r="A1313" s="18">
        <v>6092903705</v>
      </c>
      <c r="B1313" t="s">
        <v>2742</v>
      </c>
      <c r="C1313" t="s">
        <v>421</v>
      </c>
      <c r="D1313" s="8">
        <v>10.5</v>
      </c>
      <c r="E1313" s="8" t="s">
        <v>338</v>
      </c>
    </row>
    <row r="1314" spans="1:5">
      <c r="A1314" s="18">
        <v>6092903705</v>
      </c>
      <c r="B1314" t="s">
        <v>2743</v>
      </c>
      <c r="C1314" t="s">
        <v>421</v>
      </c>
      <c r="D1314" s="8">
        <v>11</v>
      </c>
      <c r="E1314" s="8" t="s">
        <v>340</v>
      </c>
    </row>
    <row r="1315" spans="1:5">
      <c r="A1315" s="18">
        <v>6092903705</v>
      </c>
      <c r="B1315" t="s">
        <v>2744</v>
      </c>
      <c r="C1315" t="s">
        <v>421</v>
      </c>
      <c r="D1315" s="8">
        <v>11.5</v>
      </c>
      <c r="E1315" s="8" t="s">
        <v>342</v>
      </c>
    </row>
    <row r="1316" spans="1:5">
      <c r="A1316" s="18">
        <v>6092903705</v>
      </c>
      <c r="B1316" t="s">
        <v>2745</v>
      </c>
      <c r="C1316" t="s">
        <v>421</v>
      </c>
      <c r="D1316" s="8">
        <v>12</v>
      </c>
      <c r="E1316" s="8" t="s">
        <v>344</v>
      </c>
    </row>
    <row r="1317" spans="1:5">
      <c r="A1317" s="18">
        <v>6092903705</v>
      </c>
      <c r="B1317" t="s">
        <v>2746</v>
      </c>
      <c r="C1317" t="s">
        <v>421</v>
      </c>
      <c r="D1317" s="8">
        <v>1.5</v>
      </c>
      <c r="E1317" s="8" t="s">
        <v>320</v>
      </c>
    </row>
    <row r="1318" spans="1:5">
      <c r="A1318" s="18">
        <v>6092903705</v>
      </c>
      <c r="B1318" t="s">
        <v>2747</v>
      </c>
      <c r="C1318" t="s">
        <v>421</v>
      </c>
      <c r="D1318" s="8">
        <v>2</v>
      </c>
      <c r="E1318" s="8" t="s">
        <v>174</v>
      </c>
    </row>
    <row r="1319" spans="1:5">
      <c r="A1319" s="18">
        <v>6092903705</v>
      </c>
      <c r="B1319" t="s">
        <v>2748</v>
      </c>
      <c r="C1319" t="s">
        <v>421</v>
      </c>
      <c r="D1319" s="8">
        <v>2.5</v>
      </c>
      <c r="E1319" s="8" t="s">
        <v>169</v>
      </c>
    </row>
    <row r="1320" spans="1:5">
      <c r="A1320" s="18">
        <v>6092903705</v>
      </c>
      <c r="B1320" t="s">
        <v>2749</v>
      </c>
      <c r="C1320" t="s">
        <v>421</v>
      </c>
      <c r="D1320" s="8">
        <v>3</v>
      </c>
      <c r="E1320" s="8" t="s">
        <v>176</v>
      </c>
    </row>
    <row r="1321" spans="1:5">
      <c r="A1321" s="18">
        <v>6092903705</v>
      </c>
      <c r="B1321" t="s">
        <v>2750</v>
      </c>
      <c r="C1321" t="s">
        <v>421</v>
      </c>
      <c r="D1321" s="8">
        <v>3.5</v>
      </c>
      <c r="E1321" s="8" t="s">
        <v>323</v>
      </c>
    </row>
    <row r="1322" spans="1:5">
      <c r="A1322" s="18">
        <v>6092903705</v>
      </c>
      <c r="B1322" t="s">
        <v>2751</v>
      </c>
      <c r="C1322" t="s">
        <v>421</v>
      </c>
      <c r="D1322" s="8">
        <v>4</v>
      </c>
      <c r="E1322" s="8" t="s">
        <v>178</v>
      </c>
    </row>
    <row r="1323" spans="1:5">
      <c r="A1323" s="18">
        <v>6092903705</v>
      </c>
      <c r="B1323" t="s">
        <v>2752</v>
      </c>
      <c r="C1323" t="s">
        <v>421</v>
      </c>
      <c r="D1323" s="8">
        <v>4.5</v>
      </c>
      <c r="E1323" s="8" t="s">
        <v>324</v>
      </c>
    </row>
    <row r="1324" spans="1:5">
      <c r="A1324" s="18">
        <v>6092903705</v>
      </c>
      <c r="B1324" t="s">
        <v>2753</v>
      </c>
      <c r="C1324" t="s">
        <v>421</v>
      </c>
      <c r="D1324" s="8">
        <v>5</v>
      </c>
      <c r="E1324" s="8" t="s">
        <v>180</v>
      </c>
    </row>
    <row r="1325" spans="1:5">
      <c r="A1325" s="18">
        <v>6092903705</v>
      </c>
      <c r="B1325" t="s">
        <v>2754</v>
      </c>
      <c r="C1325" t="s">
        <v>421</v>
      </c>
      <c r="D1325" s="8">
        <v>5.5</v>
      </c>
      <c r="E1325" s="8" t="s">
        <v>325</v>
      </c>
    </row>
    <row r="1326" spans="1:5">
      <c r="A1326" s="18">
        <v>6092903705</v>
      </c>
      <c r="B1326" t="s">
        <v>2755</v>
      </c>
      <c r="C1326" t="s">
        <v>421</v>
      </c>
      <c r="D1326" s="8">
        <v>6</v>
      </c>
      <c r="E1326" s="8" t="s">
        <v>182</v>
      </c>
    </row>
    <row r="1327" spans="1:5">
      <c r="A1327" s="18">
        <v>6092903705</v>
      </c>
      <c r="B1327" t="s">
        <v>2756</v>
      </c>
      <c r="C1327" t="s">
        <v>421</v>
      </c>
      <c r="D1327" s="8">
        <v>6.5</v>
      </c>
      <c r="E1327" s="8" t="s">
        <v>326</v>
      </c>
    </row>
    <row r="1328" spans="1:5">
      <c r="A1328" s="18">
        <v>6092903705</v>
      </c>
      <c r="B1328" t="s">
        <v>2757</v>
      </c>
      <c r="C1328" t="s">
        <v>421</v>
      </c>
      <c r="D1328" s="8">
        <v>7</v>
      </c>
      <c r="E1328" s="8" t="s">
        <v>184</v>
      </c>
    </row>
    <row r="1329" spans="1:5">
      <c r="A1329" s="18">
        <v>6092903705</v>
      </c>
      <c r="B1329" t="s">
        <v>2758</v>
      </c>
      <c r="C1329" t="s">
        <v>421</v>
      </c>
      <c r="D1329" s="8">
        <v>7.5</v>
      </c>
      <c r="E1329" s="8" t="s">
        <v>330</v>
      </c>
    </row>
    <row r="1330" spans="1:5">
      <c r="A1330" s="18">
        <v>6092903705</v>
      </c>
      <c r="B1330" t="s">
        <v>2759</v>
      </c>
      <c r="C1330" t="s">
        <v>421</v>
      </c>
      <c r="D1330" s="8">
        <v>8</v>
      </c>
      <c r="E1330" s="8" t="s">
        <v>186</v>
      </c>
    </row>
    <row r="1331" spans="1:5">
      <c r="A1331" s="18">
        <v>6092903705</v>
      </c>
      <c r="B1331" t="s">
        <v>2760</v>
      </c>
      <c r="C1331" t="s">
        <v>421</v>
      </c>
      <c r="D1331" s="8">
        <v>8.5</v>
      </c>
      <c r="E1331" s="8" t="s">
        <v>333</v>
      </c>
    </row>
    <row r="1332" spans="1:5">
      <c r="A1332" s="18">
        <v>6092903705</v>
      </c>
      <c r="B1332" t="s">
        <v>2761</v>
      </c>
      <c r="C1332" t="s">
        <v>421</v>
      </c>
      <c r="D1332" s="8">
        <v>9</v>
      </c>
      <c r="E1332" s="8" t="s">
        <v>188</v>
      </c>
    </row>
    <row r="1333" spans="1:5">
      <c r="A1333" s="18">
        <v>6092903705</v>
      </c>
      <c r="B1333" t="s">
        <v>2762</v>
      </c>
      <c r="C1333" t="s">
        <v>421</v>
      </c>
      <c r="D1333" s="8">
        <v>9.5</v>
      </c>
      <c r="E1333" s="8" t="s">
        <v>335</v>
      </c>
    </row>
    <row r="1334" spans="1:5">
      <c r="A1334" s="18">
        <v>6092903705</v>
      </c>
      <c r="B1334" t="s">
        <v>2763</v>
      </c>
      <c r="C1334" t="s">
        <v>352</v>
      </c>
      <c r="D1334" s="8">
        <v>10</v>
      </c>
      <c r="E1334" s="8" t="s">
        <v>190</v>
      </c>
    </row>
    <row r="1335" spans="1:5">
      <c r="A1335" s="18">
        <v>6092903705</v>
      </c>
      <c r="B1335" t="s">
        <v>2764</v>
      </c>
      <c r="C1335" t="s">
        <v>352</v>
      </c>
      <c r="D1335" s="8">
        <v>1</v>
      </c>
      <c r="E1335" s="8" t="s">
        <v>172</v>
      </c>
    </row>
    <row r="1336" spans="1:5">
      <c r="A1336" s="18">
        <v>6092903705</v>
      </c>
      <c r="B1336" t="s">
        <v>2765</v>
      </c>
      <c r="C1336" t="s">
        <v>352</v>
      </c>
      <c r="D1336" s="8">
        <v>10.5</v>
      </c>
      <c r="E1336" s="8" t="s">
        <v>338</v>
      </c>
    </row>
    <row r="1337" spans="1:5">
      <c r="A1337" s="18">
        <v>6092903705</v>
      </c>
      <c r="B1337" t="s">
        <v>2766</v>
      </c>
      <c r="C1337" t="s">
        <v>352</v>
      </c>
      <c r="D1337" s="8">
        <v>11</v>
      </c>
      <c r="E1337" s="8" t="s">
        <v>340</v>
      </c>
    </row>
    <row r="1338" spans="1:5">
      <c r="A1338" s="18">
        <v>6092903705</v>
      </c>
      <c r="B1338" t="s">
        <v>2767</v>
      </c>
      <c r="C1338" t="s">
        <v>352</v>
      </c>
      <c r="D1338" s="8">
        <v>11.5</v>
      </c>
      <c r="E1338" s="8" t="s">
        <v>342</v>
      </c>
    </row>
    <row r="1339" spans="1:5">
      <c r="A1339" s="18">
        <v>6092903705</v>
      </c>
      <c r="B1339" t="s">
        <v>2768</v>
      </c>
      <c r="C1339" t="s">
        <v>352</v>
      </c>
      <c r="D1339" s="8">
        <v>12</v>
      </c>
      <c r="E1339" s="8" t="s">
        <v>344</v>
      </c>
    </row>
    <row r="1340" spans="1:5">
      <c r="A1340" s="18">
        <v>6092903705</v>
      </c>
      <c r="B1340" t="s">
        <v>2769</v>
      </c>
      <c r="C1340" t="s">
        <v>352</v>
      </c>
      <c r="D1340" s="8">
        <v>1.5</v>
      </c>
      <c r="E1340" s="8" t="s">
        <v>320</v>
      </c>
    </row>
    <row r="1341" spans="1:5">
      <c r="A1341" s="18">
        <v>6092903705</v>
      </c>
      <c r="B1341" t="s">
        <v>2770</v>
      </c>
      <c r="C1341" t="s">
        <v>352</v>
      </c>
      <c r="D1341" s="8">
        <v>2</v>
      </c>
      <c r="E1341" s="8" t="s">
        <v>174</v>
      </c>
    </row>
    <row r="1342" spans="1:5">
      <c r="A1342" s="18">
        <v>6092903705</v>
      </c>
      <c r="B1342" t="s">
        <v>2771</v>
      </c>
      <c r="C1342" t="s">
        <v>352</v>
      </c>
      <c r="D1342" s="8">
        <v>2.5</v>
      </c>
      <c r="E1342" s="8" t="s">
        <v>169</v>
      </c>
    </row>
    <row r="1343" spans="1:5">
      <c r="A1343" s="18">
        <v>6092903705</v>
      </c>
      <c r="B1343" t="s">
        <v>2772</v>
      </c>
      <c r="C1343" t="s">
        <v>352</v>
      </c>
      <c r="D1343" s="8">
        <v>3</v>
      </c>
      <c r="E1343" s="8" t="s">
        <v>176</v>
      </c>
    </row>
    <row r="1344" spans="1:5">
      <c r="A1344" s="18">
        <v>6092903705</v>
      </c>
      <c r="B1344" t="s">
        <v>2773</v>
      </c>
      <c r="C1344" t="s">
        <v>352</v>
      </c>
      <c r="D1344" s="8">
        <v>3.5</v>
      </c>
      <c r="E1344" s="8" t="s">
        <v>323</v>
      </c>
    </row>
    <row r="1345" spans="1:5">
      <c r="A1345" s="18">
        <v>6092903705</v>
      </c>
      <c r="B1345" t="s">
        <v>2774</v>
      </c>
      <c r="C1345" t="s">
        <v>352</v>
      </c>
      <c r="D1345" s="8">
        <v>4</v>
      </c>
      <c r="E1345" s="8" t="s">
        <v>178</v>
      </c>
    </row>
    <row r="1346" spans="1:5">
      <c r="A1346" s="18">
        <v>6092903705</v>
      </c>
      <c r="B1346" t="s">
        <v>2775</v>
      </c>
      <c r="C1346" t="s">
        <v>352</v>
      </c>
      <c r="D1346" s="8">
        <v>4.5</v>
      </c>
      <c r="E1346" s="8" t="s">
        <v>324</v>
      </c>
    </row>
    <row r="1347" spans="1:5">
      <c r="A1347" s="18">
        <v>6092903705</v>
      </c>
      <c r="B1347" t="s">
        <v>2776</v>
      </c>
      <c r="C1347" t="s">
        <v>352</v>
      </c>
      <c r="D1347" s="8">
        <v>5</v>
      </c>
      <c r="E1347" s="8" t="s">
        <v>180</v>
      </c>
    </row>
    <row r="1348" spans="1:5">
      <c r="A1348" s="18">
        <v>6092903705</v>
      </c>
      <c r="B1348" t="s">
        <v>2777</v>
      </c>
      <c r="C1348" t="s">
        <v>352</v>
      </c>
      <c r="D1348" s="8">
        <v>5.5</v>
      </c>
      <c r="E1348" s="8" t="s">
        <v>325</v>
      </c>
    </row>
    <row r="1349" spans="1:5">
      <c r="A1349" s="18">
        <v>6092903705</v>
      </c>
      <c r="B1349" t="s">
        <v>2778</v>
      </c>
      <c r="C1349" t="s">
        <v>352</v>
      </c>
      <c r="D1349" s="8">
        <v>6</v>
      </c>
      <c r="E1349" s="8" t="s">
        <v>182</v>
      </c>
    </row>
    <row r="1350" spans="1:5">
      <c r="A1350" s="18">
        <v>6092903705</v>
      </c>
      <c r="B1350" t="s">
        <v>2779</v>
      </c>
      <c r="C1350" t="s">
        <v>352</v>
      </c>
      <c r="D1350" s="8">
        <v>6.5</v>
      </c>
      <c r="E1350" s="8" t="s">
        <v>326</v>
      </c>
    </row>
    <row r="1351" spans="1:5">
      <c r="A1351" s="18">
        <v>6092903705</v>
      </c>
      <c r="B1351" t="s">
        <v>2780</v>
      </c>
      <c r="C1351" t="s">
        <v>352</v>
      </c>
      <c r="D1351" s="8">
        <v>7</v>
      </c>
      <c r="E1351" s="8" t="s">
        <v>184</v>
      </c>
    </row>
    <row r="1352" spans="1:5">
      <c r="A1352" s="18">
        <v>6092903705</v>
      </c>
      <c r="B1352" t="s">
        <v>2781</v>
      </c>
      <c r="C1352" t="s">
        <v>352</v>
      </c>
      <c r="D1352" s="8">
        <v>7.5</v>
      </c>
      <c r="E1352" s="8" t="s">
        <v>330</v>
      </c>
    </row>
    <row r="1353" spans="1:5">
      <c r="A1353" s="18">
        <v>6092903705</v>
      </c>
      <c r="B1353" t="s">
        <v>2782</v>
      </c>
      <c r="C1353" t="s">
        <v>352</v>
      </c>
      <c r="D1353" s="8">
        <v>8</v>
      </c>
      <c r="E1353" s="8" t="s">
        <v>186</v>
      </c>
    </row>
    <row r="1354" spans="1:5">
      <c r="A1354" s="18">
        <v>6092903705</v>
      </c>
      <c r="B1354" t="s">
        <v>2783</v>
      </c>
      <c r="C1354" t="s">
        <v>352</v>
      </c>
      <c r="D1354" s="8">
        <v>8.5</v>
      </c>
      <c r="E1354" s="8" t="s">
        <v>333</v>
      </c>
    </row>
    <row r="1355" spans="1:5">
      <c r="A1355" s="18">
        <v>6092903705</v>
      </c>
      <c r="B1355" t="s">
        <v>2784</v>
      </c>
      <c r="C1355" t="s">
        <v>352</v>
      </c>
      <c r="D1355" s="8">
        <v>9</v>
      </c>
      <c r="E1355" s="8" t="s">
        <v>188</v>
      </c>
    </row>
    <row r="1356" spans="1:5">
      <c r="A1356" s="18">
        <v>6092903705</v>
      </c>
      <c r="B1356" t="s">
        <v>2785</v>
      </c>
      <c r="C1356" t="s">
        <v>352</v>
      </c>
      <c r="D1356" s="8">
        <v>9.5</v>
      </c>
      <c r="E1356" s="8" t="s">
        <v>335</v>
      </c>
    </row>
    <row r="1357" spans="1:5">
      <c r="A1357" s="18">
        <v>6092903705</v>
      </c>
      <c r="B1357" t="s">
        <v>2786</v>
      </c>
      <c r="C1357" t="s">
        <v>567</v>
      </c>
      <c r="D1357" s="8">
        <v>10</v>
      </c>
      <c r="E1357" s="8" t="s">
        <v>190</v>
      </c>
    </row>
    <row r="1358" spans="1:5">
      <c r="A1358" s="18">
        <v>6092903705</v>
      </c>
      <c r="B1358" t="s">
        <v>2787</v>
      </c>
      <c r="C1358" t="s">
        <v>567</v>
      </c>
      <c r="D1358" s="8">
        <v>1</v>
      </c>
      <c r="E1358" s="8" t="s">
        <v>172</v>
      </c>
    </row>
    <row r="1359" spans="1:5">
      <c r="A1359" s="18">
        <v>6092903705</v>
      </c>
      <c r="B1359" t="s">
        <v>2788</v>
      </c>
      <c r="C1359" t="s">
        <v>567</v>
      </c>
      <c r="D1359" s="8">
        <v>10.5</v>
      </c>
      <c r="E1359" s="8" t="s">
        <v>338</v>
      </c>
    </row>
    <row r="1360" spans="1:5">
      <c r="A1360" s="18">
        <v>6092903705</v>
      </c>
      <c r="B1360" t="s">
        <v>2789</v>
      </c>
      <c r="C1360" t="s">
        <v>567</v>
      </c>
      <c r="D1360" s="8">
        <v>11</v>
      </c>
      <c r="E1360" s="8" t="s">
        <v>340</v>
      </c>
    </row>
    <row r="1361" spans="1:5">
      <c r="A1361" s="18">
        <v>6092903705</v>
      </c>
      <c r="B1361" t="s">
        <v>2790</v>
      </c>
      <c r="C1361" t="s">
        <v>567</v>
      </c>
      <c r="D1361" s="8">
        <v>11.5</v>
      </c>
      <c r="E1361" s="8" t="s">
        <v>342</v>
      </c>
    </row>
    <row r="1362" spans="1:5">
      <c r="A1362" s="18">
        <v>6092903705</v>
      </c>
      <c r="B1362" t="s">
        <v>2791</v>
      </c>
      <c r="C1362" t="s">
        <v>567</v>
      </c>
      <c r="D1362" s="8">
        <v>12</v>
      </c>
      <c r="E1362" s="8" t="s">
        <v>344</v>
      </c>
    </row>
    <row r="1363" spans="1:5">
      <c r="A1363" s="18">
        <v>6092903705</v>
      </c>
      <c r="B1363" t="s">
        <v>2792</v>
      </c>
      <c r="C1363" t="s">
        <v>567</v>
      </c>
      <c r="D1363" s="8">
        <v>1.5</v>
      </c>
      <c r="E1363" s="8" t="s">
        <v>320</v>
      </c>
    </row>
    <row r="1364" spans="1:5">
      <c r="A1364" s="18">
        <v>6092903705</v>
      </c>
      <c r="B1364" t="s">
        <v>2793</v>
      </c>
      <c r="C1364" t="s">
        <v>567</v>
      </c>
      <c r="D1364" s="8">
        <v>2</v>
      </c>
      <c r="E1364" s="8" t="s">
        <v>174</v>
      </c>
    </row>
    <row r="1365" spans="1:5">
      <c r="A1365" s="18">
        <v>6092903705</v>
      </c>
      <c r="B1365" t="s">
        <v>2794</v>
      </c>
      <c r="C1365" t="s">
        <v>567</v>
      </c>
      <c r="D1365" s="8">
        <v>2.5</v>
      </c>
      <c r="E1365" s="8" t="s">
        <v>169</v>
      </c>
    </row>
    <row r="1366" spans="1:5">
      <c r="A1366" s="18">
        <v>6092903705</v>
      </c>
      <c r="B1366" t="s">
        <v>2795</v>
      </c>
      <c r="C1366" t="s">
        <v>567</v>
      </c>
      <c r="D1366" s="8">
        <v>3</v>
      </c>
      <c r="E1366" s="8" t="s">
        <v>176</v>
      </c>
    </row>
    <row r="1367" spans="1:5">
      <c r="A1367" s="18">
        <v>6092903705</v>
      </c>
      <c r="B1367" t="s">
        <v>2796</v>
      </c>
      <c r="C1367" t="s">
        <v>567</v>
      </c>
      <c r="D1367" s="8">
        <v>3.5</v>
      </c>
      <c r="E1367" s="8" t="s">
        <v>323</v>
      </c>
    </row>
    <row r="1368" spans="1:5">
      <c r="A1368" s="18">
        <v>6092903705</v>
      </c>
      <c r="B1368" t="s">
        <v>2797</v>
      </c>
      <c r="C1368" t="s">
        <v>567</v>
      </c>
      <c r="D1368" s="8">
        <v>4</v>
      </c>
      <c r="E1368" s="8" t="s">
        <v>178</v>
      </c>
    </row>
    <row r="1369" spans="1:5">
      <c r="A1369" s="18">
        <v>6092903705</v>
      </c>
      <c r="B1369" t="s">
        <v>2798</v>
      </c>
      <c r="C1369" t="s">
        <v>567</v>
      </c>
      <c r="D1369" s="8">
        <v>4.5</v>
      </c>
      <c r="E1369" s="8" t="s">
        <v>324</v>
      </c>
    </row>
    <row r="1370" spans="1:5">
      <c r="A1370" s="18">
        <v>6092903705</v>
      </c>
      <c r="B1370" t="s">
        <v>2799</v>
      </c>
      <c r="C1370" t="s">
        <v>567</v>
      </c>
      <c r="D1370" s="8">
        <v>5</v>
      </c>
      <c r="E1370" s="8" t="s">
        <v>180</v>
      </c>
    </row>
    <row r="1371" spans="1:5">
      <c r="A1371" s="18">
        <v>6092903705</v>
      </c>
      <c r="B1371" t="s">
        <v>2800</v>
      </c>
      <c r="C1371" t="s">
        <v>567</v>
      </c>
      <c r="D1371" s="8">
        <v>5.5</v>
      </c>
      <c r="E1371" s="8" t="s">
        <v>325</v>
      </c>
    </row>
    <row r="1372" spans="1:5">
      <c r="A1372" s="18">
        <v>6092903705</v>
      </c>
      <c r="B1372" t="s">
        <v>2801</v>
      </c>
      <c r="C1372" t="s">
        <v>567</v>
      </c>
      <c r="D1372" s="8">
        <v>6</v>
      </c>
      <c r="E1372" s="8" t="s">
        <v>182</v>
      </c>
    </row>
    <row r="1373" spans="1:5">
      <c r="A1373" s="18">
        <v>6092903705</v>
      </c>
      <c r="B1373" t="s">
        <v>2802</v>
      </c>
      <c r="C1373" t="s">
        <v>567</v>
      </c>
      <c r="D1373" s="8">
        <v>6.5</v>
      </c>
      <c r="E1373" s="8" t="s">
        <v>326</v>
      </c>
    </row>
    <row r="1374" spans="1:5">
      <c r="A1374" s="18">
        <v>6092903705</v>
      </c>
      <c r="B1374" t="s">
        <v>2803</v>
      </c>
      <c r="C1374" t="s">
        <v>567</v>
      </c>
      <c r="D1374" s="8">
        <v>7</v>
      </c>
      <c r="E1374" s="8" t="s">
        <v>184</v>
      </c>
    </row>
    <row r="1375" spans="1:5">
      <c r="A1375" s="18">
        <v>6092903705</v>
      </c>
      <c r="B1375" t="s">
        <v>2804</v>
      </c>
      <c r="C1375" t="s">
        <v>567</v>
      </c>
      <c r="D1375" s="8">
        <v>7.5</v>
      </c>
      <c r="E1375" s="8" t="s">
        <v>330</v>
      </c>
    </row>
    <row r="1376" spans="1:5">
      <c r="A1376" s="18">
        <v>6092903705</v>
      </c>
      <c r="B1376" t="s">
        <v>2805</v>
      </c>
      <c r="C1376" t="s">
        <v>567</v>
      </c>
      <c r="D1376" s="8">
        <v>8</v>
      </c>
      <c r="E1376" s="8" t="s">
        <v>186</v>
      </c>
    </row>
    <row r="1377" spans="1:5">
      <c r="A1377" s="18">
        <v>6092903705</v>
      </c>
      <c r="B1377" t="s">
        <v>2806</v>
      </c>
      <c r="C1377" t="s">
        <v>567</v>
      </c>
      <c r="D1377" s="8">
        <v>8.5</v>
      </c>
      <c r="E1377" s="8" t="s">
        <v>333</v>
      </c>
    </row>
    <row r="1378" spans="1:5">
      <c r="A1378" s="18">
        <v>6092903705</v>
      </c>
      <c r="B1378" t="s">
        <v>2807</v>
      </c>
      <c r="C1378" t="s">
        <v>567</v>
      </c>
      <c r="D1378" s="8">
        <v>9</v>
      </c>
      <c r="E1378" s="8" t="s">
        <v>188</v>
      </c>
    </row>
    <row r="1379" spans="1:5">
      <c r="A1379" s="18">
        <v>6092903705</v>
      </c>
      <c r="B1379" t="s">
        <v>2808</v>
      </c>
      <c r="C1379" t="s">
        <v>567</v>
      </c>
      <c r="D1379" s="8">
        <v>9.5</v>
      </c>
      <c r="E1379" s="8" t="s">
        <v>335</v>
      </c>
    </row>
    <row r="1380" spans="1:5">
      <c r="A1380" s="18">
        <v>6092903705</v>
      </c>
      <c r="B1380" t="s">
        <v>2809</v>
      </c>
      <c r="C1380" t="s">
        <v>253</v>
      </c>
      <c r="D1380" s="8">
        <v>0.5</v>
      </c>
      <c r="E1380" s="8" t="s">
        <v>70</v>
      </c>
    </row>
    <row r="1381" spans="1:5">
      <c r="A1381" s="18">
        <v>6092903705</v>
      </c>
      <c r="B1381" t="s">
        <v>2810</v>
      </c>
      <c r="C1381" t="s">
        <v>545</v>
      </c>
      <c r="D1381" s="8">
        <v>0.5</v>
      </c>
      <c r="E1381" s="8" t="s">
        <v>70</v>
      </c>
    </row>
    <row r="1382" spans="1:5">
      <c r="A1382" s="18">
        <v>6092903705</v>
      </c>
      <c r="B1382" t="s">
        <v>2811</v>
      </c>
      <c r="C1382" t="s">
        <v>254</v>
      </c>
      <c r="D1382" s="8">
        <v>0.5</v>
      </c>
      <c r="E1382" s="8" t="s">
        <v>70</v>
      </c>
    </row>
    <row r="1383" spans="1:5">
      <c r="A1383" s="18">
        <v>6092903705</v>
      </c>
      <c r="B1383" t="s">
        <v>2812</v>
      </c>
      <c r="C1383" t="s">
        <v>255</v>
      </c>
      <c r="D1383" s="8">
        <v>0.5</v>
      </c>
      <c r="E1383" s="8" t="s">
        <v>70</v>
      </c>
    </row>
    <row r="1384" spans="1:5">
      <c r="A1384" s="18">
        <v>6092903705</v>
      </c>
      <c r="B1384" t="s">
        <v>2813</v>
      </c>
      <c r="C1384" t="s">
        <v>565</v>
      </c>
      <c r="D1384" s="8">
        <v>0.5</v>
      </c>
      <c r="E1384" s="8" t="s">
        <v>70</v>
      </c>
    </row>
    <row r="1385" spans="1:5">
      <c r="A1385" s="18">
        <v>6092903705</v>
      </c>
      <c r="B1385" t="s">
        <v>2814</v>
      </c>
      <c r="C1385" t="s">
        <v>256</v>
      </c>
      <c r="D1385" s="8">
        <v>0.5</v>
      </c>
      <c r="E1385" s="8" t="s">
        <v>70</v>
      </c>
    </row>
    <row r="1386" spans="1:5">
      <c r="A1386" s="18">
        <v>6092903705</v>
      </c>
      <c r="B1386" t="s">
        <v>2815</v>
      </c>
      <c r="C1386" t="s">
        <v>257</v>
      </c>
      <c r="D1386" s="8">
        <v>0.5</v>
      </c>
      <c r="E1386" s="8" t="s">
        <v>70</v>
      </c>
    </row>
    <row r="1387" spans="1:5">
      <c r="A1387" s="18">
        <v>6092903705</v>
      </c>
      <c r="B1387" t="s">
        <v>2816</v>
      </c>
      <c r="C1387" t="s">
        <v>568</v>
      </c>
      <c r="D1387" s="8">
        <v>0.5</v>
      </c>
      <c r="E1387" s="8" t="s">
        <v>70</v>
      </c>
    </row>
    <row r="1388" spans="1:5" ht="17.25" thickBot="1">
      <c r="A1388" s="18">
        <v>6092903705</v>
      </c>
      <c r="B1388" t="s">
        <v>2817</v>
      </c>
      <c r="C1388" t="s">
        <v>258</v>
      </c>
      <c r="D1388" s="8">
        <v>0.5</v>
      </c>
      <c r="E1388" s="8" t="s">
        <v>70</v>
      </c>
    </row>
    <row r="1389" spans="1:5" s="36" customFormat="1">
      <c r="A1389" s="62">
        <v>6710830644</v>
      </c>
      <c r="B1389" s="36" t="s">
        <v>106</v>
      </c>
      <c r="C1389" s="36" t="s">
        <v>268</v>
      </c>
      <c r="D1389" s="37">
        <v>1</v>
      </c>
      <c r="E1389" s="37" t="s">
        <v>172</v>
      </c>
    </row>
    <row r="1390" spans="1:5">
      <c r="A1390" s="63">
        <v>6710830644</v>
      </c>
      <c r="B1390" t="s">
        <v>115</v>
      </c>
      <c r="C1390" t="s">
        <v>268</v>
      </c>
      <c r="D1390" s="8">
        <v>10</v>
      </c>
      <c r="E1390" s="8" t="s">
        <v>190</v>
      </c>
    </row>
    <row r="1391" spans="1:5">
      <c r="A1391" s="63">
        <v>6710830644</v>
      </c>
      <c r="B1391" t="s">
        <v>107</v>
      </c>
      <c r="C1391" t="s">
        <v>268</v>
      </c>
      <c r="D1391" s="8">
        <v>2</v>
      </c>
      <c r="E1391" s="8" t="s">
        <v>174</v>
      </c>
    </row>
    <row r="1392" spans="1:5">
      <c r="A1392" s="63">
        <v>6710830644</v>
      </c>
      <c r="B1392" t="s">
        <v>108</v>
      </c>
      <c r="C1392" t="s">
        <v>268</v>
      </c>
      <c r="D1392" s="8">
        <v>3</v>
      </c>
      <c r="E1392" s="8" t="s">
        <v>176</v>
      </c>
    </row>
    <row r="1393" spans="1:5">
      <c r="A1393" s="63">
        <v>6710830644</v>
      </c>
      <c r="B1393" t="s">
        <v>109</v>
      </c>
      <c r="C1393" t="s">
        <v>268</v>
      </c>
      <c r="D1393" s="8">
        <v>4</v>
      </c>
      <c r="E1393" s="8" t="s">
        <v>178</v>
      </c>
    </row>
    <row r="1394" spans="1:5">
      <c r="A1394" s="63">
        <v>6710830644</v>
      </c>
      <c r="B1394" t="s">
        <v>110</v>
      </c>
      <c r="C1394" t="s">
        <v>268</v>
      </c>
      <c r="D1394" s="8">
        <v>5</v>
      </c>
      <c r="E1394" s="8" t="s">
        <v>180</v>
      </c>
    </row>
    <row r="1395" spans="1:5">
      <c r="A1395" s="63">
        <v>6710830644</v>
      </c>
      <c r="B1395" t="s">
        <v>111</v>
      </c>
      <c r="C1395" t="s">
        <v>268</v>
      </c>
      <c r="D1395" s="8">
        <v>6</v>
      </c>
      <c r="E1395" s="8" t="s">
        <v>182</v>
      </c>
    </row>
    <row r="1396" spans="1:5">
      <c r="A1396" s="63">
        <v>6710830644</v>
      </c>
      <c r="B1396" t="s">
        <v>112</v>
      </c>
      <c r="C1396" t="s">
        <v>268</v>
      </c>
      <c r="D1396" s="8">
        <v>7</v>
      </c>
      <c r="E1396" s="8" t="s">
        <v>184</v>
      </c>
    </row>
    <row r="1397" spans="1:5">
      <c r="A1397" s="63">
        <v>6710830644</v>
      </c>
      <c r="B1397" t="s">
        <v>113</v>
      </c>
      <c r="C1397" t="s">
        <v>268</v>
      </c>
      <c r="D1397" s="8">
        <v>8</v>
      </c>
      <c r="E1397" s="8" t="s">
        <v>186</v>
      </c>
    </row>
    <row r="1398" spans="1:5">
      <c r="A1398" s="63">
        <v>6710830644</v>
      </c>
      <c r="B1398" t="s">
        <v>114</v>
      </c>
      <c r="C1398" t="s">
        <v>268</v>
      </c>
      <c r="D1398" s="8">
        <v>9</v>
      </c>
      <c r="E1398" s="8" t="s">
        <v>188</v>
      </c>
    </row>
    <row r="1399" spans="1:5" s="18" customFormat="1">
      <c r="A1399" s="81">
        <v>6710830644</v>
      </c>
      <c r="B1399" s="18" t="s">
        <v>1115</v>
      </c>
      <c r="C1399" s="18" t="s">
        <v>1116</v>
      </c>
      <c r="D1399" s="24">
        <v>1</v>
      </c>
      <c r="E1399" s="24" t="s">
        <v>172</v>
      </c>
    </row>
    <row r="1400" spans="1:5" s="18" customFormat="1">
      <c r="A1400" s="81">
        <v>6710830644</v>
      </c>
      <c r="B1400" s="18" t="s">
        <v>1117</v>
      </c>
      <c r="C1400" s="18" t="s">
        <v>1116</v>
      </c>
      <c r="D1400" s="24">
        <v>10</v>
      </c>
      <c r="E1400" s="24" t="s">
        <v>190</v>
      </c>
    </row>
    <row r="1401" spans="1:5" s="18" customFormat="1">
      <c r="A1401" s="81">
        <v>6710830644</v>
      </c>
      <c r="B1401" s="18" t="s">
        <v>1118</v>
      </c>
      <c r="C1401" s="18" t="s">
        <v>1116</v>
      </c>
      <c r="D1401" s="24">
        <v>2</v>
      </c>
      <c r="E1401" s="24" t="s">
        <v>174</v>
      </c>
    </row>
    <row r="1402" spans="1:5" s="18" customFormat="1">
      <c r="A1402" s="81">
        <v>6710830644</v>
      </c>
      <c r="B1402" s="18" t="s">
        <v>1119</v>
      </c>
      <c r="C1402" s="18" t="s">
        <v>1116</v>
      </c>
      <c r="D1402" s="24">
        <v>3</v>
      </c>
      <c r="E1402" s="24" t="s">
        <v>176</v>
      </c>
    </row>
    <row r="1403" spans="1:5" s="18" customFormat="1">
      <c r="A1403" s="81">
        <v>6710830644</v>
      </c>
      <c r="B1403" s="18" t="s">
        <v>1120</v>
      </c>
      <c r="C1403" s="18" t="s">
        <v>1116</v>
      </c>
      <c r="D1403" s="24">
        <v>4</v>
      </c>
      <c r="E1403" s="24" t="s">
        <v>178</v>
      </c>
    </row>
    <row r="1404" spans="1:5" s="18" customFormat="1">
      <c r="A1404" s="81">
        <v>6710830644</v>
      </c>
      <c r="B1404" s="18" t="s">
        <v>1121</v>
      </c>
      <c r="C1404" s="18" t="s">
        <v>1116</v>
      </c>
      <c r="D1404" s="24">
        <v>5</v>
      </c>
      <c r="E1404" s="24" t="s">
        <v>180</v>
      </c>
    </row>
    <row r="1405" spans="1:5" s="18" customFormat="1">
      <c r="A1405" s="81">
        <v>6710830644</v>
      </c>
      <c r="B1405" s="18" t="s">
        <v>1122</v>
      </c>
      <c r="C1405" s="18" t="s">
        <v>1116</v>
      </c>
      <c r="D1405" s="24">
        <v>6</v>
      </c>
      <c r="E1405" s="24" t="s">
        <v>182</v>
      </c>
    </row>
    <row r="1406" spans="1:5" s="18" customFormat="1">
      <c r="A1406" s="81">
        <v>6710830644</v>
      </c>
      <c r="B1406" s="18" t="s">
        <v>1123</v>
      </c>
      <c r="C1406" s="18" t="s">
        <v>1116</v>
      </c>
      <c r="D1406" s="24">
        <v>7</v>
      </c>
      <c r="E1406" s="24" t="s">
        <v>184</v>
      </c>
    </row>
    <row r="1407" spans="1:5" s="18" customFormat="1">
      <c r="A1407" s="81">
        <v>6710830644</v>
      </c>
      <c r="B1407" s="18" t="s">
        <v>1124</v>
      </c>
      <c r="C1407" s="18" t="s">
        <v>1116</v>
      </c>
      <c r="D1407" s="24">
        <v>8</v>
      </c>
      <c r="E1407" s="24" t="s">
        <v>186</v>
      </c>
    </row>
    <row r="1408" spans="1:5" s="18" customFormat="1">
      <c r="A1408" s="81">
        <v>6710830644</v>
      </c>
      <c r="B1408" s="18" t="s">
        <v>1125</v>
      </c>
      <c r="C1408" s="18" t="s">
        <v>1116</v>
      </c>
      <c r="D1408" s="24">
        <v>9</v>
      </c>
      <c r="E1408" s="24" t="s">
        <v>188</v>
      </c>
    </row>
    <row r="1409" spans="1:5">
      <c r="A1409" s="63">
        <v>6710830644</v>
      </c>
      <c r="B1409" t="s">
        <v>116</v>
      </c>
      <c r="C1409" t="s">
        <v>269</v>
      </c>
      <c r="D1409" s="8">
        <v>1</v>
      </c>
      <c r="E1409" s="8" t="s">
        <v>172</v>
      </c>
    </row>
    <row r="1410" spans="1:5">
      <c r="A1410" s="63">
        <v>6710830644</v>
      </c>
      <c r="B1410" t="s">
        <v>117</v>
      </c>
      <c r="C1410" t="s">
        <v>269</v>
      </c>
      <c r="D1410" s="8">
        <v>2</v>
      </c>
      <c r="E1410" s="8" t="s">
        <v>174</v>
      </c>
    </row>
    <row r="1411" spans="1:5">
      <c r="A1411" s="63">
        <v>6710830644</v>
      </c>
      <c r="B1411" t="s">
        <v>118</v>
      </c>
      <c r="C1411" t="s">
        <v>269</v>
      </c>
      <c r="D1411" s="8">
        <v>3</v>
      </c>
      <c r="E1411" s="8" t="s">
        <v>176</v>
      </c>
    </row>
    <row r="1412" spans="1:5">
      <c r="A1412" s="63">
        <v>6710830644</v>
      </c>
      <c r="B1412" t="s">
        <v>119</v>
      </c>
      <c r="C1412" t="s">
        <v>269</v>
      </c>
      <c r="D1412" s="8">
        <v>4</v>
      </c>
      <c r="E1412" s="8" t="s">
        <v>178</v>
      </c>
    </row>
    <row r="1413" spans="1:5">
      <c r="A1413" s="63">
        <v>6710830644</v>
      </c>
      <c r="B1413" t="s">
        <v>120</v>
      </c>
      <c r="C1413" t="s">
        <v>269</v>
      </c>
      <c r="D1413" s="8">
        <v>5</v>
      </c>
      <c r="E1413" s="8" t="s">
        <v>180</v>
      </c>
    </row>
    <row r="1414" spans="1:5">
      <c r="A1414" s="63">
        <v>6710830644</v>
      </c>
      <c r="B1414" t="s">
        <v>121</v>
      </c>
      <c r="C1414" t="s">
        <v>269</v>
      </c>
      <c r="D1414" s="8">
        <v>6</v>
      </c>
      <c r="E1414" s="8" t="s">
        <v>182</v>
      </c>
    </row>
    <row r="1415" spans="1:5">
      <c r="A1415" s="63">
        <v>6710830644</v>
      </c>
      <c r="B1415" t="s">
        <v>122</v>
      </c>
      <c r="C1415" t="s">
        <v>269</v>
      </c>
      <c r="D1415" s="8">
        <v>7</v>
      </c>
      <c r="E1415" s="8" t="s">
        <v>184</v>
      </c>
    </row>
    <row r="1416" spans="1:5" s="18" customFormat="1">
      <c r="A1416" s="81">
        <v>6710830644</v>
      </c>
      <c r="B1416" s="18" t="s">
        <v>1127</v>
      </c>
      <c r="C1416" s="18" t="s">
        <v>1126</v>
      </c>
      <c r="D1416" s="24">
        <v>1</v>
      </c>
      <c r="E1416" s="24" t="s">
        <v>172</v>
      </c>
    </row>
    <row r="1417" spans="1:5" s="18" customFormat="1">
      <c r="A1417" s="81">
        <v>6710830644</v>
      </c>
      <c r="B1417" s="18" t="s">
        <v>1128</v>
      </c>
      <c r="C1417" s="18" t="s">
        <v>1126</v>
      </c>
      <c r="D1417" s="24">
        <v>2</v>
      </c>
      <c r="E1417" s="24" t="s">
        <v>174</v>
      </c>
    </row>
    <row r="1418" spans="1:5" s="18" customFormat="1">
      <c r="A1418" s="81">
        <v>6710830644</v>
      </c>
      <c r="B1418" s="18" t="s">
        <v>574</v>
      </c>
      <c r="C1418" s="18" t="s">
        <v>1126</v>
      </c>
      <c r="D1418" s="24">
        <v>3</v>
      </c>
      <c r="E1418" s="24" t="s">
        <v>176</v>
      </c>
    </row>
    <row r="1419" spans="1:5" s="18" customFormat="1">
      <c r="A1419" s="81">
        <v>6710830644</v>
      </c>
      <c r="B1419" s="18" t="s">
        <v>1129</v>
      </c>
      <c r="C1419" s="18" t="s">
        <v>1126</v>
      </c>
      <c r="D1419" s="24">
        <v>4</v>
      </c>
      <c r="E1419" s="24" t="s">
        <v>178</v>
      </c>
    </row>
    <row r="1420" spans="1:5" s="18" customFormat="1">
      <c r="A1420" s="81">
        <v>6710830644</v>
      </c>
      <c r="B1420" s="18" t="s">
        <v>1130</v>
      </c>
      <c r="C1420" s="18" t="s">
        <v>1126</v>
      </c>
      <c r="D1420" s="24">
        <v>5</v>
      </c>
      <c r="E1420" s="24" t="s">
        <v>180</v>
      </c>
    </row>
    <row r="1421" spans="1:5" s="18" customFormat="1">
      <c r="A1421" s="81">
        <v>6710830644</v>
      </c>
      <c r="B1421" s="18" t="s">
        <v>1131</v>
      </c>
      <c r="C1421" s="18" t="s">
        <v>1126</v>
      </c>
      <c r="D1421" s="24">
        <v>6</v>
      </c>
      <c r="E1421" s="24" t="s">
        <v>182</v>
      </c>
    </row>
    <row r="1422" spans="1:5" s="18" customFormat="1">
      <c r="A1422" s="81">
        <v>6710830644</v>
      </c>
      <c r="B1422" s="18" t="s">
        <v>1132</v>
      </c>
      <c r="C1422" s="18" t="s">
        <v>1126</v>
      </c>
      <c r="D1422" s="24">
        <v>7</v>
      </c>
      <c r="E1422" s="24" t="s">
        <v>184</v>
      </c>
    </row>
    <row r="1423" spans="1:5">
      <c r="A1423" s="63">
        <v>6710830644</v>
      </c>
      <c r="B1423" t="s">
        <v>123</v>
      </c>
      <c r="C1423" t="s">
        <v>270</v>
      </c>
      <c r="D1423" s="8">
        <v>1</v>
      </c>
      <c r="E1423" s="8" t="s">
        <v>172</v>
      </c>
    </row>
    <row r="1424" spans="1:5">
      <c r="A1424" s="63">
        <v>6710830644</v>
      </c>
      <c r="B1424" t="s">
        <v>132</v>
      </c>
      <c r="C1424" t="s">
        <v>270</v>
      </c>
      <c r="D1424" s="8">
        <v>10</v>
      </c>
      <c r="E1424" s="8" t="s">
        <v>190</v>
      </c>
    </row>
    <row r="1425" spans="1:5">
      <c r="A1425" s="63">
        <v>6710830644</v>
      </c>
      <c r="B1425" t="s">
        <v>124</v>
      </c>
      <c r="C1425" t="s">
        <v>270</v>
      </c>
      <c r="D1425" s="8">
        <v>2</v>
      </c>
      <c r="E1425" s="8" t="s">
        <v>174</v>
      </c>
    </row>
    <row r="1426" spans="1:5">
      <c r="A1426" s="63">
        <v>6710830644</v>
      </c>
      <c r="B1426" t="s">
        <v>125</v>
      </c>
      <c r="C1426" t="s">
        <v>270</v>
      </c>
      <c r="D1426" s="8">
        <v>3</v>
      </c>
      <c r="E1426" s="8" t="s">
        <v>176</v>
      </c>
    </row>
    <row r="1427" spans="1:5">
      <c r="A1427" s="63">
        <v>6710830644</v>
      </c>
      <c r="B1427" t="s">
        <v>126</v>
      </c>
      <c r="C1427" t="s">
        <v>270</v>
      </c>
      <c r="D1427" s="8">
        <v>4</v>
      </c>
      <c r="E1427" s="8" t="s">
        <v>178</v>
      </c>
    </row>
    <row r="1428" spans="1:5">
      <c r="A1428" s="63">
        <v>6710830644</v>
      </c>
      <c r="B1428" t="s">
        <v>127</v>
      </c>
      <c r="C1428" t="s">
        <v>270</v>
      </c>
      <c r="D1428" s="8">
        <v>5</v>
      </c>
      <c r="E1428" s="8" t="s">
        <v>180</v>
      </c>
    </row>
    <row r="1429" spans="1:5">
      <c r="A1429" s="63">
        <v>6710830644</v>
      </c>
      <c r="B1429" t="s">
        <v>128</v>
      </c>
      <c r="C1429" t="s">
        <v>270</v>
      </c>
      <c r="D1429" s="8">
        <v>6</v>
      </c>
      <c r="E1429" s="8" t="s">
        <v>182</v>
      </c>
    </row>
    <row r="1430" spans="1:5">
      <c r="A1430" s="63">
        <v>6710830644</v>
      </c>
      <c r="B1430" t="s">
        <v>129</v>
      </c>
      <c r="C1430" t="s">
        <v>270</v>
      </c>
      <c r="D1430" s="8">
        <v>7</v>
      </c>
      <c r="E1430" s="8" t="s">
        <v>184</v>
      </c>
    </row>
    <row r="1431" spans="1:5">
      <c r="A1431" s="63">
        <v>6710830644</v>
      </c>
      <c r="B1431" t="s">
        <v>130</v>
      </c>
      <c r="C1431" t="s">
        <v>270</v>
      </c>
      <c r="D1431" s="8">
        <v>8</v>
      </c>
      <c r="E1431" s="8" t="s">
        <v>186</v>
      </c>
    </row>
    <row r="1432" spans="1:5">
      <c r="A1432" s="63">
        <v>6710830644</v>
      </c>
      <c r="B1432" t="s">
        <v>131</v>
      </c>
      <c r="C1432" t="s">
        <v>270</v>
      </c>
      <c r="D1432" s="8">
        <v>9</v>
      </c>
      <c r="E1432" s="8" t="s">
        <v>188</v>
      </c>
    </row>
    <row r="1433" spans="1:5">
      <c r="A1433" s="63">
        <v>6710830644</v>
      </c>
      <c r="B1433" t="s">
        <v>472</v>
      </c>
      <c r="C1433" t="s">
        <v>475</v>
      </c>
      <c r="D1433" s="8">
        <v>1</v>
      </c>
      <c r="E1433" s="8" t="s">
        <v>172</v>
      </c>
    </row>
    <row r="1434" spans="1:5">
      <c r="A1434" s="63">
        <v>6710830644</v>
      </c>
      <c r="B1434" t="s">
        <v>473</v>
      </c>
      <c r="C1434" t="s">
        <v>475</v>
      </c>
      <c r="D1434" s="8">
        <v>10</v>
      </c>
      <c r="E1434" s="8" t="s">
        <v>190</v>
      </c>
    </row>
    <row r="1435" spans="1:5">
      <c r="A1435" s="63">
        <v>6710830644</v>
      </c>
      <c r="B1435" s="18" t="s">
        <v>474</v>
      </c>
      <c r="C1435" s="18" t="s">
        <v>475</v>
      </c>
      <c r="D1435" s="24">
        <v>2</v>
      </c>
      <c r="E1435" s="24" t="s">
        <v>174</v>
      </c>
    </row>
    <row r="1436" spans="1:5">
      <c r="A1436" s="63">
        <v>6710830644</v>
      </c>
      <c r="B1436" s="18" t="s">
        <v>476</v>
      </c>
      <c r="C1436" s="18" t="s">
        <v>475</v>
      </c>
      <c r="D1436" s="24">
        <v>3</v>
      </c>
      <c r="E1436" s="24" t="s">
        <v>176</v>
      </c>
    </row>
    <row r="1437" spans="1:5">
      <c r="A1437" s="63">
        <v>6710830644</v>
      </c>
      <c r="B1437" s="18" t="s">
        <v>477</v>
      </c>
      <c r="C1437" s="18" t="s">
        <v>475</v>
      </c>
      <c r="D1437" s="24">
        <v>4</v>
      </c>
      <c r="E1437" s="24" t="s">
        <v>178</v>
      </c>
    </row>
    <row r="1438" spans="1:5">
      <c r="A1438" s="63">
        <v>6710830644</v>
      </c>
      <c r="B1438" s="18" t="s">
        <v>478</v>
      </c>
      <c r="C1438" s="18" t="s">
        <v>475</v>
      </c>
      <c r="D1438" s="24">
        <v>5</v>
      </c>
      <c r="E1438" s="24" t="s">
        <v>180</v>
      </c>
    </row>
    <row r="1439" spans="1:5">
      <c r="A1439" s="63">
        <v>6710830644</v>
      </c>
      <c r="B1439" s="18" t="s">
        <v>479</v>
      </c>
      <c r="C1439" s="18" t="s">
        <v>475</v>
      </c>
      <c r="D1439" s="24">
        <v>6</v>
      </c>
      <c r="E1439" s="24" t="s">
        <v>182</v>
      </c>
    </row>
    <row r="1440" spans="1:5">
      <c r="A1440" s="63">
        <v>6710830644</v>
      </c>
      <c r="B1440" s="18" t="s">
        <v>480</v>
      </c>
      <c r="C1440" s="18" t="s">
        <v>475</v>
      </c>
      <c r="D1440" s="24">
        <v>7</v>
      </c>
      <c r="E1440" s="24" t="s">
        <v>184</v>
      </c>
    </row>
    <row r="1441" spans="1:5">
      <c r="A1441" s="63">
        <v>6710830644</v>
      </c>
      <c r="B1441" s="18" t="s">
        <v>481</v>
      </c>
      <c r="C1441" s="18" t="s">
        <v>475</v>
      </c>
      <c r="D1441" s="24">
        <v>8</v>
      </c>
      <c r="E1441" s="24" t="s">
        <v>186</v>
      </c>
    </row>
    <row r="1442" spans="1:5">
      <c r="A1442" s="63">
        <v>6710830644</v>
      </c>
      <c r="B1442" s="18" t="s">
        <v>482</v>
      </c>
      <c r="C1442" s="18" t="s">
        <v>475</v>
      </c>
      <c r="D1442" s="24">
        <v>9</v>
      </c>
      <c r="E1442" s="24" t="s">
        <v>188</v>
      </c>
    </row>
    <row r="1443" spans="1:5">
      <c r="A1443" s="63">
        <v>6710830644</v>
      </c>
      <c r="B1443" t="s">
        <v>133</v>
      </c>
      <c r="C1443" t="s">
        <v>271</v>
      </c>
      <c r="D1443" s="8">
        <v>1</v>
      </c>
      <c r="E1443" s="8" t="s">
        <v>172</v>
      </c>
    </row>
    <row r="1444" spans="1:5">
      <c r="A1444" s="63">
        <v>6710830644</v>
      </c>
      <c r="B1444" t="s">
        <v>134</v>
      </c>
      <c r="C1444" t="s">
        <v>271</v>
      </c>
      <c r="D1444" s="8">
        <v>2</v>
      </c>
      <c r="E1444" s="8" t="s">
        <v>174</v>
      </c>
    </row>
    <row r="1445" spans="1:5">
      <c r="A1445" s="63">
        <v>6710830644</v>
      </c>
      <c r="B1445" t="s">
        <v>135</v>
      </c>
      <c r="C1445" t="s">
        <v>271</v>
      </c>
      <c r="D1445" s="8">
        <v>3</v>
      </c>
      <c r="E1445" s="8" t="s">
        <v>176</v>
      </c>
    </row>
    <row r="1446" spans="1:5">
      <c r="A1446" s="63">
        <v>6710830644</v>
      </c>
      <c r="B1446" t="s">
        <v>136</v>
      </c>
      <c r="C1446" t="s">
        <v>271</v>
      </c>
      <c r="D1446" s="8">
        <v>4</v>
      </c>
      <c r="E1446" s="8" t="s">
        <v>178</v>
      </c>
    </row>
    <row r="1447" spans="1:5">
      <c r="A1447" s="63">
        <v>6710830644</v>
      </c>
      <c r="B1447" t="s">
        <v>137</v>
      </c>
      <c r="C1447" t="s">
        <v>271</v>
      </c>
      <c r="D1447" s="8">
        <v>5</v>
      </c>
      <c r="E1447" s="8" t="s">
        <v>180</v>
      </c>
    </row>
    <row r="1448" spans="1:5">
      <c r="A1448" s="63">
        <v>6710830644</v>
      </c>
      <c r="B1448" t="s">
        <v>138</v>
      </c>
      <c r="C1448" t="s">
        <v>271</v>
      </c>
      <c r="D1448" s="8">
        <v>6</v>
      </c>
      <c r="E1448" s="8" t="s">
        <v>182</v>
      </c>
    </row>
    <row r="1449" spans="1:5">
      <c r="A1449" s="63">
        <v>6710830644</v>
      </c>
      <c r="B1449" t="s">
        <v>139</v>
      </c>
      <c r="C1449" t="s">
        <v>271</v>
      </c>
      <c r="D1449" s="8">
        <v>7</v>
      </c>
      <c r="E1449" s="8" t="s">
        <v>184</v>
      </c>
    </row>
    <row r="1450" spans="1:5">
      <c r="A1450" s="63">
        <v>6710830644</v>
      </c>
      <c r="B1450" s="18" t="s">
        <v>483</v>
      </c>
      <c r="C1450" s="18" t="s">
        <v>484</v>
      </c>
      <c r="D1450" s="24">
        <v>1</v>
      </c>
      <c r="E1450" s="24" t="s">
        <v>172</v>
      </c>
    </row>
    <row r="1451" spans="1:5">
      <c r="A1451" s="63">
        <v>6710830644</v>
      </c>
      <c r="B1451" s="18" t="s">
        <v>485</v>
      </c>
      <c r="C1451" s="18" t="s">
        <v>484</v>
      </c>
      <c r="D1451" s="24">
        <v>2</v>
      </c>
      <c r="E1451" s="24" t="s">
        <v>174</v>
      </c>
    </row>
    <row r="1452" spans="1:5">
      <c r="A1452" s="63">
        <v>6710830644</v>
      </c>
      <c r="B1452" s="18" t="s">
        <v>486</v>
      </c>
      <c r="C1452" s="18" t="s">
        <v>484</v>
      </c>
      <c r="D1452" s="24">
        <v>3</v>
      </c>
      <c r="E1452" s="24" t="s">
        <v>176</v>
      </c>
    </row>
    <row r="1453" spans="1:5">
      <c r="A1453" s="63">
        <v>6710830644</v>
      </c>
      <c r="B1453" s="18" t="s">
        <v>487</v>
      </c>
      <c r="C1453" s="18" t="s">
        <v>484</v>
      </c>
      <c r="D1453" s="24">
        <v>4</v>
      </c>
      <c r="E1453" s="24" t="s">
        <v>178</v>
      </c>
    </row>
    <row r="1454" spans="1:5">
      <c r="A1454" s="63">
        <v>6710830644</v>
      </c>
      <c r="B1454" s="18" t="s">
        <v>488</v>
      </c>
      <c r="C1454" s="18" t="s">
        <v>484</v>
      </c>
      <c r="D1454" s="24">
        <v>5</v>
      </c>
      <c r="E1454" s="24" t="s">
        <v>180</v>
      </c>
    </row>
    <row r="1455" spans="1:5">
      <c r="A1455" s="63">
        <v>6710830644</v>
      </c>
      <c r="B1455" s="18" t="s">
        <v>489</v>
      </c>
      <c r="C1455" s="18" t="s">
        <v>484</v>
      </c>
      <c r="D1455" s="24">
        <v>6</v>
      </c>
      <c r="E1455" s="24" t="s">
        <v>182</v>
      </c>
    </row>
    <row r="1456" spans="1:5">
      <c r="A1456" s="63">
        <v>6710830644</v>
      </c>
      <c r="B1456" s="18" t="s">
        <v>490</v>
      </c>
      <c r="C1456" s="18" t="s">
        <v>484</v>
      </c>
      <c r="D1456" s="24">
        <v>7</v>
      </c>
      <c r="E1456" s="24" t="s">
        <v>184</v>
      </c>
    </row>
    <row r="1457" spans="1:5">
      <c r="A1457" s="63">
        <v>6710830644</v>
      </c>
      <c r="B1457" t="s">
        <v>140</v>
      </c>
      <c r="C1457" t="s">
        <v>272</v>
      </c>
      <c r="D1457" s="8">
        <v>1</v>
      </c>
      <c r="E1457" s="8" t="s">
        <v>172</v>
      </c>
    </row>
    <row r="1458" spans="1:5">
      <c r="A1458" s="63">
        <v>6710830644</v>
      </c>
      <c r="B1458" t="s">
        <v>149</v>
      </c>
      <c r="C1458" t="s">
        <v>272</v>
      </c>
      <c r="D1458" s="8">
        <v>10</v>
      </c>
      <c r="E1458" s="8" t="s">
        <v>190</v>
      </c>
    </row>
    <row r="1459" spans="1:5">
      <c r="A1459" s="63">
        <v>6710830644</v>
      </c>
      <c r="B1459" t="s">
        <v>141</v>
      </c>
      <c r="C1459" t="s">
        <v>272</v>
      </c>
      <c r="D1459" s="8">
        <v>2</v>
      </c>
      <c r="E1459" s="8" t="s">
        <v>174</v>
      </c>
    </row>
    <row r="1460" spans="1:5">
      <c r="A1460" s="63">
        <v>6710830644</v>
      </c>
      <c r="B1460" t="s">
        <v>142</v>
      </c>
      <c r="C1460" t="s">
        <v>272</v>
      </c>
      <c r="D1460" s="8">
        <v>3</v>
      </c>
      <c r="E1460" s="8" t="s">
        <v>176</v>
      </c>
    </row>
    <row r="1461" spans="1:5">
      <c r="A1461" s="63">
        <v>6710830644</v>
      </c>
      <c r="B1461" t="s">
        <v>143</v>
      </c>
      <c r="C1461" t="s">
        <v>272</v>
      </c>
      <c r="D1461" s="8">
        <v>4</v>
      </c>
      <c r="E1461" s="8" t="s">
        <v>178</v>
      </c>
    </row>
    <row r="1462" spans="1:5">
      <c r="A1462" s="63">
        <v>6710830644</v>
      </c>
      <c r="B1462" t="s">
        <v>144</v>
      </c>
      <c r="C1462" t="s">
        <v>272</v>
      </c>
      <c r="D1462" s="8">
        <v>5</v>
      </c>
      <c r="E1462" s="8" t="s">
        <v>180</v>
      </c>
    </row>
    <row r="1463" spans="1:5">
      <c r="A1463" s="63">
        <v>6710830644</v>
      </c>
      <c r="B1463" t="s">
        <v>145</v>
      </c>
      <c r="C1463" t="s">
        <v>272</v>
      </c>
      <c r="D1463" s="8">
        <v>6</v>
      </c>
      <c r="E1463" s="8" t="s">
        <v>182</v>
      </c>
    </row>
    <row r="1464" spans="1:5">
      <c r="A1464" s="63">
        <v>6710830644</v>
      </c>
      <c r="B1464" t="s">
        <v>146</v>
      </c>
      <c r="C1464" t="s">
        <v>272</v>
      </c>
      <c r="D1464" s="8">
        <v>7</v>
      </c>
      <c r="E1464" s="8" t="s">
        <v>184</v>
      </c>
    </row>
    <row r="1465" spans="1:5">
      <c r="A1465" s="63">
        <v>6710830644</v>
      </c>
      <c r="B1465" t="s">
        <v>147</v>
      </c>
      <c r="C1465" t="s">
        <v>272</v>
      </c>
      <c r="D1465" s="8">
        <v>8</v>
      </c>
      <c r="E1465" s="8" t="s">
        <v>186</v>
      </c>
    </row>
    <row r="1466" spans="1:5">
      <c r="A1466" s="63">
        <v>6710830644</v>
      </c>
      <c r="B1466" t="s">
        <v>148</v>
      </c>
      <c r="C1466" t="s">
        <v>272</v>
      </c>
      <c r="D1466" s="8">
        <v>9</v>
      </c>
      <c r="E1466" s="8" t="s">
        <v>188</v>
      </c>
    </row>
    <row r="1467" spans="1:5">
      <c r="A1467" s="63">
        <v>6710830644</v>
      </c>
      <c r="B1467" s="18" t="s">
        <v>491</v>
      </c>
      <c r="C1467" s="18" t="s">
        <v>492</v>
      </c>
      <c r="D1467" s="24">
        <v>1</v>
      </c>
      <c r="E1467" s="24" t="s">
        <v>172</v>
      </c>
    </row>
    <row r="1468" spans="1:5">
      <c r="A1468" s="63">
        <v>6710830644</v>
      </c>
      <c r="B1468" s="18" t="s">
        <v>493</v>
      </c>
      <c r="C1468" s="18" t="s">
        <v>492</v>
      </c>
      <c r="D1468" s="24">
        <v>10</v>
      </c>
      <c r="E1468" s="24" t="s">
        <v>190</v>
      </c>
    </row>
    <row r="1469" spans="1:5">
      <c r="A1469" s="63">
        <v>6710830644</v>
      </c>
      <c r="B1469" s="18" t="s">
        <v>494</v>
      </c>
      <c r="C1469" s="18" t="s">
        <v>492</v>
      </c>
      <c r="D1469" s="24">
        <v>2</v>
      </c>
      <c r="E1469" s="24" t="s">
        <v>174</v>
      </c>
    </row>
    <row r="1470" spans="1:5">
      <c r="A1470" s="63">
        <v>6710830644</v>
      </c>
      <c r="B1470" s="18" t="s">
        <v>495</v>
      </c>
      <c r="C1470" s="18" t="s">
        <v>492</v>
      </c>
      <c r="D1470" s="24">
        <v>3</v>
      </c>
      <c r="E1470" s="24" t="s">
        <v>176</v>
      </c>
    </row>
    <row r="1471" spans="1:5">
      <c r="A1471" s="63">
        <v>6710830644</v>
      </c>
      <c r="B1471" s="18" t="s">
        <v>496</v>
      </c>
      <c r="C1471" s="18" t="s">
        <v>492</v>
      </c>
      <c r="D1471" s="24">
        <v>4</v>
      </c>
      <c r="E1471" s="24" t="s">
        <v>178</v>
      </c>
    </row>
    <row r="1472" spans="1:5">
      <c r="A1472" s="63">
        <v>6710830644</v>
      </c>
      <c r="B1472" s="18" t="s">
        <v>497</v>
      </c>
      <c r="C1472" s="18" t="s">
        <v>492</v>
      </c>
      <c r="D1472" s="24">
        <v>5</v>
      </c>
      <c r="E1472" s="24" t="s">
        <v>180</v>
      </c>
    </row>
    <row r="1473" spans="1:5">
      <c r="A1473" s="63">
        <v>6710830644</v>
      </c>
      <c r="B1473" s="18" t="s">
        <v>498</v>
      </c>
      <c r="C1473" s="18" t="s">
        <v>492</v>
      </c>
      <c r="D1473" s="24">
        <v>6</v>
      </c>
      <c r="E1473" s="24" t="s">
        <v>182</v>
      </c>
    </row>
    <row r="1474" spans="1:5">
      <c r="A1474" s="63">
        <v>6710830644</v>
      </c>
      <c r="B1474" s="18" t="s">
        <v>499</v>
      </c>
      <c r="C1474" s="18" t="s">
        <v>492</v>
      </c>
      <c r="D1474" s="24">
        <v>7</v>
      </c>
      <c r="E1474" s="24" t="s">
        <v>184</v>
      </c>
    </row>
    <row r="1475" spans="1:5">
      <c r="A1475" s="63">
        <v>6710830644</v>
      </c>
      <c r="B1475" s="18" t="s">
        <v>500</v>
      </c>
      <c r="C1475" s="18" t="s">
        <v>492</v>
      </c>
      <c r="D1475" s="24">
        <v>8</v>
      </c>
      <c r="E1475" s="24" t="s">
        <v>186</v>
      </c>
    </row>
    <row r="1476" spans="1:5">
      <c r="A1476" s="63">
        <v>6710830644</v>
      </c>
      <c r="B1476" s="18" t="s">
        <v>501</v>
      </c>
      <c r="C1476" s="18" t="s">
        <v>492</v>
      </c>
      <c r="D1476" s="24">
        <v>9</v>
      </c>
      <c r="E1476" s="24" t="s">
        <v>188</v>
      </c>
    </row>
    <row r="1477" spans="1:5">
      <c r="A1477" s="63">
        <v>6710830644</v>
      </c>
      <c r="B1477" t="s">
        <v>150</v>
      </c>
      <c r="C1477" t="s">
        <v>273</v>
      </c>
      <c r="D1477" s="8">
        <v>1</v>
      </c>
      <c r="E1477" s="8" t="s">
        <v>172</v>
      </c>
    </row>
    <row r="1478" spans="1:5">
      <c r="A1478" s="63">
        <v>6710830644</v>
      </c>
      <c r="B1478" t="s">
        <v>151</v>
      </c>
      <c r="C1478" t="s">
        <v>273</v>
      </c>
      <c r="D1478" s="8">
        <v>2</v>
      </c>
      <c r="E1478" s="8" t="s">
        <v>174</v>
      </c>
    </row>
    <row r="1479" spans="1:5">
      <c r="A1479" s="63">
        <v>6710830644</v>
      </c>
      <c r="B1479" t="s">
        <v>152</v>
      </c>
      <c r="C1479" t="s">
        <v>273</v>
      </c>
      <c r="D1479" s="8">
        <v>3</v>
      </c>
      <c r="E1479" s="8" t="s">
        <v>176</v>
      </c>
    </row>
    <row r="1480" spans="1:5">
      <c r="A1480" s="63">
        <v>6710830644</v>
      </c>
      <c r="B1480" t="s">
        <v>153</v>
      </c>
      <c r="C1480" t="s">
        <v>273</v>
      </c>
      <c r="D1480" s="8">
        <v>4</v>
      </c>
      <c r="E1480" s="8" t="s">
        <v>178</v>
      </c>
    </row>
    <row r="1481" spans="1:5">
      <c r="A1481" s="63">
        <v>6710830644</v>
      </c>
      <c r="B1481" t="s">
        <v>154</v>
      </c>
      <c r="C1481" t="s">
        <v>273</v>
      </c>
      <c r="D1481" s="8">
        <v>5</v>
      </c>
      <c r="E1481" s="8" t="s">
        <v>180</v>
      </c>
    </row>
    <row r="1482" spans="1:5">
      <c r="A1482" s="63">
        <v>6710830644</v>
      </c>
      <c r="B1482" t="s">
        <v>155</v>
      </c>
      <c r="C1482" t="s">
        <v>273</v>
      </c>
      <c r="D1482" s="8">
        <v>6</v>
      </c>
      <c r="E1482" s="8" t="s">
        <v>182</v>
      </c>
    </row>
    <row r="1483" spans="1:5">
      <c r="A1483" s="63">
        <v>6710830644</v>
      </c>
      <c r="B1483" t="s">
        <v>156</v>
      </c>
      <c r="C1483" t="s">
        <v>273</v>
      </c>
      <c r="D1483" s="8">
        <v>7</v>
      </c>
      <c r="E1483" s="8" t="s">
        <v>184</v>
      </c>
    </row>
    <row r="1484" spans="1:5">
      <c r="A1484" s="63">
        <v>6710830644</v>
      </c>
      <c r="B1484" s="18" t="s">
        <v>502</v>
      </c>
      <c r="C1484" s="18" t="s">
        <v>503</v>
      </c>
      <c r="D1484" s="24">
        <v>1</v>
      </c>
      <c r="E1484" s="24" t="s">
        <v>172</v>
      </c>
    </row>
    <row r="1485" spans="1:5">
      <c r="A1485" s="63">
        <v>6710830644</v>
      </c>
      <c r="B1485" s="18" t="s">
        <v>504</v>
      </c>
      <c r="C1485" s="18" t="s">
        <v>503</v>
      </c>
      <c r="D1485" s="24">
        <v>2</v>
      </c>
      <c r="E1485" s="24" t="s">
        <v>174</v>
      </c>
    </row>
    <row r="1486" spans="1:5">
      <c r="A1486" s="63">
        <v>6710830644</v>
      </c>
      <c r="B1486" s="18" t="s">
        <v>505</v>
      </c>
      <c r="C1486" s="18" t="s">
        <v>503</v>
      </c>
      <c r="D1486" s="24">
        <v>3</v>
      </c>
      <c r="E1486" s="24" t="s">
        <v>176</v>
      </c>
    </row>
    <row r="1487" spans="1:5">
      <c r="A1487" s="63">
        <v>6710830644</v>
      </c>
      <c r="B1487" s="18" t="s">
        <v>506</v>
      </c>
      <c r="C1487" s="18" t="s">
        <v>503</v>
      </c>
      <c r="D1487" s="24">
        <v>4</v>
      </c>
      <c r="E1487" s="24" t="s">
        <v>178</v>
      </c>
    </row>
    <row r="1488" spans="1:5">
      <c r="A1488" s="63">
        <v>6710830644</v>
      </c>
      <c r="B1488" s="18" t="s">
        <v>507</v>
      </c>
      <c r="C1488" s="18" t="s">
        <v>503</v>
      </c>
      <c r="D1488" s="24">
        <v>5</v>
      </c>
      <c r="E1488" s="24" t="s">
        <v>180</v>
      </c>
    </row>
    <row r="1489" spans="1:5">
      <c r="A1489" s="63">
        <v>6710830644</v>
      </c>
      <c r="B1489" s="18" t="s">
        <v>508</v>
      </c>
      <c r="C1489" s="18" t="s">
        <v>503</v>
      </c>
      <c r="D1489" s="24">
        <v>6</v>
      </c>
      <c r="E1489" s="24" t="s">
        <v>182</v>
      </c>
    </row>
    <row r="1490" spans="1:5">
      <c r="A1490" s="63">
        <v>6710830644</v>
      </c>
      <c r="B1490" s="18" t="s">
        <v>509</v>
      </c>
      <c r="C1490" s="18" t="s">
        <v>503</v>
      </c>
      <c r="D1490" s="24">
        <v>7</v>
      </c>
      <c r="E1490" s="24" t="s">
        <v>184</v>
      </c>
    </row>
    <row r="1491" spans="1:5">
      <c r="A1491" s="63">
        <v>6710830644</v>
      </c>
      <c r="B1491" t="s">
        <v>171</v>
      </c>
      <c r="C1491" t="s">
        <v>264</v>
      </c>
      <c r="D1491" s="8">
        <v>1</v>
      </c>
      <c r="E1491" s="8" t="s">
        <v>172</v>
      </c>
    </row>
    <row r="1492" spans="1:5">
      <c r="A1492" s="63">
        <v>6710830644</v>
      </c>
      <c r="B1492" t="s">
        <v>189</v>
      </c>
      <c r="C1492" t="s">
        <v>264</v>
      </c>
      <c r="D1492" s="8">
        <v>10</v>
      </c>
      <c r="E1492" s="8" t="s">
        <v>190</v>
      </c>
    </row>
    <row r="1493" spans="1:5">
      <c r="A1493" s="63">
        <v>6710830644</v>
      </c>
      <c r="B1493" t="s">
        <v>173</v>
      </c>
      <c r="C1493" t="s">
        <v>264</v>
      </c>
      <c r="D1493" s="8">
        <v>2</v>
      </c>
      <c r="E1493" s="8" t="s">
        <v>174</v>
      </c>
    </row>
    <row r="1494" spans="1:5">
      <c r="A1494" s="63">
        <v>6710830644</v>
      </c>
      <c r="B1494" t="s">
        <v>175</v>
      </c>
      <c r="C1494" t="s">
        <v>264</v>
      </c>
      <c r="D1494" s="8">
        <v>3</v>
      </c>
      <c r="E1494" s="8" t="s">
        <v>176</v>
      </c>
    </row>
    <row r="1495" spans="1:5">
      <c r="A1495" s="63">
        <v>6710830644</v>
      </c>
      <c r="B1495" t="s">
        <v>177</v>
      </c>
      <c r="C1495" t="s">
        <v>264</v>
      </c>
      <c r="D1495" s="8">
        <v>4</v>
      </c>
      <c r="E1495" s="8" t="s">
        <v>178</v>
      </c>
    </row>
    <row r="1496" spans="1:5">
      <c r="A1496" s="63">
        <v>6710830644</v>
      </c>
      <c r="B1496" t="s">
        <v>170</v>
      </c>
      <c r="C1496" t="s">
        <v>264</v>
      </c>
      <c r="D1496" s="8">
        <v>0.5</v>
      </c>
      <c r="E1496" s="8" t="s">
        <v>70</v>
      </c>
    </row>
    <row r="1497" spans="1:5">
      <c r="A1497" s="63">
        <v>6710830644</v>
      </c>
      <c r="B1497" t="s">
        <v>179</v>
      </c>
      <c r="C1497" t="s">
        <v>264</v>
      </c>
      <c r="D1497" s="8">
        <v>5</v>
      </c>
      <c r="E1497" s="8" t="s">
        <v>180</v>
      </c>
    </row>
    <row r="1498" spans="1:5">
      <c r="A1498" s="63">
        <v>6710830644</v>
      </c>
      <c r="B1498" t="s">
        <v>181</v>
      </c>
      <c r="C1498" t="s">
        <v>264</v>
      </c>
      <c r="D1498" s="8">
        <v>6</v>
      </c>
      <c r="E1498" s="8" t="s">
        <v>182</v>
      </c>
    </row>
    <row r="1499" spans="1:5">
      <c r="A1499" s="63">
        <v>6710830644</v>
      </c>
      <c r="B1499" t="s">
        <v>183</v>
      </c>
      <c r="C1499" t="s">
        <v>264</v>
      </c>
      <c r="D1499" s="8">
        <v>7</v>
      </c>
      <c r="E1499" s="8" t="s">
        <v>184</v>
      </c>
    </row>
    <row r="1500" spans="1:5">
      <c r="A1500" s="63">
        <v>6710830644</v>
      </c>
      <c r="B1500" t="s">
        <v>185</v>
      </c>
      <c r="C1500" t="s">
        <v>264</v>
      </c>
      <c r="D1500" s="8">
        <v>8</v>
      </c>
      <c r="E1500" s="8" t="s">
        <v>186</v>
      </c>
    </row>
    <row r="1501" spans="1:5">
      <c r="A1501" s="63">
        <v>6710830644</v>
      </c>
      <c r="B1501" t="s">
        <v>187</v>
      </c>
      <c r="C1501" t="s">
        <v>264</v>
      </c>
      <c r="D1501" s="8">
        <v>9</v>
      </c>
      <c r="E1501" s="8" t="s">
        <v>188</v>
      </c>
    </row>
    <row r="1502" spans="1:5">
      <c r="A1502" s="63">
        <v>6710830644</v>
      </c>
      <c r="B1502" t="s">
        <v>198</v>
      </c>
      <c r="C1502" t="s">
        <v>266</v>
      </c>
      <c r="D1502" s="8">
        <v>1</v>
      </c>
      <c r="E1502" s="8" t="s">
        <v>172</v>
      </c>
    </row>
    <row r="1503" spans="1:5">
      <c r="A1503" s="63">
        <v>6710830644</v>
      </c>
      <c r="B1503" t="s">
        <v>207</v>
      </c>
      <c r="C1503" t="s">
        <v>266</v>
      </c>
      <c r="D1503" s="8">
        <v>10</v>
      </c>
      <c r="E1503" s="8" t="s">
        <v>190</v>
      </c>
    </row>
    <row r="1504" spans="1:5">
      <c r="A1504" s="63">
        <v>6710830644</v>
      </c>
      <c r="B1504" s="18" t="s">
        <v>199</v>
      </c>
      <c r="C1504" s="18" t="s">
        <v>266</v>
      </c>
      <c r="D1504" s="24">
        <v>2</v>
      </c>
      <c r="E1504" s="24" t="s">
        <v>174</v>
      </c>
    </row>
    <row r="1505" spans="1:5">
      <c r="A1505" s="63">
        <v>6710830644</v>
      </c>
      <c r="B1505" s="18" t="s">
        <v>200</v>
      </c>
      <c r="C1505" s="18" t="s">
        <v>266</v>
      </c>
      <c r="D1505" s="24">
        <v>3</v>
      </c>
      <c r="E1505" s="24" t="s">
        <v>176</v>
      </c>
    </row>
    <row r="1506" spans="1:5">
      <c r="A1506" s="63">
        <v>6710830644</v>
      </c>
      <c r="B1506" s="18" t="s">
        <v>201</v>
      </c>
      <c r="C1506" s="18" t="s">
        <v>266</v>
      </c>
      <c r="D1506" s="24">
        <v>4</v>
      </c>
      <c r="E1506" s="24" t="s">
        <v>178</v>
      </c>
    </row>
    <row r="1507" spans="1:5">
      <c r="A1507" s="63">
        <v>6710830644</v>
      </c>
      <c r="B1507" s="18" t="s">
        <v>202</v>
      </c>
      <c r="C1507" s="18" t="s">
        <v>266</v>
      </c>
      <c r="D1507" s="24">
        <v>5</v>
      </c>
      <c r="E1507" s="24" t="s">
        <v>180</v>
      </c>
    </row>
    <row r="1508" spans="1:5">
      <c r="A1508" s="63">
        <v>6710830644</v>
      </c>
      <c r="B1508" s="18" t="s">
        <v>203</v>
      </c>
      <c r="C1508" s="18" t="s">
        <v>266</v>
      </c>
      <c r="D1508" s="24">
        <v>6</v>
      </c>
      <c r="E1508" s="24" t="s">
        <v>182</v>
      </c>
    </row>
    <row r="1509" spans="1:5">
      <c r="A1509" s="63">
        <v>6710830644</v>
      </c>
      <c r="B1509" s="18" t="s">
        <v>204</v>
      </c>
      <c r="C1509" s="18" t="s">
        <v>266</v>
      </c>
      <c r="D1509" s="24">
        <v>7</v>
      </c>
      <c r="E1509" s="24" t="s">
        <v>184</v>
      </c>
    </row>
    <row r="1510" spans="1:5">
      <c r="A1510" s="63">
        <v>6710830644</v>
      </c>
      <c r="B1510" s="18" t="s">
        <v>205</v>
      </c>
      <c r="C1510" s="18" t="s">
        <v>266</v>
      </c>
      <c r="D1510" s="24">
        <v>8</v>
      </c>
      <c r="E1510" s="24" t="s">
        <v>186</v>
      </c>
    </row>
    <row r="1511" spans="1:5">
      <c r="A1511" s="63">
        <v>6710830644</v>
      </c>
      <c r="B1511" s="18" t="s">
        <v>206</v>
      </c>
      <c r="C1511" s="18" t="s">
        <v>266</v>
      </c>
      <c r="D1511" s="24">
        <v>9</v>
      </c>
      <c r="E1511" s="24" t="s">
        <v>188</v>
      </c>
    </row>
    <row r="1512" spans="1:5">
      <c r="A1512" s="63">
        <v>6710830644</v>
      </c>
      <c r="B1512" t="s">
        <v>191</v>
      </c>
      <c r="C1512" t="s">
        <v>265</v>
      </c>
      <c r="D1512" s="8">
        <v>1</v>
      </c>
      <c r="E1512" s="8" t="s">
        <v>172</v>
      </c>
    </row>
    <row r="1513" spans="1:5">
      <c r="A1513" s="63">
        <v>6710830644</v>
      </c>
      <c r="B1513" t="s">
        <v>192</v>
      </c>
      <c r="C1513" t="s">
        <v>265</v>
      </c>
      <c r="D1513" s="8">
        <v>2</v>
      </c>
      <c r="E1513" s="8" t="s">
        <v>174</v>
      </c>
    </row>
    <row r="1514" spans="1:5">
      <c r="A1514" s="63">
        <v>6710830644</v>
      </c>
      <c r="B1514" t="s">
        <v>193</v>
      </c>
      <c r="C1514" t="s">
        <v>265</v>
      </c>
      <c r="D1514" s="8">
        <v>3</v>
      </c>
      <c r="E1514" s="8" t="s">
        <v>176</v>
      </c>
    </row>
    <row r="1515" spans="1:5">
      <c r="A1515" s="63">
        <v>6710830644</v>
      </c>
      <c r="B1515" t="s">
        <v>194</v>
      </c>
      <c r="C1515" t="s">
        <v>265</v>
      </c>
      <c r="D1515" s="8">
        <v>4</v>
      </c>
      <c r="E1515" s="8" t="s">
        <v>178</v>
      </c>
    </row>
    <row r="1516" spans="1:5">
      <c r="A1516" s="63">
        <v>6710830644</v>
      </c>
      <c r="B1516" t="s">
        <v>195</v>
      </c>
      <c r="C1516" t="s">
        <v>265</v>
      </c>
      <c r="D1516" s="8">
        <v>5</v>
      </c>
      <c r="E1516" s="8" t="s">
        <v>180</v>
      </c>
    </row>
    <row r="1517" spans="1:5">
      <c r="A1517" s="63">
        <v>6710830644</v>
      </c>
      <c r="B1517" t="s">
        <v>196</v>
      </c>
      <c r="C1517" t="s">
        <v>265</v>
      </c>
      <c r="D1517" s="8">
        <v>6</v>
      </c>
      <c r="E1517" s="8" t="s">
        <v>182</v>
      </c>
    </row>
    <row r="1518" spans="1:5">
      <c r="A1518" s="63">
        <v>6710830644</v>
      </c>
      <c r="B1518" t="s">
        <v>197</v>
      </c>
      <c r="C1518" t="s">
        <v>265</v>
      </c>
      <c r="D1518" s="8">
        <v>7</v>
      </c>
      <c r="E1518" s="8" t="s">
        <v>184</v>
      </c>
    </row>
    <row r="1519" spans="1:5">
      <c r="A1519" s="63">
        <v>6710830644</v>
      </c>
      <c r="B1519" t="s">
        <v>208</v>
      </c>
      <c r="C1519" t="s">
        <v>267</v>
      </c>
      <c r="D1519" s="8">
        <v>1</v>
      </c>
      <c r="E1519" s="8" t="s">
        <v>172</v>
      </c>
    </row>
    <row r="1520" spans="1:5">
      <c r="A1520" s="63">
        <v>6710830644</v>
      </c>
      <c r="B1520" t="s">
        <v>214</v>
      </c>
      <c r="C1520" t="s">
        <v>267</v>
      </c>
      <c r="D1520" s="8">
        <v>2</v>
      </c>
      <c r="E1520" s="8" t="s">
        <v>174</v>
      </c>
    </row>
    <row r="1521" spans="1:5">
      <c r="A1521" s="63">
        <v>6710830644</v>
      </c>
      <c r="B1521" t="s">
        <v>209</v>
      </c>
      <c r="C1521" t="s">
        <v>267</v>
      </c>
      <c r="D1521" s="8">
        <v>3</v>
      </c>
      <c r="E1521" s="8" t="s">
        <v>176</v>
      </c>
    </row>
    <row r="1522" spans="1:5">
      <c r="A1522" s="63">
        <v>6710830644</v>
      </c>
      <c r="B1522" t="s">
        <v>210</v>
      </c>
      <c r="C1522" t="s">
        <v>267</v>
      </c>
      <c r="D1522" s="8">
        <v>4</v>
      </c>
      <c r="E1522" s="8" t="s">
        <v>178</v>
      </c>
    </row>
    <row r="1523" spans="1:5">
      <c r="A1523" s="63">
        <v>6710830644</v>
      </c>
      <c r="B1523" t="s">
        <v>211</v>
      </c>
      <c r="C1523" t="s">
        <v>267</v>
      </c>
      <c r="D1523" s="8">
        <v>5</v>
      </c>
      <c r="E1523" s="8" t="s">
        <v>180</v>
      </c>
    </row>
    <row r="1524" spans="1:5">
      <c r="A1524" s="63">
        <v>6710830644</v>
      </c>
      <c r="B1524" t="s">
        <v>212</v>
      </c>
      <c r="C1524" t="s">
        <v>267</v>
      </c>
      <c r="D1524" s="8">
        <v>6</v>
      </c>
      <c r="E1524" s="8" t="s">
        <v>182</v>
      </c>
    </row>
    <row r="1525" spans="1:5" s="42" customFormat="1" ht="17.25" thickBot="1">
      <c r="A1525" s="64">
        <v>6710830644</v>
      </c>
      <c r="B1525" s="42" t="s">
        <v>213</v>
      </c>
      <c r="C1525" s="42" t="s">
        <v>267</v>
      </c>
      <c r="D1525" s="43">
        <v>7</v>
      </c>
      <c r="E1525" s="43" t="s">
        <v>184</v>
      </c>
    </row>
    <row r="1526" spans="1:5">
      <c r="A1526">
        <v>11101527180</v>
      </c>
      <c r="B1526" t="s">
        <v>298</v>
      </c>
      <c r="C1526" t="s">
        <v>305</v>
      </c>
      <c r="D1526" s="8">
        <v>0.5</v>
      </c>
      <c r="E1526" s="8" t="s">
        <v>70</v>
      </c>
    </row>
    <row r="1527" spans="1:5">
      <c r="A1527">
        <v>11101527180</v>
      </c>
      <c r="B1527" t="s">
        <v>297</v>
      </c>
      <c r="C1527" t="s">
        <v>307</v>
      </c>
      <c r="D1527" s="8">
        <v>0.5</v>
      </c>
      <c r="E1527" s="8" t="s">
        <v>70</v>
      </c>
    </row>
    <row r="1528" spans="1:5">
      <c r="A1528">
        <v>11101527180</v>
      </c>
      <c r="B1528" t="s">
        <v>296</v>
      </c>
      <c r="C1528" t="s">
        <v>306</v>
      </c>
      <c r="D1528" s="8">
        <v>0.5</v>
      </c>
      <c r="E1528" s="8" t="s">
        <v>70</v>
      </c>
    </row>
    <row r="1529" spans="1:5">
      <c r="A1529">
        <v>11101527180</v>
      </c>
      <c r="B1529" t="s">
        <v>291</v>
      </c>
      <c r="C1529" t="s">
        <v>302</v>
      </c>
      <c r="D1529" s="8">
        <v>0.5</v>
      </c>
      <c r="E1529" s="8" t="s">
        <v>70</v>
      </c>
    </row>
    <row r="1530" spans="1:5">
      <c r="A1530">
        <v>11101527180</v>
      </c>
      <c r="B1530" t="s">
        <v>292</v>
      </c>
      <c r="C1530" t="s">
        <v>303</v>
      </c>
      <c r="D1530" s="8">
        <v>0.5</v>
      </c>
      <c r="E1530" s="8" t="s">
        <v>70</v>
      </c>
    </row>
    <row r="1531" spans="1:5">
      <c r="A1531">
        <v>11101527180</v>
      </c>
      <c r="B1531" t="s">
        <v>295</v>
      </c>
      <c r="C1531" t="s">
        <v>304</v>
      </c>
      <c r="D1531" s="8">
        <v>0.5</v>
      </c>
      <c r="E1531" s="8" t="s">
        <v>70</v>
      </c>
    </row>
    <row r="1532" spans="1:5">
      <c r="A1532">
        <v>11101527180</v>
      </c>
      <c r="B1532" t="s">
        <v>295</v>
      </c>
      <c r="C1532" t="s">
        <v>304</v>
      </c>
      <c r="D1532" s="8">
        <v>0.5</v>
      </c>
      <c r="E1532" s="8" t="s">
        <v>70</v>
      </c>
    </row>
    <row r="1533" spans="1:5" ht="17.25" thickBot="1">
      <c r="A1533">
        <v>11101527180</v>
      </c>
      <c r="B1533" t="s">
        <v>299</v>
      </c>
      <c r="C1533" t="s">
        <v>308</v>
      </c>
      <c r="D1533" s="8">
        <v>0.5</v>
      </c>
      <c r="E1533" s="8" t="s">
        <v>70</v>
      </c>
    </row>
    <row r="1534" spans="1:5" s="29" customFormat="1">
      <c r="A1534" s="65">
        <v>11201311838</v>
      </c>
      <c r="B1534" s="66" t="s">
        <v>511</v>
      </c>
      <c r="C1534" s="66" t="s">
        <v>512</v>
      </c>
      <c r="D1534" s="67" t="s">
        <v>274</v>
      </c>
      <c r="E1534" s="68" t="s">
        <v>274</v>
      </c>
    </row>
    <row r="1535" spans="1:5" s="29" customFormat="1">
      <c r="A1535" s="69">
        <v>11201311838</v>
      </c>
      <c r="B1535" s="29" t="s">
        <v>513</v>
      </c>
      <c r="C1535" s="29" t="s">
        <v>514</v>
      </c>
      <c r="D1535" s="70" t="s">
        <v>274</v>
      </c>
      <c r="E1535" s="71" t="s">
        <v>274</v>
      </c>
    </row>
    <row r="1536" spans="1:5" s="29" customFormat="1" ht="17.25" thickBot="1">
      <c r="A1536" s="72">
        <v>11201311838</v>
      </c>
      <c r="B1536" s="73" t="s">
        <v>515</v>
      </c>
      <c r="C1536" s="73" t="s">
        <v>516</v>
      </c>
      <c r="D1536" s="74" t="s">
        <v>274</v>
      </c>
      <c r="E1536" s="75" t="s">
        <v>274</v>
      </c>
    </row>
    <row r="1537" spans="1:5">
      <c r="A1537">
        <v>11961881217</v>
      </c>
      <c r="B1537" t="s">
        <v>317</v>
      </c>
      <c r="C1537" t="s">
        <v>318</v>
      </c>
    </row>
    <row r="1538" spans="1:5">
      <c r="A1538">
        <v>11904850801</v>
      </c>
      <c r="B1538" t="s">
        <v>416</v>
      </c>
      <c r="C1538" t="s">
        <v>427</v>
      </c>
      <c r="D1538" s="8">
        <v>1.5</v>
      </c>
      <c r="E1538" s="8" t="s">
        <v>321</v>
      </c>
    </row>
    <row r="1539" spans="1:5">
      <c r="A1539">
        <v>11904850801</v>
      </c>
      <c r="B1539" t="s">
        <v>417</v>
      </c>
      <c r="C1539" t="s">
        <v>427</v>
      </c>
      <c r="D1539" s="8">
        <v>1</v>
      </c>
      <c r="E1539" s="8" t="s">
        <v>319</v>
      </c>
    </row>
    <row r="1540" spans="1:5">
      <c r="A1540">
        <v>11979289234</v>
      </c>
      <c r="B1540" t="s">
        <v>418</v>
      </c>
      <c r="C1540" t="s">
        <v>428</v>
      </c>
      <c r="D1540" s="8">
        <v>0.5</v>
      </c>
      <c r="E1540" s="8" t="s">
        <v>429</v>
      </c>
    </row>
    <row r="1541" spans="1:5">
      <c r="A1541">
        <v>6092903705</v>
      </c>
      <c r="B1541" t="s">
        <v>1949</v>
      </c>
      <c r="C1541" t="s">
        <v>350</v>
      </c>
      <c r="D1541" s="8" t="s">
        <v>70</v>
      </c>
      <c r="E1541" s="8" t="s">
        <v>70</v>
      </c>
    </row>
    <row r="1542" spans="1:5">
      <c r="A1542">
        <v>6092903705</v>
      </c>
      <c r="B1542" t="s">
        <v>1950</v>
      </c>
      <c r="C1542" t="s">
        <v>350</v>
      </c>
      <c r="D1542" s="8" t="s">
        <v>172</v>
      </c>
      <c r="E1542" s="8" t="s">
        <v>172</v>
      </c>
    </row>
    <row r="1543" spans="1:5">
      <c r="A1543">
        <v>6092903705</v>
      </c>
      <c r="B1543" t="s">
        <v>1951</v>
      </c>
      <c r="C1543" t="s">
        <v>350</v>
      </c>
      <c r="D1543" s="8" t="s">
        <v>320</v>
      </c>
      <c r="E1543" s="8" t="s">
        <v>320</v>
      </c>
    </row>
    <row r="1544" spans="1:5">
      <c r="A1544">
        <v>6092903705</v>
      </c>
      <c r="B1544" t="s">
        <v>1952</v>
      </c>
      <c r="C1544" t="s">
        <v>350</v>
      </c>
      <c r="D1544" s="8" t="s">
        <v>174</v>
      </c>
      <c r="E1544" s="8" t="s">
        <v>174</v>
      </c>
    </row>
    <row r="1545" spans="1:5">
      <c r="A1545">
        <v>6092903705</v>
      </c>
      <c r="B1545" t="s">
        <v>1953</v>
      </c>
      <c r="C1545" t="s">
        <v>350</v>
      </c>
      <c r="D1545" s="8" t="s">
        <v>169</v>
      </c>
      <c r="E1545" s="8" t="s">
        <v>169</v>
      </c>
    </row>
    <row r="1546" spans="1:5">
      <c r="A1546">
        <v>6092903705</v>
      </c>
      <c r="B1546" t="s">
        <v>1954</v>
      </c>
      <c r="C1546" t="s">
        <v>350</v>
      </c>
      <c r="D1546" s="8" t="s">
        <v>176</v>
      </c>
      <c r="E1546" s="8" t="s">
        <v>176</v>
      </c>
    </row>
    <row r="1547" spans="1:5">
      <c r="A1547">
        <v>6092903705</v>
      </c>
      <c r="B1547" t="s">
        <v>1955</v>
      </c>
      <c r="C1547" t="s">
        <v>350</v>
      </c>
      <c r="D1547" s="8" t="s">
        <v>323</v>
      </c>
      <c r="E1547" s="8" t="s">
        <v>323</v>
      </c>
    </row>
    <row r="1548" spans="1:5">
      <c r="A1548">
        <v>6092903705</v>
      </c>
      <c r="B1548" t="s">
        <v>1956</v>
      </c>
      <c r="C1548" t="s">
        <v>350</v>
      </c>
      <c r="D1548" s="8" t="s">
        <v>178</v>
      </c>
      <c r="E1548" s="8" t="s">
        <v>178</v>
      </c>
    </row>
    <row r="1549" spans="1:5">
      <c r="A1549">
        <v>6092903705</v>
      </c>
      <c r="B1549" t="s">
        <v>1957</v>
      </c>
      <c r="C1549" t="s">
        <v>350</v>
      </c>
      <c r="D1549" s="8" t="s">
        <v>324</v>
      </c>
      <c r="E1549" s="8" t="s">
        <v>324</v>
      </c>
    </row>
    <row r="1550" spans="1:5">
      <c r="A1550">
        <v>6092903705</v>
      </c>
      <c r="B1550" t="s">
        <v>1958</v>
      </c>
      <c r="C1550" t="s">
        <v>350</v>
      </c>
      <c r="D1550" s="8" t="s">
        <v>180</v>
      </c>
      <c r="E1550" s="8" t="s">
        <v>180</v>
      </c>
    </row>
    <row r="1551" spans="1:5">
      <c r="A1551">
        <v>6092903705</v>
      </c>
      <c r="B1551" t="s">
        <v>1959</v>
      </c>
      <c r="C1551" t="s">
        <v>350</v>
      </c>
      <c r="D1551" s="8" t="s">
        <v>325</v>
      </c>
      <c r="E1551" s="8" t="s">
        <v>325</v>
      </c>
    </row>
    <row r="1552" spans="1:5">
      <c r="A1552">
        <v>6092903705</v>
      </c>
      <c r="B1552" t="s">
        <v>1960</v>
      </c>
      <c r="C1552" t="s">
        <v>350</v>
      </c>
      <c r="D1552" s="8" t="s">
        <v>182</v>
      </c>
      <c r="E1552" s="8" t="s">
        <v>182</v>
      </c>
    </row>
    <row r="1553" spans="1:5">
      <c r="A1553">
        <v>6092903705</v>
      </c>
      <c r="B1553" t="s">
        <v>1961</v>
      </c>
      <c r="C1553" t="s">
        <v>350</v>
      </c>
      <c r="D1553" s="8" t="s">
        <v>326</v>
      </c>
      <c r="E1553" s="8" t="s">
        <v>326</v>
      </c>
    </row>
    <row r="1554" spans="1:5">
      <c r="A1554">
        <v>6092903705</v>
      </c>
      <c r="B1554" t="s">
        <v>1962</v>
      </c>
      <c r="C1554" t="s">
        <v>350</v>
      </c>
      <c r="D1554" s="8" t="s">
        <v>184</v>
      </c>
      <c r="E1554" s="8" t="s">
        <v>184</v>
      </c>
    </row>
    <row r="1555" spans="1:5">
      <c r="A1555">
        <v>6092903705</v>
      </c>
      <c r="B1555" t="s">
        <v>1963</v>
      </c>
      <c r="C1555" t="s">
        <v>350</v>
      </c>
      <c r="D1555" s="8" t="s">
        <v>330</v>
      </c>
      <c r="E1555" s="8" t="s">
        <v>330</v>
      </c>
    </row>
    <row r="1556" spans="1:5">
      <c r="A1556">
        <v>6092903705</v>
      </c>
      <c r="B1556" t="s">
        <v>1964</v>
      </c>
      <c r="C1556" t="s">
        <v>350</v>
      </c>
      <c r="D1556" s="8" t="s">
        <v>186</v>
      </c>
      <c r="E1556" s="8" t="s">
        <v>186</v>
      </c>
    </row>
    <row r="1557" spans="1:5">
      <c r="A1557">
        <v>6092903705</v>
      </c>
      <c r="B1557" t="s">
        <v>1965</v>
      </c>
      <c r="C1557" t="s">
        <v>346</v>
      </c>
      <c r="D1557" s="8" t="s">
        <v>70</v>
      </c>
      <c r="E1557" s="8" t="s">
        <v>70</v>
      </c>
    </row>
    <row r="1558" spans="1:5">
      <c r="A1558">
        <v>6092903705</v>
      </c>
      <c r="B1558" t="s">
        <v>1966</v>
      </c>
      <c r="C1558" t="s">
        <v>346</v>
      </c>
      <c r="D1558" s="8" t="s">
        <v>172</v>
      </c>
      <c r="E1558" s="8" t="s">
        <v>172</v>
      </c>
    </row>
    <row r="1559" spans="1:5">
      <c r="A1559">
        <v>6092903705</v>
      </c>
      <c r="B1559" t="s">
        <v>1967</v>
      </c>
      <c r="C1559" t="s">
        <v>346</v>
      </c>
      <c r="D1559" s="8" t="s">
        <v>320</v>
      </c>
      <c r="E1559" s="8" t="s">
        <v>320</v>
      </c>
    </row>
    <row r="1560" spans="1:5">
      <c r="A1560">
        <v>6092903705</v>
      </c>
      <c r="B1560" t="s">
        <v>1968</v>
      </c>
      <c r="C1560" t="s">
        <v>346</v>
      </c>
      <c r="D1560" s="8" t="s">
        <v>174</v>
      </c>
      <c r="E1560" s="8" t="s">
        <v>174</v>
      </c>
    </row>
    <row r="1561" spans="1:5">
      <c r="A1561">
        <v>6092903705</v>
      </c>
      <c r="B1561" t="s">
        <v>1969</v>
      </c>
      <c r="C1561" t="s">
        <v>346</v>
      </c>
      <c r="D1561" s="8" t="s">
        <v>169</v>
      </c>
      <c r="E1561" s="8" t="s">
        <v>169</v>
      </c>
    </row>
    <row r="1562" spans="1:5">
      <c r="A1562">
        <v>6092903705</v>
      </c>
      <c r="B1562" t="s">
        <v>1970</v>
      </c>
      <c r="C1562" t="s">
        <v>346</v>
      </c>
      <c r="D1562" s="8" t="s">
        <v>176</v>
      </c>
      <c r="E1562" s="8" t="s">
        <v>176</v>
      </c>
    </row>
    <row r="1563" spans="1:5">
      <c r="A1563">
        <v>6092903705</v>
      </c>
      <c r="B1563" t="s">
        <v>1971</v>
      </c>
      <c r="C1563" t="s">
        <v>346</v>
      </c>
      <c r="D1563" s="8" t="s">
        <v>323</v>
      </c>
      <c r="E1563" s="8" t="s">
        <v>323</v>
      </c>
    </row>
    <row r="1564" spans="1:5">
      <c r="A1564">
        <v>6092903705</v>
      </c>
      <c r="B1564" t="s">
        <v>1972</v>
      </c>
      <c r="C1564" t="s">
        <v>346</v>
      </c>
      <c r="D1564" s="8" t="s">
        <v>178</v>
      </c>
      <c r="E1564" s="8" t="s">
        <v>178</v>
      </c>
    </row>
    <row r="1565" spans="1:5">
      <c r="A1565">
        <v>6092903705</v>
      </c>
      <c r="B1565" t="s">
        <v>1973</v>
      </c>
      <c r="C1565" t="s">
        <v>346</v>
      </c>
      <c r="D1565" s="8" t="s">
        <v>324</v>
      </c>
      <c r="E1565" s="8" t="s">
        <v>324</v>
      </c>
    </row>
    <row r="1566" spans="1:5">
      <c r="A1566">
        <v>6092903705</v>
      </c>
      <c r="B1566" t="s">
        <v>1974</v>
      </c>
      <c r="C1566" t="s">
        <v>346</v>
      </c>
      <c r="D1566" s="8" t="s">
        <v>180</v>
      </c>
      <c r="E1566" s="8" t="s">
        <v>180</v>
      </c>
    </row>
    <row r="1567" spans="1:5">
      <c r="A1567">
        <v>6092903705</v>
      </c>
      <c r="B1567" t="s">
        <v>1975</v>
      </c>
      <c r="C1567" t="s">
        <v>346</v>
      </c>
      <c r="D1567" s="8" t="s">
        <v>325</v>
      </c>
      <c r="E1567" s="8" t="s">
        <v>325</v>
      </c>
    </row>
    <row r="1568" spans="1:5">
      <c r="A1568">
        <v>6092903705</v>
      </c>
      <c r="B1568" t="s">
        <v>1976</v>
      </c>
      <c r="C1568" t="s">
        <v>346</v>
      </c>
      <c r="D1568" s="8" t="s">
        <v>182</v>
      </c>
      <c r="E1568" s="8" t="s">
        <v>182</v>
      </c>
    </row>
    <row r="1569" spans="1:5">
      <c r="A1569">
        <v>6092903705</v>
      </c>
      <c r="B1569" t="s">
        <v>1977</v>
      </c>
      <c r="C1569" t="s">
        <v>346</v>
      </c>
      <c r="D1569" s="8" t="s">
        <v>326</v>
      </c>
      <c r="E1569" s="8" t="s">
        <v>326</v>
      </c>
    </row>
    <row r="1570" spans="1:5">
      <c r="A1570">
        <v>6092903705</v>
      </c>
      <c r="B1570" t="s">
        <v>1978</v>
      </c>
      <c r="C1570" t="s">
        <v>346</v>
      </c>
      <c r="D1570" s="8" t="s">
        <v>184</v>
      </c>
      <c r="E1570" s="8" t="s">
        <v>184</v>
      </c>
    </row>
    <row r="1571" spans="1:5">
      <c r="A1571">
        <v>6092903705</v>
      </c>
      <c r="B1571" t="s">
        <v>1979</v>
      </c>
      <c r="C1571" t="s">
        <v>346</v>
      </c>
      <c r="D1571" s="8" t="s">
        <v>330</v>
      </c>
      <c r="E1571" s="8" t="s">
        <v>330</v>
      </c>
    </row>
    <row r="1572" spans="1:5">
      <c r="A1572">
        <v>6092903705</v>
      </c>
      <c r="B1572" t="s">
        <v>1980</v>
      </c>
      <c r="C1572" t="s">
        <v>346</v>
      </c>
      <c r="D1572" s="8" t="s">
        <v>186</v>
      </c>
      <c r="E1572" s="8" t="s">
        <v>186</v>
      </c>
    </row>
    <row r="1573" spans="1:5">
      <c r="A1573">
        <v>6092903705</v>
      </c>
      <c r="B1573" t="s">
        <v>1981</v>
      </c>
      <c r="C1573" t="s">
        <v>553</v>
      </c>
      <c r="D1573" s="8" t="s">
        <v>172</v>
      </c>
      <c r="E1573" s="8" t="s">
        <v>172</v>
      </c>
    </row>
    <row r="1574" spans="1:5">
      <c r="A1574">
        <v>6092903705</v>
      </c>
      <c r="B1574" t="s">
        <v>1982</v>
      </c>
      <c r="C1574" t="s">
        <v>553</v>
      </c>
      <c r="D1574" s="8" t="s">
        <v>320</v>
      </c>
      <c r="E1574" s="8" t="s">
        <v>320</v>
      </c>
    </row>
    <row r="1575" spans="1:5">
      <c r="A1575">
        <v>6092903705</v>
      </c>
      <c r="B1575" t="s">
        <v>1983</v>
      </c>
      <c r="C1575" t="s">
        <v>553</v>
      </c>
      <c r="D1575" s="8" t="s">
        <v>174</v>
      </c>
      <c r="E1575" s="8" t="s">
        <v>174</v>
      </c>
    </row>
    <row r="1576" spans="1:5">
      <c r="A1576">
        <v>6092903705</v>
      </c>
      <c r="B1576" t="s">
        <v>1984</v>
      </c>
      <c r="C1576" t="s">
        <v>553</v>
      </c>
      <c r="D1576" s="8" t="s">
        <v>169</v>
      </c>
      <c r="E1576" s="8" t="s">
        <v>169</v>
      </c>
    </row>
    <row r="1577" spans="1:5">
      <c r="A1577">
        <v>6092903705</v>
      </c>
      <c r="B1577" t="s">
        <v>1985</v>
      </c>
      <c r="C1577" t="s">
        <v>553</v>
      </c>
      <c r="D1577" s="8" t="s">
        <v>176</v>
      </c>
      <c r="E1577" s="8" t="s">
        <v>176</v>
      </c>
    </row>
    <row r="1578" spans="1:5">
      <c r="A1578">
        <v>6092903705</v>
      </c>
      <c r="B1578" t="s">
        <v>1986</v>
      </c>
      <c r="C1578" t="s">
        <v>553</v>
      </c>
      <c r="D1578" s="8" t="s">
        <v>323</v>
      </c>
      <c r="E1578" s="8" t="s">
        <v>323</v>
      </c>
    </row>
    <row r="1579" spans="1:5">
      <c r="A1579">
        <v>6092903705</v>
      </c>
      <c r="B1579" t="s">
        <v>1987</v>
      </c>
      <c r="C1579" t="s">
        <v>553</v>
      </c>
      <c r="D1579" s="8" t="s">
        <v>178</v>
      </c>
      <c r="E1579" s="8" t="s">
        <v>178</v>
      </c>
    </row>
    <row r="1580" spans="1:5">
      <c r="A1580">
        <v>6092903705</v>
      </c>
      <c r="B1580" t="s">
        <v>1988</v>
      </c>
      <c r="C1580" t="s">
        <v>553</v>
      </c>
      <c r="D1580" s="8" t="s">
        <v>324</v>
      </c>
      <c r="E1580" s="8" t="s">
        <v>324</v>
      </c>
    </row>
    <row r="1581" spans="1:5">
      <c r="A1581">
        <v>6092903705</v>
      </c>
      <c r="B1581" t="s">
        <v>1989</v>
      </c>
      <c r="C1581" t="s">
        <v>553</v>
      </c>
      <c r="D1581" s="8" t="s">
        <v>180</v>
      </c>
      <c r="E1581" s="8" t="s">
        <v>180</v>
      </c>
    </row>
    <row r="1582" spans="1:5">
      <c r="A1582">
        <v>6092903705</v>
      </c>
      <c r="B1582" t="s">
        <v>1990</v>
      </c>
      <c r="C1582" t="s">
        <v>553</v>
      </c>
      <c r="D1582" s="8" t="s">
        <v>325</v>
      </c>
      <c r="E1582" s="8" t="s">
        <v>325</v>
      </c>
    </row>
    <row r="1583" spans="1:5">
      <c r="A1583">
        <v>6092903705</v>
      </c>
      <c r="B1583" t="s">
        <v>1991</v>
      </c>
      <c r="C1583" t="s">
        <v>553</v>
      </c>
      <c r="D1583" s="8" t="s">
        <v>182</v>
      </c>
      <c r="E1583" s="8" t="s">
        <v>182</v>
      </c>
    </row>
    <row r="1584" spans="1:5">
      <c r="A1584">
        <v>6092903705</v>
      </c>
      <c r="B1584" t="s">
        <v>1992</v>
      </c>
      <c r="C1584" t="s">
        <v>553</v>
      </c>
      <c r="D1584" s="8" t="s">
        <v>326</v>
      </c>
      <c r="E1584" s="8" t="s">
        <v>326</v>
      </c>
    </row>
    <row r="1585" spans="1:5">
      <c r="A1585">
        <v>6092903705</v>
      </c>
      <c r="B1585" t="s">
        <v>1993</v>
      </c>
      <c r="C1585" t="s">
        <v>553</v>
      </c>
      <c r="D1585" s="8" t="s">
        <v>184</v>
      </c>
      <c r="E1585" s="8" t="s">
        <v>184</v>
      </c>
    </row>
    <row r="1586" spans="1:5">
      <c r="A1586">
        <v>6092903705</v>
      </c>
      <c r="B1586" t="s">
        <v>1994</v>
      </c>
      <c r="C1586" t="s">
        <v>553</v>
      </c>
      <c r="D1586" s="8" t="s">
        <v>330</v>
      </c>
      <c r="E1586" s="8" t="s">
        <v>330</v>
      </c>
    </row>
    <row r="1587" spans="1:5">
      <c r="A1587">
        <v>6092903705</v>
      </c>
      <c r="B1587" t="s">
        <v>1995</v>
      </c>
      <c r="C1587" t="s">
        <v>553</v>
      </c>
      <c r="D1587" s="8" t="s">
        <v>186</v>
      </c>
      <c r="E1587" s="8" t="s">
        <v>186</v>
      </c>
    </row>
    <row r="1588" spans="1:5">
      <c r="A1588">
        <v>6092903705</v>
      </c>
      <c r="B1588" s="18" t="s">
        <v>1996</v>
      </c>
      <c r="C1588" t="s">
        <v>419</v>
      </c>
      <c r="D1588" s="8" t="s">
        <v>70</v>
      </c>
      <c r="E1588" s="8" t="s">
        <v>70</v>
      </c>
    </row>
    <row r="1589" spans="1:5">
      <c r="A1589">
        <v>6092903705</v>
      </c>
      <c r="B1589" s="18" t="s">
        <v>1997</v>
      </c>
      <c r="C1589" t="s">
        <v>419</v>
      </c>
      <c r="D1589" s="8" t="s">
        <v>172</v>
      </c>
      <c r="E1589" s="8" t="s">
        <v>172</v>
      </c>
    </row>
    <row r="1590" spans="1:5">
      <c r="A1590">
        <v>6092903705</v>
      </c>
      <c r="B1590" s="18" t="s">
        <v>1998</v>
      </c>
      <c r="C1590" t="s">
        <v>419</v>
      </c>
      <c r="D1590" s="8" t="s">
        <v>320</v>
      </c>
      <c r="E1590" s="8" t="s">
        <v>320</v>
      </c>
    </row>
    <row r="1591" spans="1:5">
      <c r="A1591">
        <v>6092903705</v>
      </c>
      <c r="B1591" s="18" t="s">
        <v>1999</v>
      </c>
      <c r="C1591" t="s">
        <v>419</v>
      </c>
      <c r="D1591" s="8" t="s">
        <v>174</v>
      </c>
      <c r="E1591" s="8" t="s">
        <v>174</v>
      </c>
    </row>
    <row r="1592" spans="1:5">
      <c r="A1592">
        <v>6092903705</v>
      </c>
      <c r="B1592" s="18" t="s">
        <v>2000</v>
      </c>
      <c r="C1592" t="s">
        <v>419</v>
      </c>
      <c r="D1592" s="8" t="s">
        <v>169</v>
      </c>
      <c r="E1592" s="8" t="s">
        <v>169</v>
      </c>
    </row>
    <row r="1593" spans="1:5">
      <c r="A1593">
        <v>6092903705</v>
      </c>
      <c r="B1593" s="18" t="s">
        <v>2001</v>
      </c>
      <c r="C1593" t="s">
        <v>419</v>
      </c>
      <c r="D1593" s="8" t="s">
        <v>176</v>
      </c>
      <c r="E1593" s="8" t="s">
        <v>176</v>
      </c>
    </row>
    <row r="1594" spans="1:5">
      <c r="A1594">
        <v>6092903705</v>
      </c>
      <c r="B1594" s="18" t="s">
        <v>2002</v>
      </c>
      <c r="C1594" t="s">
        <v>419</v>
      </c>
      <c r="D1594" s="8" t="s">
        <v>323</v>
      </c>
      <c r="E1594" s="8" t="s">
        <v>323</v>
      </c>
    </row>
    <row r="1595" spans="1:5">
      <c r="A1595">
        <v>6092903705</v>
      </c>
      <c r="B1595" s="18" t="s">
        <v>2003</v>
      </c>
      <c r="C1595" t="s">
        <v>419</v>
      </c>
      <c r="D1595" s="8" t="s">
        <v>178</v>
      </c>
      <c r="E1595" s="8" t="s">
        <v>178</v>
      </c>
    </row>
    <row r="1596" spans="1:5">
      <c r="A1596">
        <v>6092903705</v>
      </c>
      <c r="B1596" s="18" t="s">
        <v>2004</v>
      </c>
      <c r="C1596" t="s">
        <v>419</v>
      </c>
      <c r="D1596" s="8" t="s">
        <v>324</v>
      </c>
      <c r="E1596" s="8" t="s">
        <v>324</v>
      </c>
    </row>
    <row r="1597" spans="1:5">
      <c r="A1597">
        <v>6092903705</v>
      </c>
      <c r="B1597" s="18" t="s">
        <v>2005</v>
      </c>
      <c r="C1597" t="s">
        <v>419</v>
      </c>
      <c r="D1597" s="8" t="s">
        <v>180</v>
      </c>
      <c r="E1597" s="8" t="s">
        <v>180</v>
      </c>
    </row>
    <row r="1598" spans="1:5">
      <c r="A1598">
        <v>6092903705</v>
      </c>
      <c r="B1598" s="18" t="s">
        <v>2006</v>
      </c>
      <c r="C1598" t="s">
        <v>419</v>
      </c>
      <c r="D1598" s="8" t="s">
        <v>325</v>
      </c>
      <c r="E1598" s="8" t="s">
        <v>325</v>
      </c>
    </row>
    <row r="1599" spans="1:5">
      <c r="A1599">
        <v>6092903705</v>
      </c>
      <c r="B1599" s="18" t="s">
        <v>2007</v>
      </c>
      <c r="C1599" t="s">
        <v>419</v>
      </c>
      <c r="D1599" s="8" t="s">
        <v>182</v>
      </c>
      <c r="E1599" s="8" t="s">
        <v>182</v>
      </c>
    </row>
    <row r="1600" spans="1:5">
      <c r="A1600">
        <v>6092903705</v>
      </c>
      <c r="B1600" s="18" t="s">
        <v>2008</v>
      </c>
      <c r="C1600" t="s">
        <v>419</v>
      </c>
      <c r="D1600" s="8" t="s">
        <v>326</v>
      </c>
      <c r="E1600" s="8" t="s">
        <v>326</v>
      </c>
    </row>
    <row r="1601" spans="1:5">
      <c r="A1601">
        <v>6092903705</v>
      </c>
      <c r="B1601" s="18" t="s">
        <v>2009</v>
      </c>
      <c r="C1601" t="s">
        <v>419</v>
      </c>
      <c r="D1601" s="8" t="s">
        <v>184</v>
      </c>
      <c r="E1601" s="8" t="s">
        <v>184</v>
      </c>
    </row>
    <row r="1602" spans="1:5">
      <c r="A1602">
        <v>6092903705</v>
      </c>
      <c r="B1602" s="18" t="s">
        <v>2010</v>
      </c>
      <c r="C1602" t="s">
        <v>419</v>
      </c>
      <c r="D1602" s="8" t="s">
        <v>330</v>
      </c>
      <c r="E1602" s="8" t="s">
        <v>330</v>
      </c>
    </row>
    <row r="1603" spans="1:5">
      <c r="A1603">
        <v>6092903705</v>
      </c>
      <c r="B1603" s="18" t="s">
        <v>2011</v>
      </c>
      <c r="C1603" t="s">
        <v>419</v>
      </c>
      <c r="D1603" s="8" t="s">
        <v>186</v>
      </c>
      <c r="E1603" s="8" t="s">
        <v>186</v>
      </c>
    </row>
    <row r="1604" spans="1:5" s="25" customFormat="1">
      <c r="A1604" s="25">
        <v>6092903705</v>
      </c>
      <c r="B1604" s="25" t="s">
        <v>2012</v>
      </c>
      <c r="C1604" s="25" t="s">
        <v>215</v>
      </c>
      <c r="D1604" s="26" t="s">
        <v>70</v>
      </c>
      <c r="E1604" s="26" t="s">
        <v>70</v>
      </c>
    </row>
    <row r="1605" spans="1:5" s="25" customFormat="1">
      <c r="A1605" s="25">
        <v>6092903705</v>
      </c>
      <c r="B1605" s="25" t="s">
        <v>2013</v>
      </c>
      <c r="C1605" s="25" t="s">
        <v>215</v>
      </c>
      <c r="D1605" s="26" t="s">
        <v>172</v>
      </c>
      <c r="E1605" s="26" t="s">
        <v>172</v>
      </c>
    </row>
    <row r="1606" spans="1:5">
      <c r="A1606">
        <v>6092903705</v>
      </c>
      <c r="B1606" s="25" t="s">
        <v>2014</v>
      </c>
      <c r="C1606" t="s">
        <v>215</v>
      </c>
      <c r="D1606" s="8" t="s">
        <v>320</v>
      </c>
      <c r="E1606" s="8" t="s">
        <v>320</v>
      </c>
    </row>
    <row r="1607" spans="1:5">
      <c r="A1607">
        <v>6092903705</v>
      </c>
      <c r="B1607" s="25" t="s">
        <v>2015</v>
      </c>
      <c r="C1607" t="s">
        <v>215</v>
      </c>
      <c r="D1607" s="8" t="s">
        <v>174</v>
      </c>
      <c r="E1607" s="8" t="s">
        <v>174</v>
      </c>
    </row>
    <row r="1608" spans="1:5">
      <c r="A1608">
        <v>6092903705</v>
      </c>
      <c r="B1608" s="25" t="s">
        <v>2016</v>
      </c>
      <c r="C1608" t="s">
        <v>215</v>
      </c>
      <c r="D1608" s="8" t="s">
        <v>169</v>
      </c>
      <c r="E1608" s="8" t="s">
        <v>169</v>
      </c>
    </row>
    <row r="1609" spans="1:5">
      <c r="A1609">
        <v>6092903705</v>
      </c>
      <c r="B1609" s="25" t="s">
        <v>2017</v>
      </c>
      <c r="C1609" t="s">
        <v>215</v>
      </c>
      <c r="D1609" s="8" t="s">
        <v>176</v>
      </c>
      <c r="E1609" s="8" t="s">
        <v>176</v>
      </c>
    </row>
    <row r="1610" spans="1:5">
      <c r="A1610">
        <v>6092903705</v>
      </c>
      <c r="B1610" s="25" t="s">
        <v>2018</v>
      </c>
      <c r="C1610" t="s">
        <v>215</v>
      </c>
      <c r="D1610" s="8" t="s">
        <v>323</v>
      </c>
      <c r="E1610" s="8" t="s">
        <v>323</v>
      </c>
    </row>
    <row r="1611" spans="1:5">
      <c r="A1611">
        <v>6092903705</v>
      </c>
      <c r="B1611" s="25" t="s">
        <v>2019</v>
      </c>
      <c r="C1611" t="s">
        <v>215</v>
      </c>
      <c r="D1611" s="8" t="s">
        <v>178</v>
      </c>
      <c r="E1611" s="8" t="s">
        <v>178</v>
      </c>
    </row>
    <row r="1612" spans="1:5">
      <c r="A1612">
        <v>6092903705</v>
      </c>
      <c r="B1612" s="25" t="s">
        <v>2020</v>
      </c>
      <c r="C1612" t="s">
        <v>215</v>
      </c>
      <c r="D1612" s="8" t="s">
        <v>324</v>
      </c>
      <c r="E1612" s="8" t="s">
        <v>324</v>
      </c>
    </row>
    <row r="1613" spans="1:5">
      <c r="A1613">
        <v>6092903705</v>
      </c>
      <c r="B1613" s="25" t="s">
        <v>2021</v>
      </c>
      <c r="C1613" t="s">
        <v>215</v>
      </c>
      <c r="D1613" s="8" t="s">
        <v>180</v>
      </c>
      <c r="E1613" s="8" t="s">
        <v>180</v>
      </c>
    </row>
    <row r="1614" spans="1:5">
      <c r="A1614">
        <v>6092903705</v>
      </c>
      <c r="B1614" s="25" t="s">
        <v>2022</v>
      </c>
      <c r="C1614" t="s">
        <v>215</v>
      </c>
      <c r="D1614" s="8" t="s">
        <v>325</v>
      </c>
      <c r="E1614" s="8" t="s">
        <v>325</v>
      </c>
    </row>
    <row r="1615" spans="1:5">
      <c r="A1615">
        <v>6092903705</v>
      </c>
      <c r="B1615" s="25" t="s">
        <v>2023</v>
      </c>
      <c r="C1615" t="s">
        <v>215</v>
      </c>
      <c r="D1615" s="8" t="s">
        <v>182</v>
      </c>
      <c r="E1615" s="8" t="s">
        <v>182</v>
      </c>
    </row>
    <row r="1616" spans="1:5">
      <c r="A1616">
        <v>6092903705</v>
      </c>
      <c r="B1616" s="25" t="s">
        <v>2024</v>
      </c>
      <c r="C1616" t="s">
        <v>215</v>
      </c>
      <c r="D1616" s="8" t="s">
        <v>326</v>
      </c>
      <c r="E1616" s="8" t="s">
        <v>326</v>
      </c>
    </row>
    <row r="1617" spans="1:5">
      <c r="A1617">
        <v>6092903705</v>
      </c>
      <c r="B1617" s="25" t="s">
        <v>2025</v>
      </c>
      <c r="C1617" t="s">
        <v>215</v>
      </c>
      <c r="D1617" s="8" t="s">
        <v>184</v>
      </c>
      <c r="E1617" s="8" t="s">
        <v>184</v>
      </c>
    </row>
    <row r="1618" spans="1:5">
      <c r="A1618">
        <v>6092903705</v>
      </c>
      <c r="B1618" s="25" t="s">
        <v>2026</v>
      </c>
      <c r="C1618" t="s">
        <v>215</v>
      </c>
      <c r="D1618" s="8" t="s">
        <v>330</v>
      </c>
      <c r="E1618" s="8" t="s">
        <v>330</v>
      </c>
    </row>
    <row r="1619" spans="1:5">
      <c r="A1619">
        <v>6092903705</v>
      </c>
      <c r="B1619" s="25" t="s">
        <v>2027</v>
      </c>
      <c r="C1619" t="s">
        <v>215</v>
      </c>
      <c r="D1619" s="8" t="s">
        <v>186</v>
      </c>
      <c r="E1619" s="8" t="s">
        <v>186</v>
      </c>
    </row>
    <row r="1620" spans="1:5">
      <c r="A1620">
        <v>6092903705</v>
      </c>
      <c r="B1620" s="25" t="s">
        <v>2028</v>
      </c>
      <c r="C1620" t="s">
        <v>215</v>
      </c>
      <c r="D1620" s="8" t="s">
        <v>333</v>
      </c>
      <c r="E1620" s="8" t="s">
        <v>333</v>
      </c>
    </row>
    <row r="1621" spans="1:5">
      <c r="A1621">
        <v>6092903705</v>
      </c>
      <c r="B1621" s="25" t="s">
        <v>2029</v>
      </c>
      <c r="C1621" t="s">
        <v>215</v>
      </c>
      <c r="D1621" s="8" t="s">
        <v>188</v>
      </c>
      <c r="E1621" s="8" t="s">
        <v>188</v>
      </c>
    </row>
    <row r="1622" spans="1:5">
      <c r="A1622">
        <v>6092903705</v>
      </c>
      <c r="B1622" s="25" t="s">
        <v>2030</v>
      </c>
      <c r="C1622" t="s">
        <v>215</v>
      </c>
      <c r="D1622" s="8" t="s">
        <v>335</v>
      </c>
      <c r="E1622" s="8" t="s">
        <v>335</v>
      </c>
    </row>
    <row r="1623" spans="1:5">
      <c r="A1623">
        <v>6092903705</v>
      </c>
      <c r="B1623" s="25" t="s">
        <v>2031</v>
      </c>
      <c r="C1623" t="s">
        <v>215</v>
      </c>
      <c r="D1623" s="8" t="s">
        <v>190</v>
      </c>
      <c r="E1623" s="8" t="s">
        <v>190</v>
      </c>
    </row>
    <row r="1624" spans="1:5">
      <c r="A1624">
        <v>6092903705</v>
      </c>
      <c r="B1624" s="25" t="s">
        <v>2032</v>
      </c>
      <c r="C1624" t="s">
        <v>215</v>
      </c>
      <c r="D1624" s="8" t="s">
        <v>338</v>
      </c>
      <c r="E1624" s="8" t="s">
        <v>338</v>
      </c>
    </row>
    <row r="1625" spans="1:5">
      <c r="A1625">
        <v>6092903705</v>
      </c>
      <c r="B1625" s="25" t="s">
        <v>2033</v>
      </c>
      <c r="C1625" t="s">
        <v>215</v>
      </c>
      <c r="D1625" s="8" t="s">
        <v>340</v>
      </c>
      <c r="E1625" s="8" t="s">
        <v>340</v>
      </c>
    </row>
    <row r="1626" spans="1:5">
      <c r="A1626">
        <v>6092903705</v>
      </c>
      <c r="B1626" s="25" t="s">
        <v>2034</v>
      </c>
      <c r="C1626" t="s">
        <v>215</v>
      </c>
      <c r="D1626" s="8" t="s">
        <v>342</v>
      </c>
      <c r="E1626" s="8" t="s">
        <v>342</v>
      </c>
    </row>
    <row r="1627" spans="1:5">
      <c r="A1627">
        <v>6092903705</v>
      </c>
      <c r="B1627" s="25" t="s">
        <v>2035</v>
      </c>
      <c r="C1627" t="s">
        <v>215</v>
      </c>
      <c r="D1627" s="8" t="s">
        <v>344</v>
      </c>
      <c r="E1627" s="8" t="s">
        <v>344</v>
      </c>
    </row>
    <row r="1628" spans="1:5">
      <c r="A1628">
        <v>6092903705</v>
      </c>
      <c r="B1628" s="25" t="s">
        <v>2036</v>
      </c>
      <c r="C1628" t="s">
        <v>541</v>
      </c>
      <c r="D1628" s="8" t="s">
        <v>172</v>
      </c>
      <c r="E1628" s="8" t="s">
        <v>172</v>
      </c>
    </row>
    <row r="1629" spans="1:5">
      <c r="A1629">
        <v>6092903705</v>
      </c>
      <c r="B1629" s="25" t="s">
        <v>2037</v>
      </c>
      <c r="C1629" t="s">
        <v>541</v>
      </c>
      <c r="D1629" s="8" t="s">
        <v>320</v>
      </c>
      <c r="E1629" s="8" t="s">
        <v>320</v>
      </c>
    </row>
    <row r="1630" spans="1:5">
      <c r="A1630">
        <v>6092903705</v>
      </c>
      <c r="B1630" s="25" t="s">
        <v>2038</v>
      </c>
      <c r="C1630" t="s">
        <v>541</v>
      </c>
      <c r="D1630" s="8" t="s">
        <v>174</v>
      </c>
      <c r="E1630" s="8" t="s">
        <v>174</v>
      </c>
    </row>
    <row r="1631" spans="1:5">
      <c r="A1631">
        <v>6092903705</v>
      </c>
      <c r="B1631" s="25" t="s">
        <v>2039</v>
      </c>
      <c r="C1631" t="s">
        <v>541</v>
      </c>
      <c r="D1631" s="8" t="s">
        <v>169</v>
      </c>
      <c r="E1631" s="8" t="s">
        <v>169</v>
      </c>
    </row>
    <row r="1632" spans="1:5">
      <c r="A1632">
        <v>6092903705</v>
      </c>
      <c r="B1632" s="25" t="s">
        <v>2040</v>
      </c>
      <c r="C1632" t="s">
        <v>541</v>
      </c>
      <c r="D1632" s="8" t="s">
        <v>176</v>
      </c>
      <c r="E1632" s="8" t="s">
        <v>176</v>
      </c>
    </row>
    <row r="1633" spans="1:5">
      <c r="A1633">
        <v>6092903705</v>
      </c>
      <c r="B1633" s="25" t="s">
        <v>2041</v>
      </c>
      <c r="C1633" t="s">
        <v>541</v>
      </c>
      <c r="D1633" s="8" t="s">
        <v>323</v>
      </c>
      <c r="E1633" s="8" t="s">
        <v>323</v>
      </c>
    </row>
    <row r="1634" spans="1:5">
      <c r="A1634">
        <v>6092903705</v>
      </c>
      <c r="B1634" s="25" t="s">
        <v>2042</v>
      </c>
      <c r="C1634" t="s">
        <v>541</v>
      </c>
      <c r="D1634" s="8" t="s">
        <v>178</v>
      </c>
      <c r="E1634" s="8" t="s">
        <v>178</v>
      </c>
    </row>
    <row r="1635" spans="1:5">
      <c r="A1635">
        <v>6092903705</v>
      </c>
      <c r="B1635" s="25" t="s">
        <v>2043</v>
      </c>
      <c r="C1635" t="s">
        <v>541</v>
      </c>
      <c r="D1635" s="8" t="s">
        <v>324</v>
      </c>
      <c r="E1635" s="8" t="s">
        <v>324</v>
      </c>
    </row>
    <row r="1636" spans="1:5">
      <c r="A1636">
        <v>6092903705</v>
      </c>
      <c r="B1636" s="25" t="s">
        <v>2044</v>
      </c>
      <c r="C1636" t="s">
        <v>541</v>
      </c>
      <c r="D1636" s="8" t="s">
        <v>180</v>
      </c>
      <c r="E1636" s="8" t="s">
        <v>180</v>
      </c>
    </row>
    <row r="1637" spans="1:5">
      <c r="A1637">
        <v>6092903705</v>
      </c>
      <c r="B1637" s="25" t="s">
        <v>2045</v>
      </c>
      <c r="C1637" t="s">
        <v>541</v>
      </c>
      <c r="D1637" s="8" t="s">
        <v>325</v>
      </c>
      <c r="E1637" s="8" t="s">
        <v>325</v>
      </c>
    </row>
    <row r="1638" spans="1:5">
      <c r="A1638">
        <v>6092903705</v>
      </c>
      <c r="B1638" s="25" t="s">
        <v>2046</v>
      </c>
      <c r="C1638" t="s">
        <v>541</v>
      </c>
      <c r="D1638" s="8" t="s">
        <v>182</v>
      </c>
      <c r="E1638" s="8" t="s">
        <v>182</v>
      </c>
    </row>
    <row r="1639" spans="1:5">
      <c r="A1639">
        <v>6092903705</v>
      </c>
      <c r="B1639" s="25" t="s">
        <v>2047</v>
      </c>
      <c r="C1639" t="s">
        <v>541</v>
      </c>
      <c r="D1639" s="8" t="s">
        <v>326</v>
      </c>
      <c r="E1639" s="8" t="s">
        <v>326</v>
      </c>
    </row>
    <row r="1640" spans="1:5">
      <c r="A1640">
        <v>6092903705</v>
      </c>
      <c r="B1640" s="25" t="s">
        <v>2048</v>
      </c>
      <c r="C1640" t="s">
        <v>541</v>
      </c>
      <c r="D1640" s="8" t="s">
        <v>184</v>
      </c>
      <c r="E1640" s="8" t="s">
        <v>184</v>
      </c>
    </row>
    <row r="1641" spans="1:5">
      <c r="A1641">
        <v>6092903705</v>
      </c>
      <c r="B1641" s="25" t="s">
        <v>2049</v>
      </c>
      <c r="C1641" t="s">
        <v>541</v>
      </c>
      <c r="D1641" s="8" t="s">
        <v>330</v>
      </c>
      <c r="E1641" s="8" t="s">
        <v>330</v>
      </c>
    </row>
    <row r="1642" spans="1:5">
      <c r="A1642">
        <v>6092903705</v>
      </c>
      <c r="B1642" s="25" t="s">
        <v>2050</v>
      </c>
      <c r="C1642" t="s">
        <v>541</v>
      </c>
      <c r="D1642" s="8" t="s">
        <v>186</v>
      </c>
      <c r="E1642" s="8" t="s">
        <v>186</v>
      </c>
    </row>
    <row r="1643" spans="1:5">
      <c r="A1643">
        <v>6092903705</v>
      </c>
      <c r="B1643" s="25" t="s">
        <v>2051</v>
      </c>
      <c r="C1643" t="s">
        <v>541</v>
      </c>
      <c r="D1643" s="8" t="s">
        <v>333</v>
      </c>
      <c r="E1643" s="8" t="s">
        <v>333</v>
      </c>
    </row>
    <row r="1644" spans="1:5">
      <c r="A1644">
        <v>6092903705</v>
      </c>
      <c r="B1644" s="25" t="s">
        <v>2052</v>
      </c>
      <c r="C1644" t="s">
        <v>541</v>
      </c>
      <c r="D1644" s="8" t="s">
        <v>188</v>
      </c>
      <c r="E1644" s="8" t="s">
        <v>188</v>
      </c>
    </row>
    <row r="1645" spans="1:5">
      <c r="A1645">
        <v>6092903705</v>
      </c>
      <c r="B1645" s="25" t="s">
        <v>2053</v>
      </c>
      <c r="C1645" t="s">
        <v>541</v>
      </c>
      <c r="D1645" s="8" t="s">
        <v>335</v>
      </c>
      <c r="E1645" s="8" t="s">
        <v>335</v>
      </c>
    </row>
    <row r="1646" spans="1:5">
      <c r="A1646">
        <v>6092903705</v>
      </c>
      <c r="B1646" s="25" t="s">
        <v>2054</v>
      </c>
      <c r="C1646" t="s">
        <v>541</v>
      </c>
      <c r="D1646" s="8" t="s">
        <v>190</v>
      </c>
      <c r="E1646" s="8" t="s">
        <v>190</v>
      </c>
    </row>
    <row r="1647" spans="1:5">
      <c r="A1647">
        <v>6092903705</v>
      </c>
      <c r="B1647" s="25" t="s">
        <v>2055</v>
      </c>
      <c r="C1647" t="s">
        <v>541</v>
      </c>
      <c r="D1647" s="8" t="s">
        <v>338</v>
      </c>
      <c r="E1647" s="8" t="s">
        <v>338</v>
      </c>
    </row>
    <row r="1648" spans="1:5">
      <c r="A1648">
        <v>6092903705</v>
      </c>
      <c r="B1648" s="25" t="s">
        <v>2056</v>
      </c>
      <c r="C1648" t="s">
        <v>541</v>
      </c>
      <c r="D1648" s="8" t="s">
        <v>340</v>
      </c>
      <c r="E1648" s="8" t="s">
        <v>340</v>
      </c>
    </row>
    <row r="1649" spans="1:5">
      <c r="A1649">
        <v>6092903705</v>
      </c>
      <c r="B1649" s="25" t="s">
        <v>2057</v>
      </c>
      <c r="C1649" t="s">
        <v>541</v>
      </c>
      <c r="D1649" s="8" t="s">
        <v>342</v>
      </c>
      <c r="E1649" s="8" t="s">
        <v>342</v>
      </c>
    </row>
    <row r="1650" spans="1:5">
      <c r="A1650">
        <v>6092903705</v>
      </c>
      <c r="B1650" s="25" t="s">
        <v>2058</v>
      </c>
      <c r="C1650" t="s">
        <v>541</v>
      </c>
      <c r="D1650" s="8" t="s">
        <v>344</v>
      </c>
      <c r="E1650" s="8" t="s">
        <v>344</v>
      </c>
    </row>
    <row r="1651" spans="1:5">
      <c r="A1651">
        <v>6092903705</v>
      </c>
      <c r="B1651" s="22" t="s">
        <v>2059</v>
      </c>
      <c r="C1651" t="s">
        <v>216</v>
      </c>
      <c r="D1651" s="8" t="s">
        <v>70</v>
      </c>
      <c r="E1651" s="8" t="s">
        <v>70</v>
      </c>
    </row>
    <row r="1652" spans="1:5">
      <c r="A1652">
        <v>6092903705</v>
      </c>
      <c r="B1652" s="22" t="s">
        <v>2060</v>
      </c>
      <c r="C1652" t="s">
        <v>216</v>
      </c>
      <c r="D1652" s="8" t="s">
        <v>172</v>
      </c>
      <c r="E1652" s="8" t="s">
        <v>172</v>
      </c>
    </row>
    <row r="1653" spans="1:5">
      <c r="A1653">
        <v>6092903705</v>
      </c>
      <c r="B1653" s="22" t="s">
        <v>2061</v>
      </c>
      <c r="C1653" t="s">
        <v>216</v>
      </c>
      <c r="D1653" s="8" t="s">
        <v>320</v>
      </c>
      <c r="E1653" s="8" t="s">
        <v>320</v>
      </c>
    </row>
    <row r="1654" spans="1:5">
      <c r="A1654">
        <v>6092903705</v>
      </c>
      <c r="B1654" s="22" t="s">
        <v>2062</v>
      </c>
      <c r="C1654" t="s">
        <v>216</v>
      </c>
      <c r="D1654" s="8" t="s">
        <v>174</v>
      </c>
      <c r="E1654" s="8" t="s">
        <v>174</v>
      </c>
    </row>
    <row r="1655" spans="1:5">
      <c r="A1655">
        <v>6092903705</v>
      </c>
      <c r="B1655" s="22" t="s">
        <v>2063</v>
      </c>
      <c r="C1655" t="s">
        <v>216</v>
      </c>
      <c r="D1655" s="8" t="s">
        <v>169</v>
      </c>
      <c r="E1655" s="8" t="s">
        <v>169</v>
      </c>
    </row>
    <row r="1656" spans="1:5">
      <c r="A1656">
        <v>6092903705</v>
      </c>
      <c r="B1656" s="22" t="s">
        <v>2064</v>
      </c>
      <c r="C1656" t="s">
        <v>216</v>
      </c>
      <c r="D1656" s="8" t="s">
        <v>176</v>
      </c>
      <c r="E1656" s="8" t="s">
        <v>176</v>
      </c>
    </row>
    <row r="1657" spans="1:5">
      <c r="A1657">
        <v>6092903705</v>
      </c>
      <c r="B1657" s="22" t="s">
        <v>2065</v>
      </c>
      <c r="C1657" t="s">
        <v>216</v>
      </c>
      <c r="D1657" s="8" t="s">
        <v>323</v>
      </c>
      <c r="E1657" s="8" t="s">
        <v>323</v>
      </c>
    </row>
    <row r="1658" spans="1:5">
      <c r="A1658">
        <v>6092903705</v>
      </c>
      <c r="B1658" s="22" t="s">
        <v>2066</v>
      </c>
      <c r="C1658" t="s">
        <v>216</v>
      </c>
      <c r="D1658" s="8" t="s">
        <v>178</v>
      </c>
      <c r="E1658" s="8" t="s">
        <v>178</v>
      </c>
    </row>
    <row r="1659" spans="1:5">
      <c r="A1659">
        <v>6092903705</v>
      </c>
      <c r="B1659" s="22" t="s">
        <v>2067</v>
      </c>
      <c r="C1659" t="s">
        <v>216</v>
      </c>
      <c r="D1659" s="8" t="s">
        <v>324</v>
      </c>
      <c r="E1659" s="8" t="s">
        <v>324</v>
      </c>
    </row>
    <row r="1660" spans="1:5">
      <c r="A1660">
        <v>6092903705</v>
      </c>
      <c r="B1660" s="22" t="s">
        <v>2068</v>
      </c>
      <c r="C1660" t="s">
        <v>216</v>
      </c>
      <c r="D1660" s="8" t="s">
        <v>180</v>
      </c>
      <c r="E1660" s="8" t="s">
        <v>180</v>
      </c>
    </row>
    <row r="1661" spans="1:5">
      <c r="A1661">
        <v>6092903705</v>
      </c>
      <c r="B1661" s="22" t="s">
        <v>2069</v>
      </c>
      <c r="C1661" t="s">
        <v>216</v>
      </c>
      <c r="D1661" s="8" t="s">
        <v>325</v>
      </c>
      <c r="E1661" s="8" t="s">
        <v>325</v>
      </c>
    </row>
    <row r="1662" spans="1:5">
      <c r="A1662">
        <v>6092903705</v>
      </c>
      <c r="B1662" s="22" t="s">
        <v>2070</v>
      </c>
      <c r="C1662" t="s">
        <v>216</v>
      </c>
      <c r="D1662" s="8" t="s">
        <v>182</v>
      </c>
      <c r="E1662" s="8" t="s">
        <v>182</v>
      </c>
    </row>
    <row r="1663" spans="1:5">
      <c r="A1663">
        <v>6092903705</v>
      </c>
      <c r="B1663" s="22" t="s">
        <v>2071</v>
      </c>
      <c r="C1663" t="s">
        <v>216</v>
      </c>
      <c r="D1663" s="8" t="s">
        <v>326</v>
      </c>
      <c r="E1663" s="8" t="s">
        <v>326</v>
      </c>
    </row>
    <row r="1664" spans="1:5">
      <c r="A1664">
        <v>6092903705</v>
      </c>
      <c r="B1664" s="22" t="s">
        <v>2072</v>
      </c>
      <c r="C1664" t="s">
        <v>216</v>
      </c>
      <c r="D1664" s="8" t="s">
        <v>184</v>
      </c>
      <c r="E1664" s="8" t="s">
        <v>184</v>
      </c>
    </row>
    <row r="1665" spans="1:5">
      <c r="A1665">
        <v>6092903705</v>
      </c>
      <c r="B1665" s="22" t="s">
        <v>2073</v>
      </c>
      <c r="C1665" t="s">
        <v>216</v>
      </c>
      <c r="D1665" s="8" t="s">
        <v>330</v>
      </c>
      <c r="E1665" s="8" t="s">
        <v>330</v>
      </c>
    </row>
    <row r="1666" spans="1:5">
      <c r="A1666">
        <v>6092903705</v>
      </c>
      <c r="B1666" s="22" t="s">
        <v>2074</v>
      </c>
      <c r="C1666" t="s">
        <v>216</v>
      </c>
      <c r="D1666" s="8" t="s">
        <v>186</v>
      </c>
      <c r="E1666" s="8" t="s">
        <v>186</v>
      </c>
    </row>
    <row r="1667" spans="1:5">
      <c r="A1667">
        <v>6092903705</v>
      </c>
      <c r="B1667" s="22" t="s">
        <v>2075</v>
      </c>
      <c r="C1667" t="s">
        <v>216</v>
      </c>
      <c r="D1667" s="8" t="s">
        <v>333</v>
      </c>
      <c r="E1667" s="8" t="s">
        <v>333</v>
      </c>
    </row>
    <row r="1668" spans="1:5">
      <c r="A1668">
        <v>6092903705</v>
      </c>
      <c r="B1668" s="22" t="s">
        <v>2076</v>
      </c>
      <c r="C1668" t="s">
        <v>216</v>
      </c>
      <c r="D1668" s="8" t="s">
        <v>188</v>
      </c>
      <c r="E1668" s="8" t="s">
        <v>188</v>
      </c>
    </row>
    <row r="1669" spans="1:5">
      <c r="A1669">
        <v>6092903705</v>
      </c>
      <c r="B1669" s="22" t="s">
        <v>2077</v>
      </c>
      <c r="C1669" t="s">
        <v>216</v>
      </c>
      <c r="D1669" s="8" t="s">
        <v>335</v>
      </c>
      <c r="E1669" s="8" t="s">
        <v>335</v>
      </c>
    </row>
    <row r="1670" spans="1:5">
      <c r="A1670">
        <v>6092903705</v>
      </c>
      <c r="B1670" s="22" t="s">
        <v>2078</v>
      </c>
      <c r="C1670" t="s">
        <v>216</v>
      </c>
      <c r="D1670" s="8" t="s">
        <v>190</v>
      </c>
      <c r="E1670" s="8" t="s">
        <v>190</v>
      </c>
    </row>
    <row r="1671" spans="1:5">
      <c r="A1671">
        <v>6092903705</v>
      </c>
      <c r="B1671" s="22" t="s">
        <v>2079</v>
      </c>
      <c r="C1671" t="s">
        <v>216</v>
      </c>
      <c r="D1671" s="8" t="s">
        <v>338</v>
      </c>
      <c r="E1671" s="8" t="s">
        <v>338</v>
      </c>
    </row>
    <row r="1672" spans="1:5">
      <c r="A1672">
        <v>6092903705</v>
      </c>
      <c r="B1672" s="22" t="s">
        <v>2080</v>
      </c>
      <c r="C1672" t="s">
        <v>216</v>
      </c>
      <c r="D1672" s="8" t="s">
        <v>340</v>
      </c>
      <c r="E1672" s="8" t="s">
        <v>340</v>
      </c>
    </row>
    <row r="1673" spans="1:5">
      <c r="A1673">
        <v>6092903705</v>
      </c>
      <c r="B1673" s="22" t="s">
        <v>2081</v>
      </c>
      <c r="C1673" t="s">
        <v>216</v>
      </c>
      <c r="D1673" s="8" t="s">
        <v>342</v>
      </c>
      <c r="E1673" s="8" t="s">
        <v>342</v>
      </c>
    </row>
    <row r="1674" spans="1:5">
      <c r="A1674">
        <v>6092903705</v>
      </c>
      <c r="B1674" s="22" t="s">
        <v>2082</v>
      </c>
      <c r="C1674" t="s">
        <v>216</v>
      </c>
      <c r="D1674" s="8" t="s">
        <v>344</v>
      </c>
      <c r="E1674" s="8" t="s">
        <v>344</v>
      </c>
    </row>
    <row r="1675" spans="1:5">
      <c r="A1675">
        <v>6092903705</v>
      </c>
      <c r="B1675" s="22" t="s">
        <v>2083</v>
      </c>
      <c r="C1675" t="s">
        <v>217</v>
      </c>
      <c r="D1675" s="8" t="s">
        <v>172</v>
      </c>
      <c r="E1675" s="8" t="s">
        <v>172</v>
      </c>
    </row>
    <row r="1676" spans="1:5">
      <c r="A1676">
        <v>6092903705</v>
      </c>
      <c r="B1676" s="22" t="s">
        <v>2084</v>
      </c>
      <c r="C1676" t="s">
        <v>217</v>
      </c>
      <c r="D1676" s="8" t="s">
        <v>320</v>
      </c>
      <c r="E1676" s="8" t="s">
        <v>320</v>
      </c>
    </row>
    <row r="1677" spans="1:5">
      <c r="A1677">
        <v>6092903705</v>
      </c>
      <c r="B1677" s="22" t="s">
        <v>2085</v>
      </c>
      <c r="C1677" t="s">
        <v>217</v>
      </c>
      <c r="D1677" s="8" t="s">
        <v>174</v>
      </c>
      <c r="E1677" s="8" t="s">
        <v>174</v>
      </c>
    </row>
    <row r="1678" spans="1:5">
      <c r="A1678">
        <v>6092903705</v>
      </c>
      <c r="B1678" s="22" t="s">
        <v>2086</v>
      </c>
      <c r="C1678" t="s">
        <v>217</v>
      </c>
      <c r="D1678" s="8" t="s">
        <v>169</v>
      </c>
      <c r="E1678" s="8" t="s">
        <v>169</v>
      </c>
    </row>
    <row r="1679" spans="1:5">
      <c r="A1679">
        <v>6092903705</v>
      </c>
      <c r="B1679" s="22" t="s">
        <v>2087</v>
      </c>
      <c r="C1679" t="s">
        <v>217</v>
      </c>
      <c r="D1679" s="8" t="s">
        <v>176</v>
      </c>
      <c r="E1679" s="8" t="s">
        <v>176</v>
      </c>
    </row>
    <row r="1680" spans="1:5">
      <c r="A1680">
        <v>6092903705</v>
      </c>
      <c r="B1680" s="22" t="s">
        <v>2088</v>
      </c>
      <c r="C1680" t="s">
        <v>217</v>
      </c>
      <c r="D1680" s="8" t="s">
        <v>323</v>
      </c>
      <c r="E1680" s="8" t="s">
        <v>323</v>
      </c>
    </row>
    <row r="1681" spans="1:5">
      <c r="A1681">
        <v>6092903705</v>
      </c>
      <c r="B1681" s="22" t="s">
        <v>2089</v>
      </c>
      <c r="C1681" t="s">
        <v>217</v>
      </c>
      <c r="D1681" s="8" t="s">
        <v>178</v>
      </c>
      <c r="E1681" s="8" t="s">
        <v>178</v>
      </c>
    </row>
    <row r="1682" spans="1:5">
      <c r="A1682">
        <v>6092903705</v>
      </c>
      <c r="B1682" s="22" t="s">
        <v>2090</v>
      </c>
      <c r="C1682" t="s">
        <v>217</v>
      </c>
      <c r="D1682" s="8" t="s">
        <v>324</v>
      </c>
      <c r="E1682" s="8" t="s">
        <v>324</v>
      </c>
    </row>
    <row r="1683" spans="1:5">
      <c r="A1683">
        <v>6092903705</v>
      </c>
      <c r="B1683" s="22" t="s">
        <v>2091</v>
      </c>
      <c r="C1683" t="s">
        <v>217</v>
      </c>
      <c r="D1683" s="8" t="s">
        <v>180</v>
      </c>
      <c r="E1683" s="8" t="s">
        <v>180</v>
      </c>
    </row>
    <row r="1684" spans="1:5">
      <c r="A1684">
        <v>6092903705</v>
      </c>
      <c r="B1684" s="22" t="s">
        <v>2092</v>
      </c>
      <c r="C1684" t="s">
        <v>217</v>
      </c>
      <c r="D1684" s="8" t="s">
        <v>325</v>
      </c>
      <c r="E1684" s="8" t="s">
        <v>325</v>
      </c>
    </row>
    <row r="1685" spans="1:5">
      <c r="A1685">
        <v>6092903705</v>
      </c>
      <c r="B1685" s="22" t="s">
        <v>2093</v>
      </c>
      <c r="C1685" t="s">
        <v>217</v>
      </c>
      <c r="D1685" s="8" t="s">
        <v>182</v>
      </c>
      <c r="E1685" s="8" t="s">
        <v>182</v>
      </c>
    </row>
    <row r="1686" spans="1:5">
      <c r="A1686">
        <v>6092903705</v>
      </c>
      <c r="B1686" s="22" t="s">
        <v>2094</v>
      </c>
      <c r="C1686" t="s">
        <v>217</v>
      </c>
      <c r="D1686" s="8" t="s">
        <v>326</v>
      </c>
      <c r="E1686" s="8" t="s">
        <v>326</v>
      </c>
    </row>
    <row r="1687" spans="1:5">
      <c r="A1687">
        <v>6092903705</v>
      </c>
      <c r="B1687" s="22" t="s">
        <v>2095</v>
      </c>
      <c r="C1687" t="s">
        <v>217</v>
      </c>
      <c r="D1687" s="8" t="s">
        <v>184</v>
      </c>
      <c r="E1687" s="8" t="s">
        <v>184</v>
      </c>
    </row>
    <row r="1688" spans="1:5">
      <c r="A1688">
        <v>6092903705</v>
      </c>
      <c r="B1688" s="22" t="s">
        <v>2096</v>
      </c>
      <c r="C1688" t="s">
        <v>217</v>
      </c>
      <c r="D1688" s="8" t="s">
        <v>330</v>
      </c>
      <c r="E1688" s="8" t="s">
        <v>330</v>
      </c>
    </row>
    <row r="1689" spans="1:5">
      <c r="A1689">
        <v>6092903705</v>
      </c>
      <c r="B1689" s="22" t="s">
        <v>2097</v>
      </c>
      <c r="C1689" t="s">
        <v>217</v>
      </c>
      <c r="D1689" s="8" t="s">
        <v>186</v>
      </c>
      <c r="E1689" s="8" t="s">
        <v>186</v>
      </c>
    </row>
    <row r="1690" spans="1:5">
      <c r="A1690">
        <v>6092903705</v>
      </c>
      <c r="B1690" s="22" t="s">
        <v>2098</v>
      </c>
      <c r="C1690" t="s">
        <v>217</v>
      </c>
      <c r="D1690" s="8" t="s">
        <v>333</v>
      </c>
      <c r="E1690" s="8" t="s">
        <v>333</v>
      </c>
    </row>
    <row r="1691" spans="1:5">
      <c r="A1691">
        <v>6092903705</v>
      </c>
      <c r="B1691" s="22" t="s">
        <v>2099</v>
      </c>
      <c r="C1691" t="s">
        <v>217</v>
      </c>
      <c r="D1691" s="8" t="s">
        <v>188</v>
      </c>
      <c r="E1691" s="8" t="s">
        <v>188</v>
      </c>
    </row>
    <row r="1692" spans="1:5">
      <c r="A1692">
        <v>6092903705</v>
      </c>
      <c r="B1692" s="22" t="s">
        <v>2100</v>
      </c>
      <c r="C1692" t="s">
        <v>217</v>
      </c>
      <c r="D1692" s="8" t="s">
        <v>335</v>
      </c>
      <c r="E1692" s="8" t="s">
        <v>335</v>
      </c>
    </row>
    <row r="1693" spans="1:5">
      <c r="A1693">
        <v>6092903705</v>
      </c>
      <c r="B1693" s="22" t="s">
        <v>2101</v>
      </c>
      <c r="C1693" t="s">
        <v>217</v>
      </c>
      <c r="D1693" s="8" t="s">
        <v>190</v>
      </c>
      <c r="E1693" s="8" t="s">
        <v>190</v>
      </c>
    </row>
    <row r="1694" spans="1:5">
      <c r="A1694">
        <v>6092903705</v>
      </c>
      <c r="B1694" s="27" t="s">
        <v>2102</v>
      </c>
      <c r="C1694" t="s">
        <v>552</v>
      </c>
      <c r="D1694" s="8" t="s">
        <v>172</v>
      </c>
      <c r="E1694" s="8" t="s">
        <v>172</v>
      </c>
    </row>
    <row r="1695" spans="1:5">
      <c r="A1695">
        <v>6092903705</v>
      </c>
      <c r="B1695" s="27" t="s">
        <v>2103</v>
      </c>
      <c r="C1695" t="s">
        <v>552</v>
      </c>
      <c r="D1695" s="8" t="s">
        <v>320</v>
      </c>
      <c r="E1695" s="8" t="s">
        <v>320</v>
      </c>
    </row>
    <row r="1696" spans="1:5">
      <c r="A1696">
        <v>6092903705</v>
      </c>
      <c r="B1696" s="27" t="s">
        <v>2104</v>
      </c>
      <c r="C1696" t="s">
        <v>552</v>
      </c>
      <c r="D1696" s="8" t="s">
        <v>174</v>
      </c>
      <c r="E1696" s="8" t="s">
        <v>174</v>
      </c>
    </row>
    <row r="1697" spans="1:5">
      <c r="A1697">
        <v>6092903705</v>
      </c>
      <c r="B1697" s="27" t="s">
        <v>2105</v>
      </c>
      <c r="C1697" t="s">
        <v>552</v>
      </c>
      <c r="D1697" s="8" t="s">
        <v>169</v>
      </c>
      <c r="E1697" s="8" t="s">
        <v>169</v>
      </c>
    </row>
    <row r="1698" spans="1:5">
      <c r="A1698">
        <v>6092903705</v>
      </c>
      <c r="B1698" s="27" t="s">
        <v>2106</v>
      </c>
      <c r="C1698" t="s">
        <v>552</v>
      </c>
      <c r="D1698" s="8" t="s">
        <v>176</v>
      </c>
      <c r="E1698" s="8" t="s">
        <v>176</v>
      </c>
    </row>
    <row r="1699" spans="1:5">
      <c r="A1699">
        <v>6092903705</v>
      </c>
      <c r="B1699" s="27" t="s">
        <v>2107</v>
      </c>
      <c r="C1699" t="s">
        <v>552</v>
      </c>
      <c r="D1699" s="8" t="s">
        <v>323</v>
      </c>
      <c r="E1699" s="8" t="s">
        <v>323</v>
      </c>
    </row>
    <row r="1700" spans="1:5">
      <c r="A1700">
        <v>6092903705</v>
      </c>
      <c r="B1700" s="27" t="s">
        <v>2108</v>
      </c>
      <c r="C1700" t="s">
        <v>552</v>
      </c>
      <c r="D1700" s="8" t="s">
        <v>178</v>
      </c>
      <c r="E1700" s="8" t="s">
        <v>178</v>
      </c>
    </row>
    <row r="1701" spans="1:5">
      <c r="A1701">
        <v>6092903705</v>
      </c>
      <c r="B1701" s="27" t="s">
        <v>2109</v>
      </c>
      <c r="C1701" t="s">
        <v>552</v>
      </c>
      <c r="D1701" s="8" t="s">
        <v>324</v>
      </c>
      <c r="E1701" s="8" t="s">
        <v>324</v>
      </c>
    </row>
    <row r="1702" spans="1:5">
      <c r="A1702">
        <v>6092903705</v>
      </c>
      <c r="B1702" s="27" t="s">
        <v>2110</v>
      </c>
      <c r="C1702" t="s">
        <v>552</v>
      </c>
      <c r="D1702" s="8" t="s">
        <v>180</v>
      </c>
      <c r="E1702" s="8" t="s">
        <v>180</v>
      </c>
    </row>
    <row r="1703" spans="1:5">
      <c r="A1703">
        <v>6092903705</v>
      </c>
      <c r="B1703" s="27" t="s">
        <v>2111</v>
      </c>
      <c r="C1703" t="s">
        <v>552</v>
      </c>
      <c r="D1703" s="8" t="s">
        <v>325</v>
      </c>
      <c r="E1703" s="8" t="s">
        <v>325</v>
      </c>
    </row>
    <row r="1704" spans="1:5">
      <c r="A1704">
        <v>6092903705</v>
      </c>
      <c r="B1704" s="27" t="s">
        <v>2112</v>
      </c>
      <c r="C1704" t="s">
        <v>552</v>
      </c>
      <c r="D1704" s="8" t="s">
        <v>182</v>
      </c>
      <c r="E1704" s="8" t="s">
        <v>182</v>
      </c>
    </row>
    <row r="1705" spans="1:5">
      <c r="A1705">
        <v>6092903705</v>
      </c>
      <c r="B1705" s="27" t="s">
        <v>2113</v>
      </c>
      <c r="C1705" t="s">
        <v>552</v>
      </c>
      <c r="D1705" s="8" t="s">
        <v>326</v>
      </c>
      <c r="E1705" s="8" t="s">
        <v>326</v>
      </c>
    </row>
    <row r="1706" spans="1:5">
      <c r="A1706">
        <v>6092903705</v>
      </c>
      <c r="B1706" s="27" t="s">
        <v>2114</v>
      </c>
      <c r="C1706" t="s">
        <v>552</v>
      </c>
      <c r="D1706" s="8" t="s">
        <v>184</v>
      </c>
      <c r="E1706" s="8" t="s">
        <v>184</v>
      </c>
    </row>
    <row r="1707" spans="1:5">
      <c r="A1707">
        <v>6092903705</v>
      </c>
      <c r="B1707" s="27" t="s">
        <v>2115</v>
      </c>
      <c r="C1707" t="s">
        <v>552</v>
      </c>
      <c r="D1707" s="8" t="s">
        <v>330</v>
      </c>
      <c r="E1707" s="8" t="s">
        <v>330</v>
      </c>
    </row>
    <row r="1708" spans="1:5">
      <c r="A1708">
        <v>6092903705</v>
      </c>
      <c r="B1708" s="27" t="s">
        <v>2116</v>
      </c>
      <c r="C1708" t="s">
        <v>552</v>
      </c>
      <c r="D1708" s="8" t="s">
        <v>186</v>
      </c>
      <c r="E1708" s="8" t="s">
        <v>186</v>
      </c>
    </row>
    <row r="1709" spans="1:5">
      <c r="A1709">
        <v>6092903705</v>
      </c>
      <c r="B1709" s="27" t="s">
        <v>2117</v>
      </c>
      <c r="C1709" t="s">
        <v>552</v>
      </c>
      <c r="D1709" s="8" t="s">
        <v>333</v>
      </c>
      <c r="E1709" s="8" t="s">
        <v>333</v>
      </c>
    </row>
    <row r="1710" spans="1:5">
      <c r="A1710">
        <v>6092903705</v>
      </c>
      <c r="B1710" s="27" t="s">
        <v>2118</v>
      </c>
      <c r="C1710" t="s">
        <v>552</v>
      </c>
      <c r="D1710" s="8" t="s">
        <v>188</v>
      </c>
      <c r="E1710" s="8" t="s">
        <v>188</v>
      </c>
    </row>
    <row r="1711" spans="1:5">
      <c r="A1711">
        <v>6092903705</v>
      </c>
      <c r="B1711" s="27" t="s">
        <v>2119</v>
      </c>
      <c r="C1711" t="s">
        <v>552</v>
      </c>
      <c r="D1711" s="8" t="s">
        <v>335</v>
      </c>
      <c r="E1711" s="8" t="s">
        <v>335</v>
      </c>
    </row>
    <row r="1712" spans="1:5">
      <c r="A1712">
        <v>6092903705</v>
      </c>
      <c r="B1712" s="27" t="s">
        <v>2120</v>
      </c>
      <c r="C1712" t="s">
        <v>552</v>
      </c>
      <c r="D1712" s="8" t="s">
        <v>190</v>
      </c>
      <c r="E1712" s="8" t="s">
        <v>190</v>
      </c>
    </row>
    <row r="1713" spans="1:5">
      <c r="A1713">
        <v>6092903705</v>
      </c>
      <c r="B1713" s="28" t="s">
        <v>2121</v>
      </c>
      <c r="C1713" t="s">
        <v>218</v>
      </c>
      <c r="D1713" s="8" t="s">
        <v>172</v>
      </c>
      <c r="E1713" s="8" t="s">
        <v>172</v>
      </c>
    </row>
    <row r="1714" spans="1:5">
      <c r="A1714">
        <v>6092903705</v>
      </c>
      <c r="B1714" s="28" t="s">
        <v>2122</v>
      </c>
      <c r="C1714" t="s">
        <v>218</v>
      </c>
      <c r="D1714" s="8" t="s">
        <v>320</v>
      </c>
      <c r="E1714" s="8" t="s">
        <v>320</v>
      </c>
    </row>
    <row r="1715" spans="1:5">
      <c r="A1715">
        <v>6092903705</v>
      </c>
      <c r="B1715" s="28" t="s">
        <v>2123</v>
      </c>
      <c r="C1715" t="s">
        <v>218</v>
      </c>
      <c r="D1715" s="8" t="s">
        <v>174</v>
      </c>
      <c r="E1715" s="8" t="s">
        <v>174</v>
      </c>
    </row>
    <row r="1716" spans="1:5">
      <c r="A1716">
        <v>6092903705</v>
      </c>
      <c r="B1716" s="28" t="s">
        <v>2124</v>
      </c>
      <c r="C1716" t="s">
        <v>218</v>
      </c>
      <c r="D1716" s="8" t="s">
        <v>169</v>
      </c>
      <c r="E1716" s="8" t="s">
        <v>169</v>
      </c>
    </row>
    <row r="1717" spans="1:5">
      <c r="A1717">
        <v>6092903705</v>
      </c>
      <c r="B1717" s="28" t="s">
        <v>2125</v>
      </c>
      <c r="C1717" t="s">
        <v>218</v>
      </c>
      <c r="D1717" s="8" t="s">
        <v>176</v>
      </c>
      <c r="E1717" s="8" t="s">
        <v>176</v>
      </c>
    </row>
    <row r="1718" spans="1:5">
      <c r="A1718">
        <v>6092903705</v>
      </c>
      <c r="B1718" s="28" t="s">
        <v>2126</v>
      </c>
      <c r="C1718" t="s">
        <v>218</v>
      </c>
      <c r="D1718" s="8" t="s">
        <v>323</v>
      </c>
      <c r="E1718" s="8" t="s">
        <v>323</v>
      </c>
    </row>
    <row r="1719" spans="1:5">
      <c r="A1719">
        <v>6092903705</v>
      </c>
      <c r="B1719" s="28" t="s">
        <v>2127</v>
      </c>
      <c r="C1719" t="s">
        <v>218</v>
      </c>
      <c r="D1719" s="8" t="s">
        <v>178</v>
      </c>
      <c r="E1719" s="8" t="s">
        <v>178</v>
      </c>
    </row>
    <row r="1720" spans="1:5">
      <c r="A1720">
        <v>6092903705</v>
      </c>
      <c r="B1720" s="28" t="s">
        <v>2128</v>
      </c>
      <c r="C1720" t="s">
        <v>218</v>
      </c>
      <c r="D1720" s="8" t="s">
        <v>324</v>
      </c>
      <c r="E1720" s="8" t="s">
        <v>324</v>
      </c>
    </row>
    <row r="1721" spans="1:5">
      <c r="A1721">
        <v>6092903705</v>
      </c>
      <c r="B1721" s="28" t="s">
        <v>2129</v>
      </c>
      <c r="C1721" t="s">
        <v>218</v>
      </c>
      <c r="D1721" s="8" t="s">
        <v>180</v>
      </c>
      <c r="E1721" s="8" t="s">
        <v>180</v>
      </c>
    </row>
    <row r="1722" spans="1:5">
      <c r="A1722">
        <v>6092903705</v>
      </c>
      <c r="B1722" s="28" t="s">
        <v>2130</v>
      </c>
      <c r="C1722" t="s">
        <v>218</v>
      </c>
      <c r="D1722" s="8" t="s">
        <v>325</v>
      </c>
      <c r="E1722" s="8" t="s">
        <v>325</v>
      </c>
    </row>
    <row r="1723" spans="1:5">
      <c r="A1723">
        <v>6092903705</v>
      </c>
      <c r="B1723" s="28" t="s">
        <v>2131</v>
      </c>
      <c r="C1723" t="s">
        <v>218</v>
      </c>
      <c r="D1723" s="8" t="s">
        <v>182</v>
      </c>
      <c r="E1723" s="8" t="s">
        <v>182</v>
      </c>
    </row>
    <row r="1724" spans="1:5">
      <c r="A1724">
        <v>6092903705</v>
      </c>
      <c r="B1724" s="28" t="s">
        <v>2132</v>
      </c>
      <c r="C1724" t="s">
        <v>218</v>
      </c>
      <c r="D1724" s="8" t="s">
        <v>326</v>
      </c>
      <c r="E1724" s="8" t="s">
        <v>326</v>
      </c>
    </row>
    <row r="1725" spans="1:5">
      <c r="A1725">
        <v>6092903705</v>
      </c>
      <c r="B1725" s="28" t="s">
        <v>2133</v>
      </c>
      <c r="C1725" t="s">
        <v>218</v>
      </c>
      <c r="D1725" s="8" t="s">
        <v>184</v>
      </c>
      <c r="E1725" s="8" t="s">
        <v>184</v>
      </c>
    </row>
    <row r="1726" spans="1:5">
      <c r="A1726">
        <v>6092903705</v>
      </c>
      <c r="B1726" s="28" t="s">
        <v>2134</v>
      </c>
      <c r="C1726" t="s">
        <v>218</v>
      </c>
      <c r="D1726" s="8" t="s">
        <v>330</v>
      </c>
      <c r="E1726" s="8" t="s">
        <v>330</v>
      </c>
    </row>
    <row r="1727" spans="1:5">
      <c r="A1727">
        <v>6092903705</v>
      </c>
      <c r="B1727" s="28" t="s">
        <v>2135</v>
      </c>
      <c r="C1727" t="s">
        <v>218</v>
      </c>
      <c r="D1727" s="8" t="s">
        <v>186</v>
      </c>
      <c r="E1727" s="8" t="s">
        <v>186</v>
      </c>
    </row>
    <row r="1728" spans="1:5">
      <c r="A1728">
        <v>6092903705</v>
      </c>
      <c r="B1728" s="28" t="s">
        <v>2136</v>
      </c>
      <c r="C1728" t="s">
        <v>218</v>
      </c>
      <c r="D1728" s="8" t="s">
        <v>333</v>
      </c>
      <c r="E1728" s="8" t="s">
        <v>333</v>
      </c>
    </row>
    <row r="1729" spans="1:5">
      <c r="A1729">
        <v>6092903705</v>
      </c>
      <c r="B1729" s="28" t="s">
        <v>2137</v>
      </c>
      <c r="C1729" t="s">
        <v>218</v>
      </c>
      <c r="D1729" s="8" t="s">
        <v>188</v>
      </c>
      <c r="E1729" s="8" t="s">
        <v>188</v>
      </c>
    </row>
    <row r="1730" spans="1:5">
      <c r="A1730">
        <v>6092903705</v>
      </c>
      <c r="B1730" s="28" t="s">
        <v>2138</v>
      </c>
      <c r="C1730" t="s">
        <v>218</v>
      </c>
      <c r="D1730" s="8" t="s">
        <v>335</v>
      </c>
      <c r="E1730" s="8" t="s">
        <v>335</v>
      </c>
    </row>
    <row r="1731" spans="1:5">
      <c r="A1731">
        <v>6092903705</v>
      </c>
      <c r="B1731" s="28" t="s">
        <v>2139</v>
      </c>
      <c r="C1731" t="s">
        <v>218</v>
      </c>
      <c r="D1731" s="8" t="s">
        <v>190</v>
      </c>
      <c r="E1731" s="8" t="s">
        <v>190</v>
      </c>
    </row>
    <row r="1732" spans="1:5">
      <c r="A1732">
        <v>6092903705</v>
      </c>
      <c r="B1732" s="22" t="s">
        <v>2140</v>
      </c>
      <c r="C1732" t="s">
        <v>219</v>
      </c>
      <c r="D1732" s="8" t="s">
        <v>70</v>
      </c>
      <c r="E1732" s="8" t="s">
        <v>70</v>
      </c>
    </row>
    <row r="1733" spans="1:5">
      <c r="A1733">
        <v>6092903705</v>
      </c>
      <c r="B1733" s="22" t="s">
        <v>2141</v>
      </c>
      <c r="C1733" t="s">
        <v>219</v>
      </c>
      <c r="D1733" s="8" t="s">
        <v>172</v>
      </c>
      <c r="E1733" s="8" t="s">
        <v>172</v>
      </c>
    </row>
    <row r="1734" spans="1:5">
      <c r="A1734">
        <v>6092903705</v>
      </c>
      <c r="B1734" s="22" t="s">
        <v>2142</v>
      </c>
      <c r="C1734" t="s">
        <v>219</v>
      </c>
      <c r="D1734" s="8" t="s">
        <v>320</v>
      </c>
      <c r="E1734" s="8" t="s">
        <v>320</v>
      </c>
    </row>
    <row r="1735" spans="1:5">
      <c r="A1735">
        <v>6092903705</v>
      </c>
      <c r="B1735" s="22" t="s">
        <v>2143</v>
      </c>
      <c r="C1735" t="s">
        <v>219</v>
      </c>
      <c r="D1735" s="8" t="s">
        <v>174</v>
      </c>
      <c r="E1735" s="8" t="s">
        <v>174</v>
      </c>
    </row>
    <row r="1736" spans="1:5">
      <c r="A1736">
        <v>6092903705</v>
      </c>
      <c r="B1736" s="22" t="s">
        <v>2144</v>
      </c>
      <c r="C1736" t="s">
        <v>219</v>
      </c>
      <c r="D1736" s="8" t="s">
        <v>169</v>
      </c>
      <c r="E1736" s="8" t="s">
        <v>169</v>
      </c>
    </row>
    <row r="1737" spans="1:5">
      <c r="A1737">
        <v>6092903705</v>
      </c>
      <c r="B1737" s="22" t="s">
        <v>2145</v>
      </c>
      <c r="C1737" t="s">
        <v>219</v>
      </c>
      <c r="D1737" s="8" t="s">
        <v>176</v>
      </c>
      <c r="E1737" s="8" t="s">
        <v>176</v>
      </c>
    </row>
    <row r="1738" spans="1:5">
      <c r="A1738">
        <v>6092903705</v>
      </c>
      <c r="B1738" s="22" t="s">
        <v>2146</v>
      </c>
      <c r="C1738" t="s">
        <v>219</v>
      </c>
      <c r="D1738" s="8" t="s">
        <v>323</v>
      </c>
      <c r="E1738" s="8" t="s">
        <v>323</v>
      </c>
    </row>
    <row r="1739" spans="1:5">
      <c r="A1739">
        <v>6092903705</v>
      </c>
      <c r="B1739" s="22" t="s">
        <v>2147</v>
      </c>
      <c r="C1739" t="s">
        <v>219</v>
      </c>
      <c r="D1739" s="8" t="s">
        <v>178</v>
      </c>
      <c r="E1739" s="8" t="s">
        <v>178</v>
      </c>
    </row>
    <row r="1740" spans="1:5">
      <c r="A1740">
        <v>6092903705</v>
      </c>
      <c r="B1740" s="22" t="s">
        <v>2148</v>
      </c>
      <c r="C1740" t="s">
        <v>219</v>
      </c>
      <c r="D1740" s="8" t="s">
        <v>324</v>
      </c>
      <c r="E1740" s="8" t="s">
        <v>324</v>
      </c>
    </row>
    <row r="1741" spans="1:5">
      <c r="A1741">
        <v>6092903705</v>
      </c>
      <c r="B1741" s="22" t="s">
        <v>2149</v>
      </c>
      <c r="C1741" t="s">
        <v>219</v>
      </c>
      <c r="D1741" s="8" t="s">
        <v>180</v>
      </c>
      <c r="E1741" s="8" t="s">
        <v>180</v>
      </c>
    </row>
    <row r="1742" spans="1:5">
      <c r="A1742">
        <v>6092903705</v>
      </c>
      <c r="B1742" s="22" t="s">
        <v>2150</v>
      </c>
      <c r="C1742" t="s">
        <v>219</v>
      </c>
      <c r="D1742" s="8" t="s">
        <v>325</v>
      </c>
      <c r="E1742" s="8" t="s">
        <v>325</v>
      </c>
    </row>
    <row r="1743" spans="1:5">
      <c r="A1743">
        <v>6092903705</v>
      </c>
      <c r="B1743" s="22" t="s">
        <v>2151</v>
      </c>
      <c r="C1743" t="s">
        <v>219</v>
      </c>
      <c r="D1743" s="8" t="s">
        <v>182</v>
      </c>
      <c r="E1743" s="8" t="s">
        <v>182</v>
      </c>
    </row>
    <row r="1744" spans="1:5">
      <c r="A1744">
        <v>6092903705</v>
      </c>
      <c r="B1744" s="29" t="s">
        <v>2152</v>
      </c>
      <c r="C1744" t="s">
        <v>569</v>
      </c>
      <c r="D1744" s="8" t="s">
        <v>172</v>
      </c>
      <c r="E1744" s="8" t="s">
        <v>172</v>
      </c>
    </row>
    <row r="1745" spans="1:5">
      <c r="A1745">
        <v>6092903705</v>
      </c>
      <c r="B1745" s="29" t="s">
        <v>2153</v>
      </c>
      <c r="C1745" t="s">
        <v>569</v>
      </c>
      <c r="D1745" s="8" t="s">
        <v>320</v>
      </c>
      <c r="E1745" s="8" t="s">
        <v>320</v>
      </c>
    </row>
    <row r="1746" spans="1:5">
      <c r="A1746">
        <v>6092903705</v>
      </c>
      <c r="B1746" s="29" t="s">
        <v>2154</v>
      </c>
      <c r="C1746" t="s">
        <v>569</v>
      </c>
      <c r="D1746" s="8" t="s">
        <v>174</v>
      </c>
      <c r="E1746" s="8" t="s">
        <v>174</v>
      </c>
    </row>
    <row r="1747" spans="1:5">
      <c r="A1747">
        <v>6092903705</v>
      </c>
      <c r="B1747" s="29" t="s">
        <v>2155</v>
      </c>
      <c r="C1747" t="s">
        <v>569</v>
      </c>
      <c r="D1747" s="8" t="s">
        <v>169</v>
      </c>
      <c r="E1747" s="8" t="s">
        <v>169</v>
      </c>
    </row>
    <row r="1748" spans="1:5">
      <c r="A1748">
        <v>6092903705</v>
      </c>
      <c r="B1748" s="29" t="s">
        <v>2156</v>
      </c>
      <c r="C1748" t="s">
        <v>569</v>
      </c>
      <c r="D1748" s="8" t="s">
        <v>176</v>
      </c>
      <c r="E1748" s="8" t="s">
        <v>176</v>
      </c>
    </row>
    <row r="1749" spans="1:5">
      <c r="A1749">
        <v>6092903705</v>
      </c>
      <c r="B1749" s="29" t="s">
        <v>2157</v>
      </c>
      <c r="C1749" t="s">
        <v>569</v>
      </c>
      <c r="D1749" s="8" t="s">
        <v>323</v>
      </c>
      <c r="E1749" s="8" t="s">
        <v>323</v>
      </c>
    </row>
    <row r="1750" spans="1:5">
      <c r="A1750">
        <v>6092903705</v>
      </c>
      <c r="B1750" s="29" t="s">
        <v>2158</v>
      </c>
      <c r="C1750" t="s">
        <v>569</v>
      </c>
      <c r="D1750" s="8" t="s">
        <v>178</v>
      </c>
      <c r="E1750" s="8" t="s">
        <v>178</v>
      </c>
    </row>
    <row r="1751" spans="1:5">
      <c r="A1751">
        <v>6092903705</v>
      </c>
      <c r="B1751" s="29" t="s">
        <v>2159</v>
      </c>
      <c r="C1751" t="s">
        <v>569</v>
      </c>
      <c r="D1751" s="8" t="s">
        <v>324</v>
      </c>
      <c r="E1751" s="8" t="s">
        <v>324</v>
      </c>
    </row>
    <row r="1752" spans="1:5">
      <c r="A1752">
        <v>6092903705</v>
      </c>
      <c r="B1752" s="29" t="s">
        <v>2160</v>
      </c>
      <c r="C1752" t="s">
        <v>569</v>
      </c>
      <c r="D1752" s="8" t="s">
        <v>180</v>
      </c>
      <c r="E1752" s="8" t="s">
        <v>180</v>
      </c>
    </row>
    <row r="1753" spans="1:5">
      <c r="A1753">
        <v>6092903705</v>
      </c>
      <c r="B1753" s="29" t="s">
        <v>2161</v>
      </c>
      <c r="C1753" t="s">
        <v>569</v>
      </c>
      <c r="D1753" s="8" t="s">
        <v>325</v>
      </c>
      <c r="E1753" s="8" t="s">
        <v>325</v>
      </c>
    </row>
    <row r="1754" spans="1:5">
      <c r="A1754">
        <v>6092903705</v>
      </c>
      <c r="B1754" s="29" t="s">
        <v>2162</v>
      </c>
      <c r="C1754" t="s">
        <v>569</v>
      </c>
      <c r="D1754" s="8" t="s">
        <v>182</v>
      </c>
      <c r="E1754" s="8" t="s">
        <v>182</v>
      </c>
    </row>
    <row r="1756" spans="1:5">
      <c r="A1756" s="18">
        <v>6092903705</v>
      </c>
      <c r="B1756" t="s">
        <v>1581</v>
      </c>
      <c r="C1756" t="s">
        <v>425</v>
      </c>
      <c r="D1756" s="8">
        <v>10</v>
      </c>
      <c r="E1756" s="8" t="s">
        <v>190</v>
      </c>
    </row>
    <row r="1757" spans="1:5">
      <c r="A1757" s="18">
        <v>6092903705</v>
      </c>
      <c r="B1757" t="s">
        <v>1582</v>
      </c>
      <c r="C1757" t="s">
        <v>425</v>
      </c>
      <c r="D1757" s="8">
        <v>1</v>
      </c>
      <c r="E1757" s="8" t="s">
        <v>172</v>
      </c>
    </row>
    <row r="1758" spans="1:5">
      <c r="A1758" s="18">
        <v>6092903705</v>
      </c>
      <c r="B1758" t="s">
        <v>1583</v>
      </c>
      <c r="C1758" t="s">
        <v>425</v>
      </c>
      <c r="D1758" s="8">
        <v>10.5</v>
      </c>
      <c r="E1758" s="8" t="s">
        <v>338</v>
      </c>
    </row>
    <row r="1759" spans="1:5">
      <c r="A1759" s="18">
        <v>6092903705</v>
      </c>
      <c r="B1759" t="s">
        <v>1584</v>
      </c>
      <c r="C1759" t="s">
        <v>425</v>
      </c>
      <c r="D1759" s="8">
        <v>11</v>
      </c>
      <c r="E1759" s="8" t="s">
        <v>340</v>
      </c>
    </row>
    <row r="1760" spans="1:5">
      <c r="A1760" s="18">
        <v>6092903705</v>
      </c>
      <c r="B1760" t="s">
        <v>1585</v>
      </c>
      <c r="C1760" t="s">
        <v>425</v>
      </c>
      <c r="D1760" s="8">
        <v>11.5</v>
      </c>
      <c r="E1760" s="8" t="s">
        <v>342</v>
      </c>
    </row>
    <row r="1761" spans="1:5">
      <c r="A1761" s="18">
        <v>6092903705</v>
      </c>
      <c r="B1761" t="s">
        <v>1586</v>
      </c>
      <c r="C1761" t="s">
        <v>425</v>
      </c>
      <c r="D1761" s="8">
        <v>12</v>
      </c>
      <c r="E1761" s="8" t="s">
        <v>344</v>
      </c>
    </row>
    <row r="1762" spans="1:5">
      <c r="A1762" s="18">
        <v>6092903705</v>
      </c>
      <c r="B1762" t="s">
        <v>1587</v>
      </c>
      <c r="C1762" t="s">
        <v>425</v>
      </c>
      <c r="D1762" s="8">
        <v>1.5</v>
      </c>
      <c r="E1762" s="8" t="s">
        <v>320</v>
      </c>
    </row>
    <row r="1763" spans="1:5">
      <c r="A1763" s="18">
        <v>6092903705</v>
      </c>
      <c r="B1763" t="s">
        <v>1588</v>
      </c>
      <c r="C1763" t="s">
        <v>425</v>
      </c>
      <c r="D1763" s="8">
        <v>2</v>
      </c>
      <c r="E1763" s="8" t="s">
        <v>174</v>
      </c>
    </row>
    <row r="1764" spans="1:5">
      <c r="A1764" s="18">
        <v>6092903705</v>
      </c>
      <c r="B1764" t="s">
        <v>1589</v>
      </c>
      <c r="C1764" t="s">
        <v>425</v>
      </c>
      <c r="D1764" s="8">
        <v>2.5</v>
      </c>
      <c r="E1764" s="8" t="s">
        <v>169</v>
      </c>
    </row>
    <row r="1765" spans="1:5">
      <c r="A1765" s="18">
        <v>6092903705</v>
      </c>
      <c r="B1765" t="s">
        <v>1590</v>
      </c>
      <c r="C1765" t="s">
        <v>425</v>
      </c>
      <c r="D1765" s="8">
        <v>3</v>
      </c>
      <c r="E1765" s="8" t="s">
        <v>176</v>
      </c>
    </row>
    <row r="1766" spans="1:5">
      <c r="A1766" s="18">
        <v>6092903705</v>
      </c>
      <c r="B1766" t="s">
        <v>1591</v>
      </c>
      <c r="C1766" t="s">
        <v>425</v>
      </c>
      <c r="D1766" s="8">
        <v>3.5</v>
      </c>
      <c r="E1766" s="8" t="s">
        <v>323</v>
      </c>
    </row>
    <row r="1767" spans="1:5">
      <c r="A1767" s="18">
        <v>6092903705</v>
      </c>
      <c r="B1767" t="s">
        <v>1592</v>
      </c>
      <c r="C1767" t="s">
        <v>425</v>
      </c>
      <c r="D1767" s="8">
        <v>4</v>
      </c>
      <c r="E1767" s="8" t="s">
        <v>178</v>
      </c>
    </row>
    <row r="1768" spans="1:5">
      <c r="A1768" s="18">
        <v>6092903705</v>
      </c>
      <c r="B1768" t="s">
        <v>1593</v>
      </c>
      <c r="C1768" t="s">
        <v>425</v>
      </c>
      <c r="D1768" s="8">
        <v>4.5</v>
      </c>
      <c r="E1768" s="8" t="s">
        <v>324</v>
      </c>
    </row>
    <row r="1769" spans="1:5">
      <c r="A1769" s="18">
        <v>6092903705</v>
      </c>
      <c r="B1769" t="s">
        <v>1594</v>
      </c>
      <c r="C1769" t="s">
        <v>425</v>
      </c>
      <c r="D1769" s="8">
        <v>5</v>
      </c>
      <c r="E1769" s="8" t="s">
        <v>180</v>
      </c>
    </row>
    <row r="1770" spans="1:5">
      <c r="A1770" s="18">
        <v>6092903705</v>
      </c>
      <c r="B1770" t="s">
        <v>1595</v>
      </c>
      <c r="C1770" t="s">
        <v>425</v>
      </c>
      <c r="D1770" s="8">
        <v>5.5</v>
      </c>
      <c r="E1770" s="8" t="s">
        <v>325</v>
      </c>
    </row>
    <row r="1771" spans="1:5">
      <c r="A1771" s="18">
        <v>6092903705</v>
      </c>
      <c r="B1771" t="s">
        <v>1596</v>
      </c>
      <c r="C1771" t="s">
        <v>425</v>
      </c>
      <c r="D1771" s="8">
        <v>6</v>
      </c>
      <c r="E1771" s="8" t="s">
        <v>182</v>
      </c>
    </row>
    <row r="1772" spans="1:5">
      <c r="A1772" s="18">
        <v>6092903705</v>
      </c>
      <c r="B1772" t="s">
        <v>1597</v>
      </c>
      <c r="C1772" t="s">
        <v>425</v>
      </c>
      <c r="D1772" s="8">
        <v>6.5</v>
      </c>
      <c r="E1772" s="8" t="s">
        <v>326</v>
      </c>
    </row>
    <row r="1773" spans="1:5">
      <c r="A1773" s="18">
        <v>6092903705</v>
      </c>
      <c r="B1773" t="s">
        <v>1598</v>
      </c>
      <c r="C1773" t="s">
        <v>425</v>
      </c>
      <c r="D1773" s="8">
        <v>7</v>
      </c>
      <c r="E1773" s="8" t="s">
        <v>184</v>
      </c>
    </row>
    <row r="1774" spans="1:5">
      <c r="A1774" s="18">
        <v>6092903705</v>
      </c>
      <c r="B1774" t="s">
        <v>1599</v>
      </c>
      <c r="C1774" t="s">
        <v>425</v>
      </c>
      <c r="D1774" s="8">
        <v>7.5</v>
      </c>
      <c r="E1774" s="8" t="s">
        <v>330</v>
      </c>
    </row>
    <row r="1775" spans="1:5">
      <c r="A1775" s="18">
        <v>6092903705</v>
      </c>
      <c r="B1775" t="s">
        <v>1600</v>
      </c>
      <c r="C1775" t="s">
        <v>425</v>
      </c>
      <c r="D1775" s="8">
        <v>8</v>
      </c>
      <c r="E1775" s="8" t="s">
        <v>186</v>
      </c>
    </row>
    <row r="1776" spans="1:5">
      <c r="A1776" s="18">
        <v>6092903705</v>
      </c>
      <c r="B1776" t="s">
        <v>1601</v>
      </c>
      <c r="C1776" t="s">
        <v>425</v>
      </c>
      <c r="D1776" s="8">
        <v>8.5</v>
      </c>
      <c r="E1776" s="8" t="s">
        <v>333</v>
      </c>
    </row>
    <row r="1777" spans="1:5">
      <c r="A1777" s="18">
        <v>6092903705</v>
      </c>
      <c r="B1777" t="s">
        <v>1602</v>
      </c>
      <c r="C1777" t="s">
        <v>425</v>
      </c>
      <c r="D1777" s="8">
        <v>9</v>
      </c>
      <c r="E1777" s="8" t="s">
        <v>188</v>
      </c>
    </row>
    <row r="1778" spans="1:5">
      <c r="A1778" s="18">
        <v>6092903705</v>
      </c>
      <c r="B1778" t="s">
        <v>1603</v>
      </c>
      <c r="C1778" t="s">
        <v>425</v>
      </c>
      <c r="D1778" s="8">
        <v>9.5</v>
      </c>
      <c r="E1778" s="8" t="s">
        <v>335</v>
      </c>
    </row>
    <row r="1779" spans="1:5">
      <c r="A1779" s="18">
        <v>6092903705</v>
      </c>
      <c r="B1779" t="s">
        <v>1604</v>
      </c>
      <c r="C1779" t="s">
        <v>426</v>
      </c>
      <c r="D1779" s="8">
        <v>10</v>
      </c>
      <c r="E1779" s="8" t="s">
        <v>190</v>
      </c>
    </row>
    <row r="1780" spans="1:5">
      <c r="A1780" s="18">
        <v>6092903705</v>
      </c>
      <c r="B1780" t="s">
        <v>1605</v>
      </c>
      <c r="C1780" t="s">
        <v>426</v>
      </c>
      <c r="D1780" s="8">
        <v>1</v>
      </c>
      <c r="E1780" s="8" t="s">
        <v>172</v>
      </c>
    </row>
    <row r="1781" spans="1:5">
      <c r="A1781" s="18">
        <v>6092903705</v>
      </c>
      <c r="B1781" t="s">
        <v>1606</v>
      </c>
      <c r="C1781" t="s">
        <v>426</v>
      </c>
      <c r="D1781" s="8">
        <v>10.5</v>
      </c>
      <c r="E1781" s="8" t="s">
        <v>338</v>
      </c>
    </row>
    <row r="1782" spans="1:5">
      <c r="A1782" s="18">
        <v>6092903705</v>
      </c>
      <c r="B1782" t="s">
        <v>1607</v>
      </c>
      <c r="C1782" t="s">
        <v>426</v>
      </c>
      <c r="D1782" s="8">
        <v>11</v>
      </c>
      <c r="E1782" s="8" t="s">
        <v>340</v>
      </c>
    </row>
    <row r="1783" spans="1:5">
      <c r="A1783" s="18">
        <v>6092903705</v>
      </c>
      <c r="B1783" t="s">
        <v>1608</v>
      </c>
      <c r="C1783" t="s">
        <v>426</v>
      </c>
      <c r="D1783" s="8">
        <v>11.5</v>
      </c>
      <c r="E1783" s="8" t="s">
        <v>342</v>
      </c>
    </row>
    <row r="1784" spans="1:5">
      <c r="A1784" s="18">
        <v>6092903705</v>
      </c>
      <c r="B1784" t="s">
        <v>1609</v>
      </c>
      <c r="C1784" t="s">
        <v>426</v>
      </c>
      <c r="D1784" s="8">
        <v>12</v>
      </c>
      <c r="E1784" s="8" t="s">
        <v>344</v>
      </c>
    </row>
    <row r="1785" spans="1:5">
      <c r="A1785" s="18">
        <v>6092903705</v>
      </c>
      <c r="B1785" t="s">
        <v>1610</v>
      </c>
      <c r="C1785" t="s">
        <v>426</v>
      </c>
      <c r="D1785" s="8">
        <v>1.5</v>
      </c>
      <c r="E1785" s="8" t="s">
        <v>320</v>
      </c>
    </row>
    <row r="1786" spans="1:5">
      <c r="A1786" s="18">
        <v>6092903705</v>
      </c>
      <c r="B1786" t="s">
        <v>1611</v>
      </c>
      <c r="C1786" t="s">
        <v>426</v>
      </c>
      <c r="D1786" s="8">
        <v>2</v>
      </c>
      <c r="E1786" s="8" t="s">
        <v>174</v>
      </c>
    </row>
    <row r="1787" spans="1:5">
      <c r="A1787" s="18">
        <v>6092903705</v>
      </c>
      <c r="B1787" t="s">
        <v>1612</v>
      </c>
      <c r="C1787" t="s">
        <v>426</v>
      </c>
      <c r="D1787" s="8">
        <v>2.5</v>
      </c>
      <c r="E1787" s="8" t="s">
        <v>169</v>
      </c>
    </row>
    <row r="1788" spans="1:5">
      <c r="A1788" s="18">
        <v>6092903705</v>
      </c>
      <c r="B1788" t="s">
        <v>1613</v>
      </c>
      <c r="C1788" t="s">
        <v>426</v>
      </c>
      <c r="D1788" s="8">
        <v>3</v>
      </c>
      <c r="E1788" s="8" t="s">
        <v>176</v>
      </c>
    </row>
    <row r="1789" spans="1:5">
      <c r="A1789" s="18">
        <v>6092903705</v>
      </c>
      <c r="B1789" t="s">
        <v>1614</v>
      </c>
      <c r="C1789" t="s">
        <v>426</v>
      </c>
      <c r="D1789" s="8">
        <v>3.5</v>
      </c>
      <c r="E1789" s="8" t="s">
        <v>323</v>
      </c>
    </row>
    <row r="1790" spans="1:5">
      <c r="A1790" s="18">
        <v>6092903705</v>
      </c>
      <c r="B1790" t="s">
        <v>1615</v>
      </c>
      <c r="C1790" t="s">
        <v>426</v>
      </c>
      <c r="D1790" s="8">
        <v>4</v>
      </c>
      <c r="E1790" s="8" t="s">
        <v>178</v>
      </c>
    </row>
    <row r="1791" spans="1:5">
      <c r="A1791" s="18">
        <v>6092903705</v>
      </c>
      <c r="B1791" t="s">
        <v>1616</v>
      </c>
      <c r="C1791" t="s">
        <v>426</v>
      </c>
      <c r="D1791" s="8">
        <v>4.5</v>
      </c>
      <c r="E1791" s="8" t="s">
        <v>324</v>
      </c>
    </row>
    <row r="1792" spans="1:5">
      <c r="A1792" s="18">
        <v>6092903705</v>
      </c>
      <c r="B1792" t="s">
        <v>1617</v>
      </c>
      <c r="C1792" t="s">
        <v>426</v>
      </c>
      <c r="D1792" s="8">
        <v>5</v>
      </c>
      <c r="E1792" s="8" t="s">
        <v>180</v>
      </c>
    </row>
    <row r="1793" spans="1:5">
      <c r="A1793" s="18">
        <v>6092903705</v>
      </c>
      <c r="B1793" t="s">
        <v>1618</v>
      </c>
      <c r="C1793" t="s">
        <v>426</v>
      </c>
      <c r="D1793" s="8">
        <v>5.5</v>
      </c>
      <c r="E1793" s="8" t="s">
        <v>325</v>
      </c>
    </row>
    <row r="1794" spans="1:5">
      <c r="A1794" s="18">
        <v>6092903705</v>
      </c>
      <c r="B1794" t="s">
        <v>1619</v>
      </c>
      <c r="C1794" t="s">
        <v>426</v>
      </c>
      <c r="D1794" s="8">
        <v>6</v>
      </c>
      <c r="E1794" s="8" t="s">
        <v>182</v>
      </c>
    </row>
    <row r="1795" spans="1:5">
      <c r="A1795" s="18">
        <v>6092903705</v>
      </c>
      <c r="B1795" t="s">
        <v>1619</v>
      </c>
      <c r="C1795" t="s">
        <v>426</v>
      </c>
      <c r="D1795" s="8">
        <v>6</v>
      </c>
      <c r="E1795" s="8" t="s">
        <v>182</v>
      </c>
    </row>
    <row r="1796" spans="1:5">
      <c r="A1796" s="18">
        <v>6092903705</v>
      </c>
      <c r="B1796" t="s">
        <v>1620</v>
      </c>
      <c r="C1796" t="s">
        <v>426</v>
      </c>
      <c r="D1796" s="8">
        <v>6.5</v>
      </c>
      <c r="E1796" s="8" t="s">
        <v>326</v>
      </c>
    </row>
    <row r="1797" spans="1:5">
      <c r="A1797" s="18">
        <v>6092903705</v>
      </c>
      <c r="B1797" t="s">
        <v>1621</v>
      </c>
      <c r="C1797" t="s">
        <v>426</v>
      </c>
      <c r="D1797" s="8">
        <v>7</v>
      </c>
      <c r="E1797" s="8" t="s">
        <v>184</v>
      </c>
    </row>
    <row r="1798" spans="1:5">
      <c r="A1798" s="18">
        <v>6092903705</v>
      </c>
      <c r="B1798" t="s">
        <v>1622</v>
      </c>
      <c r="C1798" t="s">
        <v>426</v>
      </c>
      <c r="D1798" s="8">
        <v>7.5</v>
      </c>
      <c r="E1798" s="8" t="s">
        <v>330</v>
      </c>
    </row>
    <row r="1799" spans="1:5">
      <c r="A1799" s="18">
        <v>6092903705</v>
      </c>
      <c r="B1799" t="s">
        <v>1623</v>
      </c>
      <c r="C1799" t="s">
        <v>426</v>
      </c>
      <c r="D1799" s="8">
        <v>8</v>
      </c>
      <c r="E1799" s="8" t="s">
        <v>186</v>
      </c>
    </row>
    <row r="1800" spans="1:5">
      <c r="A1800" s="18">
        <v>6092903705</v>
      </c>
      <c r="B1800" t="s">
        <v>1624</v>
      </c>
      <c r="C1800" t="s">
        <v>426</v>
      </c>
      <c r="D1800" s="8">
        <v>8.5</v>
      </c>
      <c r="E1800" s="8" t="s">
        <v>333</v>
      </c>
    </row>
    <row r="1801" spans="1:5">
      <c r="A1801" s="18">
        <v>6092903705</v>
      </c>
      <c r="B1801" t="s">
        <v>1625</v>
      </c>
      <c r="C1801" t="s">
        <v>426</v>
      </c>
      <c r="D1801" s="8">
        <v>9</v>
      </c>
      <c r="E1801" s="8" t="s">
        <v>188</v>
      </c>
    </row>
    <row r="1802" spans="1:5">
      <c r="A1802" s="18">
        <v>6092903705</v>
      </c>
      <c r="B1802" t="s">
        <v>1626</v>
      </c>
      <c r="C1802" t="s">
        <v>426</v>
      </c>
      <c r="D1802" s="8">
        <v>9.5</v>
      </c>
      <c r="E1802" s="8" t="s">
        <v>335</v>
      </c>
    </row>
    <row r="1803" spans="1:5">
      <c r="A1803" s="18">
        <v>6092903705</v>
      </c>
      <c r="B1803" t="s">
        <v>1627</v>
      </c>
      <c r="C1803" t="s">
        <v>423</v>
      </c>
      <c r="D1803" s="8">
        <v>10</v>
      </c>
      <c r="E1803" s="8" t="s">
        <v>190</v>
      </c>
    </row>
    <row r="1804" spans="1:5">
      <c r="A1804" s="18">
        <v>6092903705</v>
      </c>
      <c r="B1804" t="s">
        <v>1628</v>
      </c>
      <c r="C1804" t="s">
        <v>423</v>
      </c>
      <c r="D1804" s="8">
        <v>1</v>
      </c>
      <c r="E1804" s="8" t="s">
        <v>172</v>
      </c>
    </row>
    <row r="1805" spans="1:5">
      <c r="A1805" s="18">
        <v>6092903705</v>
      </c>
      <c r="B1805" t="s">
        <v>1629</v>
      </c>
      <c r="C1805" t="s">
        <v>423</v>
      </c>
      <c r="D1805" s="8">
        <v>10.5</v>
      </c>
      <c r="E1805" s="8" t="s">
        <v>338</v>
      </c>
    </row>
    <row r="1806" spans="1:5">
      <c r="A1806" s="18">
        <v>6092903705</v>
      </c>
      <c r="B1806" t="s">
        <v>1630</v>
      </c>
      <c r="C1806" t="s">
        <v>423</v>
      </c>
      <c r="D1806" s="8">
        <v>11</v>
      </c>
      <c r="E1806" s="8" t="s">
        <v>340</v>
      </c>
    </row>
    <row r="1807" spans="1:5">
      <c r="A1807" s="18">
        <v>6092903705</v>
      </c>
      <c r="B1807" t="s">
        <v>1631</v>
      </c>
      <c r="C1807" t="s">
        <v>423</v>
      </c>
      <c r="D1807" s="8">
        <v>11.5</v>
      </c>
      <c r="E1807" s="8" t="s">
        <v>342</v>
      </c>
    </row>
    <row r="1808" spans="1:5">
      <c r="A1808" s="18">
        <v>6092903705</v>
      </c>
      <c r="B1808" t="s">
        <v>1632</v>
      </c>
      <c r="C1808" t="s">
        <v>423</v>
      </c>
      <c r="D1808" s="8">
        <v>12</v>
      </c>
      <c r="E1808" s="8" t="s">
        <v>344</v>
      </c>
    </row>
    <row r="1809" spans="1:5">
      <c r="A1809" s="18">
        <v>6092903705</v>
      </c>
      <c r="B1809" t="s">
        <v>1633</v>
      </c>
      <c r="C1809" t="s">
        <v>423</v>
      </c>
      <c r="D1809" s="8">
        <v>1.5</v>
      </c>
      <c r="E1809" s="8" t="s">
        <v>320</v>
      </c>
    </row>
    <row r="1810" spans="1:5">
      <c r="A1810" s="18">
        <v>6092903705</v>
      </c>
      <c r="B1810" t="s">
        <v>1634</v>
      </c>
      <c r="C1810" t="s">
        <v>423</v>
      </c>
      <c r="D1810" s="8">
        <v>2</v>
      </c>
      <c r="E1810" s="8" t="s">
        <v>174</v>
      </c>
    </row>
    <row r="1811" spans="1:5">
      <c r="A1811" s="18">
        <v>6092903705</v>
      </c>
      <c r="B1811" t="s">
        <v>1635</v>
      </c>
      <c r="C1811" t="s">
        <v>423</v>
      </c>
      <c r="D1811" s="8">
        <v>2.5</v>
      </c>
      <c r="E1811" s="8" t="s">
        <v>169</v>
      </c>
    </row>
    <row r="1812" spans="1:5">
      <c r="A1812" s="18">
        <v>6092903705</v>
      </c>
      <c r="B1812" t="s">
        <v>1636</v>
      </c>
      <c r="C1812" t="s">
        <v>423</v>
      </c>
      <c r="D1812" s="8">
        <v>3</v>
      </c>
      <c r="E1812" s="8" t="s">
        <v>176</v>
      </c>
    </row>
    <row r="1813" spans="1:5">
      <c r="A1813" s="18">
        <v>6092903705</v>
      </c>
      <c r="B1813" t="s">
        <v>1637</v>
      </c>
      <c r="C1813" t="s">
        <v>423</v>
      </c>
      <c r="D1813" s="8">
        <v>3.5</v>
      </c>
      <c r="E1813" s="8" t="s">
        <v>323</v>
      </c>
    </row>
    <row r="1814" spans="1:5">
      <c r="A1814" s="18">
        <v>6092903705</v>
      </c>
      <c r="B1814" t="s">
        <v>1638</v>
      </c>
      <c r="C1814" t="s">
        <v>423</v>
      </c>
      <c r="D1814" s="8">
        <v>4</v>
      </c>
      <c r="E1814" s="8" t="s">
        <v>178</v>
      </c>
    </row>
    <row r="1815" spans="1:5">
      <c r="A1815" s="18">
        <v>6092903705</v>
      </c>
      <c r="B1815" t="s">
        <v>1639</v>
      </c>
      <c r="C1815" t="s">
        <v>423</v>
      </c>
      <c r="D1815" s="8">
        <v>4.5</v>
      </c>
      <c r="E1815" s="8" t="s">
        <v>324</v>
      </c>
    </row>
    <row r="1816" spans="1:5">
      <c r="A1816" s="18">
        <v>6092903705</v>
      </c>
      <c r="B1816" t="s">
        <v>1640</v>
      </c>
      <c r="C1816" t="s">
        <v>423</v>
      </c>
      <c r="D1816" s="8">
        <v>5</v>
      </c>
      <c r="E1816" s="8" t="s">
        <v>180</v>
      </c>
    </row>
    <row r="1817" spans="1:5">
      <c r="A1817" s="18">
        <v>6092903705</v>
      </c>
      <c r="B1817" t="s">
        <v>1641</v>
      </c>
      <c r="C1817" t="s">
        <v>423</v>
      </c>
      <c r="D1817" s="8">
        <v>5.5</v>
      </c>
      <c r="E1817" s="8" t="s">
        <v>325</v>
      </c>
    </row>
    <row r="1818" spans="1:5">
      <c r="A1818" s="18">
        <v>6092903705</v>
      </c>
      <c r="B1818" t="s">
        <v>1642</v>
      </c>
      <c r="C1818" t="s">
        <v>423</v>
      </c>
      <c r="D1818" s="8">
        <v>6</v>
      </c>
      <c r="E1818" s="8" t="s">
        <v>182</v>
      </c>
    </row>
    <row r="1819" spans="1:5">
      <c r="A1819" s="18">
        <v>6092903705</v>
      </c>
      <c r="B1819" t="s">
        <v>1643</v>
      </c>
      <c r="C1819" t="s">
        <v>423</v>
      </c>
      <c r="D1819" s="8">
        <v>6.5</v>
      </c>
      <c r="E1819" s="8" t="s">
        <v>326</v>
      </c>
    </row>
    <row r="1820" spans="1:5">
      <c r="A1820" s="18">
        <v>6092903705</v>
      </c>
      <c r="B1820" t="s">
        <v>1644</v>
      </c>
      <c r="C1820" t="s">
        <v>423</v>
      </c>
      <c r="D1820" s="8">
        <v>7</v>
      </c>
      <c r="E1820" s="8" t="s">
        <v>184</v>
      </c>
    </row>
    <row r="1821" spans="1:5">
      <c r="A1821" s="18">
        <v>6092903705</v>
      </c>
      <c r="B1821" t="s">
        <v>1645</v>
      </c>
      <c r="C1821" t="s">
        <v>423</v>
      </c>
      <c r="D1821" s="8">
        <v>7.5</v>
      </c>
      <c r="E1821" s="8" t="s">
        <v>330</v>
      </c>
    </row>
    <row r="1822" spans="1:5">
      <c r="A1822" s="18">
        <v>6092903705</v>
      </c>
      <c r="B1822" t="s">
        <v>1646</v>
      </c>
      <c r="C1822" t="s">
        <v>423</v>
      </c>
      <c r="D1822" s="8">
        <v>8</v>
      </c>
      <c r="E1822" s="8" t="s">
        <v>186</v>
      </c>
    </row>
    <row r="1823" spans="1:5">
      <c r="A1823" s="18">
        <v>6092903705</v>
      </c>
      <c r="B1823" t="s">
        <v>1647</v>
      </c>
      <c r="C1823" t="s">
        <v>423</v>
      </c>
      <c r="D1823" s="8">
        <v>8.5</v>
      </c>
      <c r="E1823" s="8" t="s">
        <v>333</v>
      </c>
    </row>
    <row r="1824" spans="1:5">
      <c r="A1824" s="18">
        <v>6092903705</v>
      </c>
      <c r="B1824" t="s">
        <v>1648</v>
      </c>
      <c r="C1824" t="s">
        <v>423</v>
      </c>
      <c r="D1824" s="8">
        <v>9</v>
      </c>
      <c r="E1824" s="8" t="s">
        <v>188</v>
      </c>
    </row>
    <row r="1825" spans="1:5">
      <c r="A1825" s="18">
        <v>6092903705</v>
      </c>
      <c r="B1825" t="s">
        <v>1649</v>
      </c>
      <c r="C1825" t="s">
        <v>423</v>
      </c>
      <c r="D1825" s="8">
        <v>9.5</v>
      </c>
      <c r="E1825" s="8" t="s">
        <v>335</v>
      </c>
    </row>
    <row r="1826" spans="1:5">
      <c r="A1826" s="18">
        <v>6092903705</v>
      </c>
      <c r="B1826" t="s">
        <v>1650</v>
      </c>
      <c r="C1826" t="s">
        <v>424</v>
      </c>
      <c r="D1826" s="8">
        <v>10</v>
      </c>
      <c r="E1826" s="8" t="s">
        <v>190</v>
      </c>
    </row>
    <row r="1827" spans="1:5">
      <c r="A1827" s="18">
        <v>6092903705</v>
      </c>
      <c r="B1827" t="s">
        <v>1651</v>
      </c>
      <c r="C1827" t="s">
        <v>424</v>
      </c>
      <c r="D1827" s="8">
        <v>1</v>
      </c>
      <c r="E1827" s="8" t="s">
        <v>172</v>
      </c>
    </row>
    <row r="1828" spans="1:5">
      <c r="A1828" s="18">
        <v>6092903705</v>
      </c>
      <c r="B1828" t="s">
        <v>1652</v>
      </c>
      <c r="C1828" t="s">
        <v>424</v>
      </c>
      <c r="D1828" s="8">
        <v>10.5</v>
      </c>
      <c r="E1828" s="8" t="s">
        <v>338</v>
      </c>
    </row>
    <row r="1829" spans="1:5">
      <c r="A1829" s="18">
        <v>6092903705</v>
      </c>
      <c r="B1829" t="s">
        <v>1653</v>
      </c>
      <c r="C1829" t="s">
        <v>424</v>
      </c>
      <c r="D1829" s="8">
        <v>11</v>
      </c>
      <c r="E1829" s="8" t="s">
        <v>340</v>
      </c>
    </row>
    <row r="1830" spans="1:5">
      <c r="A1830" s="18">
        <v>6092903705</v>
      </c>
      <c r="B1830" t="s">
        <v>1654</v>
      </c>
      <c r="C1830" t="s">
        <v>424</v>
      </c>
      <c r="D1830" s="8">
        <v>11.5</v>
      </c>
      <c r="E1830" s="8" t="s">
        <v>342</v>
      </c>
    </row>
    <row r="1831" spans="1:5">
      <c r="A1831" s="18">
        <v>6092903705</v>
      </c>
      <c r="B1831" t="s">
        <v>1655</v>
      </c>
      <c r="C1831" t="s">
        <v>424</v>
      </c>
      <c r="D1831" s="8">
        <v>12</v>
      </c>
      <c r="E1831" s="8" t="s">
        <v>344</v>
      </c>
    </row>
    <row r="1832" spans="1:5">
      <c r="A1832" s="18">
        <v>6092903705</v>
      </c>
      <c r="B1832" t="s">
        <v>1656</v>
      </c>
      <c r="C1832" t="s">
        <v>424</v>
      </c>
      <c r="D1832" s="8">
        <v>1.5</v>
      </c>
      <c r="E1832" s="8" t="s">
        <v>320</v>
      </c>
    </row>
    <row r="1833" spans="1:5">
      <c r="A1833" s="18">
        <v>6092903705</v>
      </c>
      <c r="B1833" t="s">
        <v>1657</v>
      </c>
      <c r="C1833" t="s">
        <v>424</v>
      </c>
      <c r="D1833" s="8">
        <v>2</v>
      </c>
      <c r="E1833" s="8" t="s">
        <v>174</v>
      </c>
    </row>
    <row r="1834" spans="1:5">
      <c r="A1834" s="18">
        <v>6092903705</v>
      </c>
      <c r="B1834" t="s">
        <v>1658</v>
      </c>
      <c r="C1834" t="s">
        <v>424</v>
      </c>
      <c r="D1834" s="8">
        <v>2.5</v>
      </c>
      <c r="E1834" s="8" t="s">
        <v>169</v>
      </c>
    </row>
    <row r="1835" spans="1:5">
      <c r="A1835" s="18">
        <v>6092903705</v>
      </c>
      <c r="B1835" t="s">
        <v>1659</v>
      </c>
      <c r="C1835" t="s">
        <v>424</v>
      </c>
      <c r="D1835" s="8">
        <v>3</v>
      </c>
      <c r="E1835" s="8" t="s">
        <v>176</v>
      </c>
    </row>
    <row r="1836" spans="1:5">
      <c r="A1836" s="18">
        <v>6092903705</v>
      </c>
      <c r="B1836" t="s">
        <v>1660</v>
      </c>
      <c r="C1836" t="s">
        <v>424</v>
      </c>
      <c r="D1836" s="8">
        <v>3.5</v>
      </c>
      <c r="E1836" s="8" t="s">
        <v>323</v>
      </c>
    </row>
    <row r="1837" spans="1:5">
      <c r="A1837" s="18">
        <v>6092903705</v>
      </c>
      <c r="B1837" t="s">
        <v>1661</v>
      </c>
      <c r="C1837" t="s">
        <v>424</v>
      </c>
      <c r="D1837" s="8">
        <v>4</v>
      </c>
      <c r="E1837" s="8" t="s">
        <v>178</v>
      </c>
    </row>
    <row r="1838" spans="1:5">
      <c r="A1838" s="18">
        <v>6092903705</v>
      </c>
      <c r="B1838" t="s">
        <v>1662</v>
      </c>
      <c r="C1838" t="s">
        <v>424</v>
      </c>
      <c r="D1838" s="8">
        <v>4.5</v>
      </c>
      <c r="E1838" s="8" t="s">
        <v>324</v>
      </c>
    </row>
    <row r="1839" spans="1:5">
      <c r="A1839" s="18">
        <v>6092903705</v>
      </c>
      <c r="B1839" t="s">
        <v>1663</v>
      </c>
      <c r="C1839" t="s">
        <v>424</v>
      </c>
      <c r="D1839" s="8">
        <v>5</v>
      </c>
      <c r="E1839" s="8" t="s">
        <v>180</v>
      </c>
    </row>
    <row r="1840" spans="1:5">
      <c r="A1840" s="18">
        <v>6092903705</v>
      </c>
      <c r="B1840" t="s">
        <v>1664</v>
      </c>
      <c r="C1840" t="s">
        <v>424</v>
      </c>
      <c r="D1840" s="8">
        <v>5.5</v>
      </c>
      <c r="E1840" s="8" t="s">
        <v>325</v>
      </c>
    </row>
    <row r="1841" spans="1:5">
      <c r="A1841" s="18">
        <v>6092903705</v>
      </c>
      <c r="B1841" t="s">
        <v>1665</v>
      </c>
      <c r="C1841" t="s">
        <v>424</v>
      </c>
      <c r="D1841" s="8">
        <v>6</v>
      </c>
      <c r="E1841" s="8" t="s">
        <v>182</v>
      </c>
    </row>
    <row r="1842" spans="1:5">
      <c r="A1842" s="18">
        <v>6092903705</v>
      </c>
      <c r="B1842" t="s">
        <v>1666</v>
      </c>
      <c r="C1842" t="s">
        <v>424</v>
      </c>
      <c r="D1842" s="8">
        <v>6.5</v>
      </c>
      <c r="E1842" s="8" t="s">
        <v>326</v>
      </c>
    </row>
    <row r="1843" spans="1:5">
      <c r="A1843" s="18">
        <v>6092903705</v>
      </c>
      <c r="B1843" t="s">
        <v>1667</v>
      </c>
      <c r="C1843" t="s">
        <v>424</v>
      </c>
      <c r="D1843" s="8">
        <v>7</v>
      </c>
      <c r="E1843" s="8" t="s">
        <v>184</v>
      </c>
    </row>
    <row r="1844" spans="1:5">
      <c r="A1844" s="18">
        <v>6092903705</v>
      </c>
      <c r="B1844" t="s">
        <v>1668</v>
      </c>
      <c r="C1844" t="s">
        <v>424</v>
      </c>
      <c r="D1844" s="8">
        <v>7.5</v>
      </c>
      <c r="E1844" s="8" t="s">
        <v>330</v>
      </c>
    </row>
    <row r="1845" spans="1:5">
      <c r="A1845" s="18">
        <v>6092903705</v>
      </c>
      <c r="B1845" t="s">
        <v>1669</v>
      </c>
      <c r="C1845" t="s">
        <v>424</v>
      </c>
      <c r="D1845" s="8">
        <v>8</v>
      </c>
      <c r="E1845" s="8" t="s">
        <v>186</v>
      </c>
    </row>
    <row r="1846" spans="1:5">
      <c r="A1846" s="18">
        <v>6092903705</v>
      </c>
      <c r="B1846" t="s">
        <v>1670</v>
      </c>
      <c r="C1846" t="s">
        <v>424</v>
      </c>
      <c r="D1846" s="8">
        <v>8.5</v>
      </c>
      <c r="E1846" s="8" t="s">
        <v>333</v>
      </c>
    </row>
    <row r="1847" spans="1:5">
      <c r="A1847" s="18">
        <v>6092903705</v>
      </c>
      <c r="B1847" t="s">
        <v>1671</v>
      </c>
      <c r="C1847" t="s">
        <v>424</v>
      </c>
      <c r="D1847" s="8">
        <v>9</v>
      </c>
      <c r="E1847" s="8" t="s">
        <v>188</v>
      </c>
    </row>
    <row r="1848" spans="1:5">
      <c r="A1848" s="18">
        <v>6092903705</v>
      </c>
      <c r="B1848" t="s">
        <v>1672</v>
      </c>
      <c r="C1848" t="s">
        <v>424</v>
      </c>
      <c r="D1848" s="8">
        <v>9.5</v>
      </c>
      <c r="E1848" s="8" t="s">
        <v>335</v>
      </c>
    </row>
    <row r="1850" spans="1:5">
      <c r="A1850">
        <v>6626596277</v>
      </c>
      <c r="B1850" t="s">
        <v>433</v>
      </c>
      <c r="C1850" t="s">
        <v>434</v>
      </c>
      <c r="D1850" s="8">
        <v>1</v>
      </c>
      <c r="E1850" s="8" t="s">
        <v>435</v>
      </c>
    </row>
    <row r="1851" spans="1:5">
      <c r="A1851">
        <v>6626596277</v>
      </c>
      <c r="B1851" t="s">
        <v>436</v>
      </c>
      <c r="C1851" t="s">
        <v>434</v>
      </c>
      <c r="D1851" s="8">
        <v>2</v>
      </c>
      <c r="E1851" s="8" t="s">
        <v>442</v>
      </c>
    </row>
    <row r="1852" spans="1:5">
      <c r="A1852">
        <v>6626596277</v>
      </c>
      <c r="B1852" t="s">
        <v>432</v>
      </c>
      <c r="C1852" t="s">
        <v>434</v>
      </c>
      <c r="D1852" s="8">
        <v>3</v>
      </c>
      <c r="E1852" s="8" t="s">
        <v>176</v>
      </c>
    </row>
    <row r="1853" spans="1:5">
      <c r="A1853">
        <v>6626596277</v>
      </c>
      <c r="B1853" t="s">
        <v>437</v>
      </c>
      <c r="C1853" t="s">
        <v>434</v>
      </c>
      <c r="D1853" s="8">
        <v>4</v>
      </c>
      <c r="E1853" s="8" t="s">
        <v>178</v>
      </c>
    </row>
    <row r="1854" spans="1:5">
      <c r="A1854">
        <v>6626596277</v>
      </c>
      <c r="B1854" t="s">
        <v>438</v>
      </c>
      <c r="C1854" t="s">
        <v>434</v>
      </c>
      <c r="D1854" s="8">
        <v>5</v>
      </c>
      <c r="E1854" s="8" t="s">
        <v>180</v>
      </c>
    </row>
    <row r="1855" spans="1:5">
      <c r="A1855">
        <v>6626596277</v>
      </c>
      <c r="B1855" t="s">
        <v>439</v>
      </c>
      <c r="C1855" t="s">
        <v>434</v>
      </c>
      <c r="D1855" s="8">
        <v>6</v>
      </c>
      <c r="E1855" s="8" t="s">
        <v>182</v>
      </c>
    </row>
    <row r="1856" spans="1:5">
      <c r="A1856">
        <v>6626596277</v>
      </c>
      <c r="B1856" t="s">
        <v>440</v>
      </c>
      <c r="C1856" t="s">
        <v>434</v>
      </c>
      <c r="D1856" s="8">
        <v>7</v>
      </c>
      <c r="E1856" s="8" t="s">
        <v>184</v>
      </c>
    </row>
    <row r="1857" spans="1:5">
      <c r="A1857">
        <v>6626596277</v>
      </c>
      <c r="B1857" t="s">
        <v>441</v>
      </c>
      <c r="C1857" t="s">
        <v>434</v>
      </c>
      <c r="D1857" s="8">
        <v>8</v>
      </c>
      <c r="E1857" s="8" t="s">
        <v>186</v>
      </c>
    </row>
    <row r="1858" spans="1:5">
      <c r="A1858">
        <v>6092903705</v>
      </c>
      <c r="B1858" t="s">
        <v>866</v>
      </c>
      <c r="C1858" t="s">
        <v>224</v>
      </c>
      <c r="D1858" s="8">
        <v>10</v>
      </c>
      <c r="E1858" s="8" t="s">
        <v>190</v>
      </c>
    </row>
    <row r="1859" spans="1:5">
      <c r="A1859">
        <v>6092903705</v>
      </c>
      <c r="B1859" t="s">
        <v>867</v>
      </c>
      <c r="C1859" t="s">
        <v>224</v>
      </c>
      <c r="D1859" s="8">
        <v>1</v>
      </c>
      <c r="E1859" s="8" t="s">
        <v>172</v>
      </c>
    </row>
    <row r="1860" spans="1:5">
      <c r="A1860">
        <v>6092903705</v>
      </c>
      <c r="B1860" t="s">
        <v>868</v>
      </c>
      <c r="C1860" t="s">
        <v>224</v>
      </c>
      <c r="D1860" s="8">
        <v>10.5</v>
      </c>
      <c r="E1860" s="8" t="s">
        <v>338</v>
      </c>
    </row>
    <row r="1861" spans="1:5">
      <c r="A1861">
        <v>6092903705</v>
      </c>
      <c r="B1861" t="s">
        <v>869</v>
      </c>
      <c r="C1861" t="s">
        <v>224</v>
      </c>
      <c r="D1861" s="8">
        <v>11</v>
      </c>
      <c r="E1861" s="8" t="s">
        <v>340</v>
      </c>
    </row>
    <row r="1862" spans="1:5">
      <c r="A1862">
        <v>6092903705</v>
      </c>
      <c r="B1862" t="s">
        <v>870</v>
      </c>
      <c r="C1862" t="s">
        <v>224</v>
      </c>
      <c r="D1862" s="8">
        <v>11.5</v>
      </c>
      <c r="E1862" s="8" t="s">
        <v>342</v>
      </c>
    </row>
    <row r="1863" spans="1:5">
      <c r="A1863">
        <v>6092903705</v>
      </c>
      <c r="B1863" t="s">
        <v>871</v>
      </c>
      <c r="C1863" t="s">
        <v>224</v>
      </c>
      <c r="D1863" s="8">
        <v>12</v>
      </c>
      <c r="E1863" s="8" t="s">
        <v>344</v>
      </c>
    </row>
    <row r="1864" spans="1:5">
      <c r="A1864">
        <v>6092903705</v>
      </c>
      <c r="B1864" t="s">
        <v>872</v>
      </c>
      <c r="C1864" t="s">
        <v>224</v>
      </c>
      <c r="D1864" s="8">
        <v>1.5</v>
      </c>
      <c r="E1864" s="8" t="s">
        <v>320</v>
      </c>
    </row>
    <row r="1865" spans="1:5">
      <c r="A1865">
        <v>6092903705</v>
      </c>
      <c r="B1865" t="s">
        <v>873</v>
      </c>
      <c r="C1865" t="s">
        <v>224</v>
      </c>
      <c r="D1865" s="8">
        <v>2</v>
      </c>
      <c r="E1865" s="8" t="s">
        <v>174</v>
      </c>
    </row>
    <row r="1866" spans="1:5">
      <c r="A1866">
        <v>6092903705</v>
      </c>
      <c r="B1866" t="s">
        <v>874</v>
      </c>
      <c r="C1866" t="s">
        <v>224</v>
      </c>
      <c r="D1866" s="8">
        <v>2.5</v>
      </c>
      <c r="E1866" s="8" t="s">
        <v>169</v>
      </c>
    </row>
    <row r="1867" spans="1:5">
      <c r="A1867">
        <v>6092903705</v>
      </c>
      <c r="B1867" t="s">
        <v>875</v>
      </c>
      <c r="C1867" t="s">
        <v>224</v>
      </c>
      <c r="D1867" s="8">
        <v>3</v>
      </c>
      <c r="E1867" s="8" t="s">
        <v>176</v>
      </c>
    </row>
    <row r="1868" spans="1:5">
      <c r="A1868">
        <v>6092903705</v>
      </c>
      <c r="B1868" t="s">
        <v>876</v>
      </c>
      <c r="C1868" t="s">
        <v>224</v>
      </c>
      <c r="D1868" s="8">
        <v>3.5</v>
      </c>
      <c r="E1868" s="8" t="s">
        <v>323</v>
      </c>
    </row>
    <row r="1869" spans="1:5">
      <c r="A1869">
        <v>6092903705</v>
      </c>
      <c r="B1869" t="s">
        <v>877</v>
      </c>
      <c r="C1869" t="s">
        <v>224</v>
      </c>
      <c r="D1869" s="8">
        <v>4</v>
      </c>
      <c r="E1869" s="8" t="s">
        <v>178</v>
      </c>
    </row>
    <row r="1870" spans="1:5">
      <c r="A1870">
        <v>6092903705</v>
      </c>
      <c r="B1870" t="s">
        <v>878</v>
      </c>
      <c r="C1870" t="s">
        <v>224</v>
      </c>
      <c r="D1870" s="8">
        <v>4.5</v>
      </c>
      <c r="E1870" s="8" t="s">
        <v>324</v>
      </c>
    </row>
    <row r="1871" spans="1:5">
      <c r="A1871">
        <v>6092903705</v>
      </c>
      <c r="B1871" t="s">
        <v>879</v>
      </c>
      <c r="C1871" t="s">
        <v>224</v>
      </c>
      <c r="D1871" s="8">
        <v>5</v>
      </c>
      <c r="E1871" s="8" t="s">
        <v>180</v>
      </c>
    </row>
    <row r="1872" spans="1:5">
      <c r="A1872">
        <v>6092903705</v>
      </c>
      <c r="B1872" t="s">
        <v>880</v>
      </c>
      <c r="C1872" t="s">
        <v>224</v>
      </c>
      <c r="D1872" s="8">
        <v>5.5</v>
      </c>
      <c r="E1872" s="8" t="s">
        <v>325</v>
      </c>
    </row>
    <row r="1873" spans="1:5">
      <c r="A1873">
        <v>6092903705</v>
      </c>
      <c r="B1873" t="s">
        <v>881</v>
      </c>
      <c r="C1873" t="s">
        <v>224</v>
      </c>
      <c r="D1873" s="8">
        <v>6</v>
      </c>
      <c r="E1873" s="8" t="s">
        <v>182</v>
      </c>
    </row>
    <row r="1874" spans="1:5">
      <c r="A1874">
        <v>6092903705</v>
      </c>
      <c r="B1874" t="s">
        <v>882</v>
      </c>
      <c r="C1874" t="s">
        <v>224</v>
      </c>
      <c r="D1874" s="8">
        <v>6.5</v>
      </c>
      <c r="E1874" s="8" t="s">
        <v>326</v>
      </c>
    </row>
    <row r="1875" spans="1:5">
      <c r="A1875">
        <v>6092903705</v>
      </c>
      <c r="B1875" t="s">
        <v>883</v>
      </c>
      <c r="C1875" t="s">
        <v>224</v>
      </c>
      <c r="D1875" s="8">
        <v>7</v>
      </c>
      <c r="E1875" s="8" t="s">
        <v>184</v>
      </c>
    </row>
    <row r="1876" spans="1:5">
      <c r="A1876">
        <v>6092903705</v>
      </c>
      <c r="B1876" t="s">
        <v>884</v>
      </c>
      <c r="C1876" t="s">
        <v>224</v>
      </c>
      <c r="D1876" s="8">
        <v>7.5</v>
      </c>
      <c r="E1876" s="8" t="s">
        <v>330</v>
      </c>
    </row>
    <row r="1877" spans="1:5">
      <c r="A1877">
        <v>6092903705</v>
      </c>
      <c r="B1877" t="s">
        <v>885</v>
      </c>
      <c r="C1877" t="s">
        <v>224</v>
      </c>
      <c r="D1877" s="8">
        <v>8</v>
      </c>
      <c r="E1877" s="8" t="s">
        <v>186</v>
      </c>
    </row>
    <row r="1878" spans="1:5">
      <c r="A1878">
        <v>6092903705</v>
      </c>
      <c r="B1878" t="s">
        <v>886</v>
      </c>
      <c r="C1878" t="s">
        <v>224</v>
      </c>
      <c r="D1878" s="8">
        <v>8.5</v>
      </c>
      <c r="E1878" s="8" t="s">
        <v>333</v>
      </c>
    </row>
    <row r="1879" spans="1:5">
      <c r="A1879">
        <v>6092903705</v>
      </c>
      <c r="B1879" t="s">
        <v>887</v>
      </c>
      <c r="C1879" t="s">
        <v>224</v>
      </c>
      <c r="D1879" s="8">
        <v>9</v>
      </c>
      <c r="E1879" s="8" t="s">
        <v>188</v>
      </c>
    </row>
    <row r="1880" spans="1:5">
      <c r="A1880">
        <v>6092903705</v>
      </c>
      <c r="B1880" t="s">
        <v>888</v>
      </c>
      <c r="C1880" t="s">
        <v>224</v>
      </c>
      <c r="D1880" s="8">
        <v>9.5</v>
      </c>
      <c r="E1880" s="8" t="s">
        <v>335</v>
      </c>
    </row>
    <row r="1881" spans="1:5">
      <c r="A1881">
        <v>6092903705</v>
      </c>
      <c r="B1881" t="s">
        <v>889</v>
      </c>
      <c r="C1881" t="s">
        <v>559</v>
      </c>
      <c r="D1881" s="8">
        <v>10</v>
      </c>
      <c r="E1881" s="8" t="s">
        <v>190</v>
      </c>
    </row>
    <row r="1882" spans="1:5">
      <c r="A1882">
        <v>6092903705</v>
      </c>
      <c r="B1882" t="s">
        <v>890</v>
      </c>
      <c r="C1882" t="s">
        <v>559</v>
      </c>
      <c r="D1882" s="8">
        <v>1</v>
      </c>
      <c r="E1882" s="8" t="s">
        <v>172</v>
      </c>
    </row>
    <row r="1883" spans="1:5">
      <c r="A1883">
        <v>6092903705</v>
      </c>
      <c r="B1883" t="s">
        <v>891</v>
      </c>
      <c r="C1883" t="s">
        <v>559</v>
      </c>
      <c r="D1883" s="8">
        <v>10.5</v>
      </c>
      <c r="E1883" s="8" t="s">
        <v>338</v>
      </c>
    </row>
    <row r="1884" spans="1:5">
      <c r="A1884">
        <v>6092903705</v>
      </c>
      <c r="B1884" t="s">
        <v>892</v>
      </c>
      <c r="C1884" t="s">
        <v>559</v>
      </c>
      <c r="D1884" s="8">
        <v>11</v>
      </c>
      <c r="E1884" s="8" t="s">
        <v>340</v>
      </c>
    </row>
    <row r="1885" spans="1:5">
      <c r="A1885">
        <v>6092903705</v>
      </c>
      <c r="B1885" t="s">
        <v>893</v>
      </c>
      <c r="C1885" t="s">
        <v>559</v>
      </c>
      <c r="D1885" s="8">
        <v>11.5</v>
      </c>
      <c r="E1885" s="8" t="s">
        <v>342</v>
      </c>
    </row>
    <row r="1886" spans="1:5">
      <c r="A1886">
        <v>6092903705</v>
      </c>
      <c r="B1886" t="s">
        <v>894</v>
      </c>
      <c r="C1886" t="s">
        <v>559</v>
      </c>
      <c r="D1886" s="8">
        <v>12</v>
      </c>
      <c r="E1886" s="8" t="s">
        <v>344</v>
      </c>
    </row>
    <row r="1887" spans="1:5">
      <c r="A1887">
        <v>6092903705</v>
      </c>
      <c r="B1887" t="s">
        <v>895</v>
      </c>
      <c r="C1887" t="s">
        <v>559</v>
      </c>
      <c r="D1887" s="8">
        <v>1.5</v>
      </c>
      <c r="E1887" s="8" t="s">
        <v>320</v>
      </c>
    </row>
    <row r="1888" spans="1:5">
      <c r="A1888">
        <v>6092903705</v>
      </c>
      <c r="B1888" t="s">
        <v>896</v>
      </c>
      <c r="C1888" t="s">
        <v>559</v>
      </c>
      <c r="D1888" s="8">
        <v>2</v>
      </c>
      <c r="E1888" s="8" t="s">
        <v>174</v>
      </c>
    </row>
    <row r="1889" spans="1:5">
      <c r="A1889">
        <v>6092903705</v>
      </c>
      <c r="B1889" t="s">
        <v>897</v>
      </c>
      <c r="C1889" t="s">
        <v>559</v>
      </c>
      <c r="D1889" s="8">
        <v>2.5</v>
      </c>
      <c r="E1889" s="8" t="s">
        <v>169</v>
      </c>
    </row>
    <row r="1890" spans="1:5">
      <c r="A1890">
        <v>6092903705</v>
      </c>
      <c r="B1890" t="s">
        <v>898</v>
      </c>
      <c r="C1890" t="s">
        <v>559</v>
      </c>
      <c r="D1890" s="8">
        <v>3</v>
      </c>
      <c r="E1890" s="8" t="s">
        <v>176</v>
      </c>
    </row>
    <row r="1891" spans="1:5">
      <c r="A1891">
        <v>6092903705</v>
      </c>
      <c r="B1891" t="s">
        <v>899</v>
      </c>
      <c r="C1891" t="s">
        <v>559</v>
      </c>
      <c r="D1891" s="8">
        <v>3.5</v>
      </c>
      <c r="E1891" s="8" t="s">
        <v>323</v>
      </c>
    </row>
    <row r="1892" spans="1:5">
      <c r="A1892">
        <v>6092903705</v>
      </c>
      <c r="B1892" t="s">
        <v>900</v>
      </c>
      <c r="C1892" t="s">
        <v>559</v>
      </c>
      <c r="D1892" s="8">
        <v>4</v>
      </c>
      <c r="E1892" s="8" t="s">
        <v>178</v>
      </c>
    </row>
    <row r="1893" spans="1:5">
      <c r="A1893">
        <v>6092903705</v>
      </c>
      <c r="B1893" t="s">
        <v>901</v>
      </c>
      <c r="C1893" t="s">
        <v>559</v>
      </c>
      <c r="D1893" s="8">
        <v>4.5</v>
      </c>
      <c r="E1893" s="8" t="s">
        <v>324</v>
      </c>
    </row>
    <row r="1894" spans="1:5">
      <c r="A1894">
        <v>6092903705</v>
      </c>
      <c r="B1894" t="s">
        <v>902</v>
      </c>
      <c r="C1894" t="s">
        <v>559</v>
      </c>
      <c r="D1894" s="8">
        <v>5</v>
      </c>
      <c r="E1894" s="8" t="s">
        <v>180</v>
      </c>
    </row>
    <row r="1895" spans="1:5">
      <c r="A1895">
        <v>6092903705</v>
      </c>
      <c r="B1895" t="s">
        <v>903</v>
      </c>
      <c r="C1895" t="s">
        <v>559</v>
      </c>
      <c r="D1895" s="8">
        <v>5.5</v>
      </c>
      <c r="E1895" s="8" t="s">
        <v>325</v>
      </c>
    </row>
    <row r="1896" spans="1:5">
      <c r="A1896">
        <v>6092903705</v>
      </c>
      <c r="B1896" t="s">
        <v>904</v>
      </c>
      <c r="C1896" t="s">
        <v>559</v>
      </c>
      <c r="D1896" s="8">
        <v>6</v>
      </c>
      <c r="E1896" s="8" t="s">
        <v>182</v>
      </c>
    </row>
    <row r="1897" spans="1:5">
      <c r="A1897">
        <v>6092903705</v>
      </c>
      <c r="B1897" t="s">
        <v>905</v>
      </c>
      <c r="C1897" t="s">
        <v>559</v>
      </c>
      <c r="D1897" s="8">
        <v>6.5</v>
      </c>
      <c r="E1897" s="8" t="s">
        <v>326</v>
      </c>
    </row>
    <row r="1898" spans="1:5">
      <c r="A1898">
        <v>6092903705</v>
      </c>
      <c r="B1898" t="s">
        <v>906</v>
      </c>
      <c r="C1898" t="s">
        <v>559</v>
      </c>
      <c r="D1898" s="8">
        <v>7</v>
      </c>
      <c r="E1898" s="8" t="s">
        <v>184</v>
      </c>
    </row>
    <row r="1899" spans="1:5">
      <c r="A1899">
        <v>6092903705</v>
      </c>
      <c r="B1899" t="s">
        <v>907</v>
      </c>
      <c r="C1899" t="s">
        <v>559</v>
      </c>
      <c r="D1899" s="8">
        <v>7.5</v>
      </c>
      <c r="E1899" s="8" t="s">
        <v>330</v>
      </c>
    </row>
    <row r="1900" spans="1:5">
      <c r="A1900">
        <v>6092903705</v>
      </c>
      <c r="B1900" t="s">
        <v>908</v>
      </c>
      <c r="C1900" t="s">
        <v>559</v>
      </c>
      <c r="D1900" s="8">
        <v>8</v>
      </c>
      <c r="E1900" s="8" t="s">
        <v>186</v>
      </c>
    </row>
    <row r="1901" spans="1:5">
      <c r="A1901">
        <v>6092903705</v>
      </c>
      <c r="B1901" t="s">
        <v>909</v>
      </c>
      <c r="C1901" t="s">
        <v>559</v>
      </c>
      <c r="D1901" s="8">
        <v>8.5</v>
      </c>
      <c r="E1901" s="8" t="s">
        <v>333</v>
      </c>
    </row>
    <row r="1902" spans="1:5">
      <c r="A1902">
        <v>6092903705</v>
      </c>
      <c r="B1902" t="s">
        <v>910</v>
      </c>
      <c r="C1902" t="s">
        <v>559</v>
      </c>
      <c r="D1902" s="8">
        <v>9</v>
      </c>
      <c r="E1902" s="8" t="s">
        <v>188</v>
      </c>
    </row>
    <row r="1903" spans="1:5">
      <c r="A1903">
        <v>6092903705</v>
      </c>
      <c r="B1903" t="s">
        <v>911</v>
      </c>
      <c r="C1903" t="s">
        <v>559</v>
      </c>
      <c r="D1903" s="8">
        <v>9.5</v>
      </c>
      <c r="E1903" s="8" t="s">
        <v>335</v>
      </c>
    </row>
    <row r="1904" spans="1:5">
      <c r="A1904">
        <v>6092903705</v>
      </c>
      <c r="B1904" t="s">
        <v>912</v>
      </c>
      <c r="C1904" t="s">
        <v>225</v>
      </c>
      <c r="D1904" s="8">
        <v>10</v>
      </c>
      <c r="E1904" s="8" t="s">
        <v>190</v>
      </c>
    </row>
    <row r="1905" spans="1:5">
      <c r="A1905">
        <v>6092903705</v>
      </c>
      <c r="B1905" t="s">
        <v>913</v>
      </c>
      <c r="C1905" t="s">
        <v>225</v>
      </c>
      <c r="D1905" s="8">
        <v>1</v>
      </c>
      <c r="E1905" s="8" t="s">
        <v>172</v>
      </c>
    </row>
    <row r="1906" spans="1:5">
      <c r="A1906">
        <v>6092903705</v>
      </c>
      <c r="B1906" t="s">
        <v>914</v>
      </c>
      <c r="C1906" t="s">
        <v>225</v>
      </c>
      <c r="D1906" s="8">
        <v>10.5</v>
      </c>
      <c r="E1906" s="8" t="s">
        <v>338</v>
      </c>
    </row>
    <row r="1907" spans="1:5">
      <c r="A1907">
        <v>6092903705</v>
      </c>
      <c r="B1907" t="s">
        <v>915</v>
      </c>
      <c r="C1907" t="s">
        <v>225</v>
      </c>
      <c r="D1907" s="8">
        <v>11</v>
      </c>
      <c r="E1907" s="8" t="s">
        <v>340</v>
      </c>
    </row>
    <row r="1908" spans="1:5">
      <c r="A1908">
        <v>6092903705</v>
      </c>
      <c r="B1908" t="s">
        <v>916</v>
      </c>
      <c r="C1908" t="s">
        <v>225</v>
      </c>
      <c r="D1908" s="8">
        <v>11.5</v>
      </c>
      <c r="E1908" s="8" t="s">
        <v>342</v>
      </c>
    </row>
    <row r="1909" spans="1:5">
      <c r="A1909">
        <v>6092903705</v>
      </c>
      <c r="B1909" t="s">
        <v>917</v>
      </c>
      <c r="C1909" t="s">
        <v>225</v>
      </c>
      <c r="D1909" s="8">
        <v>12</v>
      </c>
      <c r="E1909" s="8" t="s">
        <v>344</v>
      </c>
    </row>
    <row r="1910" spans="1:5">
      <c r="A1910">
        <v>6092903705</v>
      </c>
      <c r="B1910" t="s">
        <v>918</v>
      </c>
      <c r="C1910" t="s">
        <v>225</v>
      </c>
      <c r="D1910" s="8">
        <v>1.5</v>
      </c>
      <c r="E1910" s="8" t="s">
        <v>320</v>
      </c>
    </row>
    <row r="1911" spans="1:5">
      <c r="A1911">
        <v>6092903705</v>
      </c>
      <c r="B1911" t="s">
        <v>919</v>
      </c>
      <c r="C1911" t="s">
        <v>225</v>
      </c>
      <c r="D1911" s="8">
        <v>2</v>
      </c>
      <c r="E1911" s="8" t="s">
        <v>174</v>
      </c>
    </row>
    <row r="1912" spans="1:5">
      <c r="A1912">
        <v>6092903705</v>
      </c>
      <c r="B1912" t="s">
        <v>920</v>
      </c>
      <c r="C1912" t="s">
        <v>225</v>
      </c>
      <c r="D1912" s="8">
        <v>2.5</v>
      </c>
      <c r="E1912" s="8" t="s">
        <v>169</v>
      </c>
    </row>
    <row r="1913" spans="1:5">
      <c r="A1913">
        <v>6092903705</v>
      </c>
      <c r="B1913" t="s">
        <v>921</v>
      </c>
      <c r="C1913" t="s">
        <v>225</v>
      </c>
      <c r="D1913" s="8">
        <v>3</v>
      </c>
      <c r="E1913" s="8" t="s">
        <v>176</v>
      </c>
    </row>
    <row r="1914" spans="1:5">
      <c r="A1914">
        <v>6092903705</v>
      </c>
      <c r="B1914" t="s">
        <v>922</v>
      </c>
      <c r="C1914" t="s">
        <v>225</v>
      </c>
      <c r="D1914" s="8">
        <v>3.5</v>
      </c>
      <c r="E1914" s="8" t="s">
        <v>323</v>
      </c>
    </row>
    <row r="1915" spans="1:5">
      <c r="A1915">
        <v>6092903705</v>
      </c>
      <c r="B1915" t="s">
        <v>923</v>
      </c>
      <c r="C1915" t="s">
        <v>225</v>
      </c>
      <c r="D1915" s="8">
        <v>4</v>
      </c>
      <c r="E1915" s="8" t="s">
        <v>178</v>
      </c>
    </row>
    <row r="1916" spans="1:5">
      <c r="A1916">
        <v>6092903705</v>
      </c>
      <c r="B1916" t="s">
        <v>924</v>
      </c>
      <c r="C1916" t="s">
        <v>225</v>
      </c>
      <c r="D1916" s="8">
        <v>4.5</v>
      </c>
      <c r="E1916" s="8" t="s">
        <v>324</v>
      </c>
    </row>
    <row r="1917" spans="1:5">
      <c r="A1917">
        <v>6092903705</v>
      </c>
      <c r="B1917" t="s">
        <v>925</v>
      </c>
      <c r="C1917" t="s">
        <v>225</v>
      </c>
      <c r="D1917" s="8">
        <v>5</v>
      </c>
      <c r="E1917" s="8" t="s">
        <v>180</v>
      </c>
    </row>
    <row r="1918" spans="1:5">
      <c r="A1918">
        <v>6092903705</v>
      </c>
      <c r="B1918" t="s">
        <v>926</v>
      </c>
      <c r="C1918" t="s">
        <v>225</v>
      </c>
      <c r="D1918" s="8">
        <v>5.5</v>
      </c>
      <c r="E1918" s="8" t="s">
        <v>325</v>
      </c>
    </row>
    <row r="1919" spans="1:5">
      <c r="A1919">
        <v>6092903705</v>
      </c>
      <c r="B1919" t="s">
        <v>927</v>
      </c>
      <c r="C1919" t="s">
        <v>225</v>
      </c>
      <c r="D1919" s="8">
        <v>6</v>
      </c>
      <c r="E1919" s="8" t="s">
        <v>182</v>
      </c>
    </row>
    <row r="1920" spans="1:5">
      <c r="A1920">
        <v>6092903705</v>
      </c>
      <c r="B1920" t="s">
        <v>928</v>
      </c>
      <c r="C1920" t="s">
        <v>225</v>
      </c>
      <c r="D1920" s="8">
        <v>6.5</v>
      </c>
      <c r="E1920" s="8" t="s">
        <v>326</v>
      </c>
    </row>
    <row r="1921" spans="1:5">
      <c r="A1921">
        <v>6092903705</v>
      </c>
      <c r="B1921" t="s">
        <v>929</v>
      </c>
      <c r="C1921" t="s">
        <v>225</v>
      </c>
      <c r="D1921" s="8">
        <v>7</v>
      </c>
      <c r="E1921" s="8" t="s">
        <v>184</v>
      </c>
    </row>
    <row r="1922" spans="1:5">
      <c r="A1922">
        <v>6092903705</v>
      </c>
      <c r="B1922" t="s">
        <v>930</v>
      </c>
      <c r="C1922" t="s">
        <v>225</v>
      </c>
      <c r="D1922" s="8">
        <v>7.5</v>
      </c>
      <c r="E1922" s="8" t="s">
        <v>330</v>
      </c>
    </row>
    <row r="1923" spans="1:5">
      <c r="A1923">
        <v>6092903705</v>
      </c>
      <c r="B1923" t="s">
        <v>931</v>
      </c>
      <c r="C1923" t="s">
        <v>225</v>
      </c>
      <c r="D1923" s="8">
        <v>8</v>
      </c>
      <c r="E1923" s="8" t="s">
        <v>186</v>
      </c>
    </row>
    <row r="1924" spans="1:5">
      <c r="A1924">
        <v>6092903705</v>
      </c>
      <c r="B1924" t="s">
        <v>932</v>
      </c>
      <c r="C1924" t="s">
        <v>225</v>
      </c>
      <c r="D1924" s="8">
        <v>8.5</v>
      </c>
      <c r="E1924" s="8" t="s">
        <v>333</v>
      </c>
    </row>
    <row r="1925" spans="1:5">
      <c r="A1925">
        <v>6092903705</v>
      </c>
      <c r="B1925" t="s">
        <v>933</v>
      </c>
      <c r="C1925" t="s">
        <v>225</v>
      </c>
      <c r="D1925" s="8">
        <v>9</v>
      </c>
      <c r="E1925" s="8" t="s">
        <v>188</v>
      </c>
    </row>
    <row r="1926" spans="1:5">
      <c r="A1926">
        <v>6092903705</v>
      </c>
      <c r="B1926" t="s">
        <v>934</v>
      </c>
      <c r="C1926" t="s">
        <v>225</v>
      </c>
      <c r="D1926" s="8">
        <v>9.5</v>
      </c>
      <c r="E1926" s="8" t="s">
        <v>335</v>
      </c>
    </row>
    <row r="1927" spans="1:5">
      <c r="A1927">
        <v>6092903705</v>
      </c>
      <c r="B1927" t="s">
        <v>935</v>
      </c>
      <c r="C1927" t="s">
        <v>226</v>
      </c>
      <c r="D1927" s="8">
        <v>10</v>
      </c>
      <c r="E1927" s="8" t="s">
        <v>190</v>
      </c>
    </row>
    <row r="1928" spans="1:5">
      <c r="A1928">
        <v>6092903705</v>
      </c>
      <c r="B1928" t="s">
        <v>936</v>
      </c>
      <c r="C1928" t="s">
        <v>226</v>
      </c>
      <c r="D1928" s="8">
        <v>1</v>
      </c>
      <c r="E1928" s="8" t="s">
        <v>172</v>
      </c>
    </row>
    <row r="1929" spans="1:5">
      <c r="A1929">
        <v>6092903705</v>
      </c>
      <c r="B1929" t="s">
        <v>937</v>
      </c>
      <c r="C1929" t="s">
        <v>226</v>
      </c>
      <c r="D1929" s="8">
        <v>10.5</v>
      </c>
      <c r="E1929" s="8" t="s">
        <v>338</v>
      </c>
    </row>
    <row r="1930" spans="1:5">
      <c r="A1930">
        <v>6092903705</v>
      </c>
      <c r="B1930" t="s">
        <v>938</v>
      </c>
      <c r="C1930" t="s">
        <v>226</v>
      </c>
      <c r="D1930" s="8">
        <v>11</v>
      </c>
      <c r="E1930" s="8" t="s">
        <v>340</v>
      </c>
    </row>
    <row r="1931" spans="1:5">
      <c r="A1931">
        <v>6092903705</v>
      </c>
      <c r="B1931" t="s">
        <v>939</v>
      </c>
      <c r="C1931" t="s">
        <v>226</v>
      </c>
      <c r="D1931" s="8">
        <v>11.5</v>
      </c>
      <c r="E1931" s="8" t="s">
        <v>342</v>
      </c>
    </row>
    <row r="1932" spans="1:5">
      <c r="A1932">
        <v>6092903705</v>
      </c>
      <c r="B1932" t="s">
        <v>940</v>
      </c>
      <c r="C1932" t="s">
        <v>226</v>
      </c>
      <c r="D1932" s="8">
        <v>12</v>
      </c>
      <c r="E1932" s="8" t="s">
        <v>344</v>
      </c>
    </row>
    <row r="1933" spans="1:5">
      <c r="A1933">
        <v>6092903705</v>
      </c>
      <c r="B1933" t="s">
        <v>941</v>
      </c>
      <c r="C1933" t="s">
        <v>226</v>
      </c>
      <c r="D1933" s="8">
        <v>1.5</v>
      </c>
      <c r="E1933" s="8" t="s">
        <v>320</v>
      </c>
    </row>
    <row r="1934" spans="1:5">
      <c r="A1934">
        <v>6092903705</v>
      </c>
      <c r="B1934" t="s">
        <v>942</v>
      </c>
      <c r="C1934" t="s">
        <v>226</v>
      </c>
      <c r="D1934" s="8">
        <v>2</v>
      </c>
      <c r="E1934" s="8" t="s">
        <v>174</v>
      </c>
    </row>
    <row r="1935" spans="1:5">
      <c r="A1935">
        <v>6092903705</v>
      </c>
      <c r="B1935" t="s">
        <v>943</v>
      </c>
      <c r="C1935" t="s">
        <v>226</v>
      </c>
      <c r="D1935" s="8">
        <v>2.5</v>
      </c>
      <c r="E1935" s="8" t="s">
        <v>169</v>
      </c>
    </row>
    <row r="1936" spans="1:5">
      <c r="A1936">
        <v>6092903705</v>
      </c>
      <c r="B1936" t="s">
        <v>944</v>
      </c>
      <c r="C1936" t="s">
        <v>226</v>
      </c>
      <c r="D1936" s="8">
        <v>3</v>
      </c>
      <c r="E1936" s="8" t="s">
        <v>176</v>
      </c>
    </row>
    <row r="1937" spans="1:5">
      <c r="A1937">
        <v>6092903705</v>
      </c>
      <c r="B1937" t="s">
        <v>945</v>
      </c>
      <c r="C1937" t="s">
        <v>226</v>
      </c>
      <c r="D1937" s="8">
        <v>3.5</v>
      </c>
      <c r="E1937" s="8" t="s">
        <v>323</v>
      </c>
    </row>
    <row r="1938" spans="1:5">
      <c r="A1938">
        <v>6092903705</v>
      </c>
      <c r="B1938" t="s">
        <v>946</v>
      </c>
      <c r="C1938" t="s">
        <v>226</v>
      </c>
      <c r="D1938" s="8">
        <v>4</v>
      </c>
      <c r="E1938" s="8" t="s">
        <v>178</v>
      </c>
    </row>
    <row r="1939" spans="1:5">
      <c r="A1939">
        <v>6092903705</v>
      </c>
      <c r="B1939" t="s">
        <v>947</v>
      </c>
      <c r="C1939" t="s">
        <v>226</v>
      </c>
      <c r="D1939" s="8">
        <v>4.5</v>
      </c>
      <c r="E1939" s="8" t="s">
        <v>324</v>
      </c>
    </row>
    <row r="1940" spans="1:5">
      <c r="A1940">
        <v>6092903705</v>
      </c>
      <c r="B1940" t="s">
        <v>948</v>
      </c>
      <c r="C1940" t="s">
        <v>226</v>
      </c>
      <c r="D1940" s="8">
        <v>5</v>
      </c>
      <c r="E1940" s="8" t="s">
        <v>180</v>
      </c>
    </row>
    <row r="1941" spans="1:5">
      <c r="A1941">
        <v>6092903705</v>
      </c>
      <c r="B1941" t="s">
        <v>949</v>
      </c>
      <c r="C1941" t="s">
        <v>226</v>
      </c>
      <c r="D1941" s="8">
        <v>5.5</v>
      </c>
      <c r="E1941" s="8" t="s">
        <v>325</v>
      </c>
    </row>
    <row r="1942" spans="1:5">
      <c r="A1942">
        <v>6092903705</v>
      </c>
      <c r="B1942" t="s">
        <v>950</v>
      </c>
      <c r="C1942" t="s">
        <v>226</v>
      </c>
      <c r="D1942" s="8">
        <v>6</v>
      </c>
      <c r="E1942" s="8" t="s">
        <v>182</v>
      </c>
    </row>
    <row r="1943" spans="1:5">
      <c r="A1943">
        <v>6092903705</v>
      </c>
      <c r="B1943" t="s">
        <v>951</v>
      </c>
      <c r="C1943" t="s">
        <v>226</v>
      </c>
      <c r="D1943" s="8">
        <v>6.5</v>
      </c>
      <c r="E1943" s="8" t="s">
        <v>326</v>
      </c>
    </row>
    <row r="1944" spans="1:5">
      <c r="A1944">
        <v>6092903705</v>
      </c>
      <c r="B1944" t="s">
        <v>952</v>
      </c>
      <c r="C1944" t="s">
        <v>226</v>
      </c>
      <c r="D1944" s="8">
        <v>7</v>
      </c>
      <c r="E1944" s="8" t="s">
        <v>184</v>
      </c>
    </row>
    <row r="1945" spans="1:5">
      <c r="A1945">
        <v>6092903705</v>
      </c>
      <c r="B1945" t="s">
        <v>953</v>
      </c>
      <c r="C1945" t="s">
        <v>226</v>
      </c>
      <c r="D1945" s="8">
        <v>7.5</v>
      </c>
      <c r="E1945" s="8" t="s">
        <v>330</v>
      </c>
    </row>
    <row r="1946" spans="1:5">
      <c r="A1946">
        <v>6092903705</v>
      </c>
      <c r="B1946" t="s">
        <v>954</v>
      </c>
      <c r="C1946" t="s">
        <v>226</v>
      </c>
      <c r="D1946" s="8">
        <v>8</v>
      </c>
      <c r="E1946" s="8" t="s">
        <v>186</v>
      </c>
    </row>
    <row r="1947" spans="1:5">
      <c r="A1947">
        <v>6092903705</v>
      </c>
      <c r="B1947" t="s">
        <v>955</v>
      </c>
      <c r="C1947" t="s">
        <v>226</v>
      </c>
      <c r="D1947" s="8">
        <v>8.5</v>
      </c>
      <c r="E1947" s="8" t="s">
        <v>333</v>
      </c>
    </row>
    <row r="1948" spans="1:5">
      <c r="A1948">
        <v>6092903705</v>
      </c>
      <c r="B1948" t="s">
        <v>956</v>
      </c>
      <c r="C1948" t="s">
        <v>226</v>
      </c>
      <c r="D1948" s="8">
        <v>9</v>
      </c>
      <c r="E1948" s="8" t="s">
        <v>188</v>
      </c>
    </row>
    <row r="1949" spans="1:5">
      <c r="A1949">
        <v>6092903705</v>
      </c>
      <c r="B1949" t="s">
        <v>957</v>
      </c>
      <c r="C1949" t="s">
        <v>226</v>
      </c>
      <c r="D1949" s="8">
        <v>9.5</v>
      </c>
      <c r="E1949" s="8" t="s">
        <v>335</v>
      </c>
    </row>
    <row r="1950" spans="1:5">
      <c r="A1950">
        <v>6092903705</v>
      </c>
      <c r="B1950" t="s">
        <v>958</v>
      </c>
      <c r="C1950" t="s">
        <v>560</v>
      </c>
      <c r="D1950" s="8">
        <v>10</v>
      </c>
      <c r="E1950" s="8" t="s">
        <v>190</v>
      </c>
    </row>
    <row r="1951" spans="1:5">
      <c r="A1951">
        <v>6092903705</v>
      </c>
      <c r="B1951" t="s">
        <v>959</v>
      </c>
      <c r="C1951" t="s">
        <v>560</v>
      </c>
      <c r="D1951" s="8">
        <v>1</v>
      </c>
      <c r="E1951" s="8" t="s">
        <v>172</v>
      </c>
    </row>
    <row r="1952" spans="1:5">
      <c r="A1952">
        <v>6092903705</v>
      </c>
      <c r="B1952" t="s">
        <v>960</v>
      </c>
      <c r="C1952" t="s">
        <v>560</v>
      </c>
      <c r="D1952" s="8">
        <v>1.5</v>
      </c>
      <c r="E1952" s="8" t="s">
        <v>320</v>
      </c>
    </row>
    <row r="1953" spans="1:5">
      <c r="A1953">
        <v>6092903705</v>
      </c>
      <c r="B1953" t="s">
        <v>961</v>
      </c>
      <c r="C1953" t="s">
        <v>560</v>
      </c>
      <c r="D1953" s="8">
        <v>2</v>
      </c>
      <c r="E1953" s="8" t="s">
        <v>174</v>
      </c>
    </row>
    <row r="1954" spans="1:5">
      <c r="A1954">
        <v>6092903705</v>
      </c>
      <c r="B1954" t="s">
        <v>962</v>
      </c>
      <c r="C1954" t="s">
        <v>560</v>
      </c>
      <c r="D1954" s="8">
        <v>2.5</v>
      </c>
      <c r="E1954" s="8" t="s">
        <v>169</v>
      </c>
    </row>
    <row r="1955" spans="1:5">
      <c r="A1955">
        <v>6092903705</v>
      </c>
      <c r="B1955" t="s">
        <v>963</v>
      </c>
      <c r="C1955" t="s">
        <v>560</v>
      </c>
      <c r="D1955" s="8">
        <v>3</v>
      </c>
      <c r="E1955" s="8" t="s">
        <v>176</v>
      </c>
    </row>
    <row r="1956" spans="1:5">
      <c r="A1956">
        <v>6092903705</v>
      </c>
      <c r="B1956" t="s">
        <v>964</v>
      </c>
      <c r="C1956" t="s">
        <v>560</v>
      </c>
      <c r="D1956" s="8">
        <v>3.5</v>
      </c>
      <c r="E1956" s="8" t="s">
        <v>323</v>
      </c>
    </row>
    <row r="1957" spans="1:5">
      <c r="A1957">
        <v>6092903705</v>
      </c>
      <c r="B1957" t="s">
        <v>965</v>
      </c>
      <c r="C1957" t="s">
        <v>560</v>
      </c>
      <c r="D1957" s="8">
        <v>4</v>
      </c>
      <c r="E1957" s="8" t="s">
        <v>178</v>
      </c>
    </row>
    <row r="1958" spans="1:5">
      <c r="A1958">
        <v>6092903705</v>
      </c>
      <c r="B1958" t="s">
        <v>966</v>
      </c>
      <c r="C1958" t="s">
        <v>560</v>
      </c>
      <c r="D1958" s="8">
        <v>4.5</v>
      </c>
      <c r="E1958" s="8" t="s">
        <v>324</v>
      </c>
    </row>
    <row r="1959" spans="1:5">
      <c r="A1959">
        <v>6092903705</v>
      </c>
      <c r="B1959" t="s">
        <v>967</v>
      </c>
      <c r="C1959" t="s">
        <v>560</v>
      </c>
      <c r="D1959" s="8">
        <v>5</v>
      </c>
      <c r="E1959" s="8" t="s">
        <v>180</v>
      </c>
    </row>
    <row r="1960" spans="1:5">
      <c r="A1960">
        <v>6092903705</v>
      </c>
      <c r="B1960" t="s">
        <v>968</v>
      </c>
      <c r="C1960" t="s">
        <v>560</v>
      </c>
      <c r="D1960" s="8">
        <v>5.5</v>
      </c>
      <c r="E1960" s="8" t="s">
        <v>325</v>
      </c>
    </row>
    <row r="1961" spans="1:5">
      <c r="A1961">
        <v>6092903705</v>
      </c>
      <c r="B1961" t="s">
        <v>969</v>
      </c>
      <c r="C1961" t="s">
        <v>560</v>
      </c>
      <c r="D1961" s="8">
        <v>6</v>
      </c>
      <c r="E1961" s="8" t="s">
        <v>182</v>
      </c>
    </row>
    <row r="1962" spans="1:5">
      <c r="A1962">
        <v>6092903705</v>
      </c>
      <c r="B1962" t="s">
        <v>970</v>
      </c>
      <c r="C1962" t="s">
        <v>560</v>
      </c>
      <c r="D1962" s="8">
        <v>6.5</v>
      </c>
      <c r="E1962" s="8" t="s">
        <v>326</v>
      </c>
    </row>
    <row r="1963" spans="1:5">
      <c r="A1963">
        <v>6092903705</v>
      </c>
      <c r="B1963" t="s">
        <v>971</v>
      </c>
      <c r="C1963" t="s">
        <v>560</v>
      </c>
      <c r="D1963" s="8">
        <v>7</v>
      </c>
      <c r="E1963" s="8" t="s">
        <v>184</v>
      </c>
    </row>
    <row r="1964" spans="1:5">
      <c r="A1964">
        <v>6092903705</v>
      </c>
      <c r="B1964" t="s">
        <v>972</v>
      </c>
      <c r="C1964" t="s">
        <v>560</v>
      </c>
      <c r="D1964" s="8">
        <v>7.5</v>
      </c>
      <c r="E1964" s="8" t="s">
        <v>330</v>
      </c>
    </row>
    <row r="1965" spans="1:5">
      <c r="A1965">
        <v>6092903705</v>
      </c>
      <c r="B1965" t="s">
        <v>973</v>
      </c>
      <c r="C1965" t="s">
        <v>560</v>
      </c>
      <c r="D1965" s="8">
        <v>8</v>
      </c>
      <c r="E1965" s="8" t="s">
        <v>186</v>
      </c>
    </row>
    <row r="1966" spans="1:5">
      <c r="A1966">
        <v>6092903705</v>
      </c>
      <c r="B1966" t="s">
        <v>974</v>
      </c>
      <c r="C1966" t="s">
        <v>560</v>
      </c>
      <c r="D1966" s="8">
        <v>8.5</v>
      </c>
      <c r="E1966" s="8" t="s">
        <v>333</v>
      </c>
    </row>
    <row r="1967" spans="1:5">
      <c r="A1967">
        <v>6092903705</v>
      </c>
      <c r="B1967" t="s">
        <v>975</v>
      </c>
      <c r="C1967" t="s">
        <v>560</v>
      </c>
      <c r="D1967" s="8">
        <v>9</v>
      </c>
      <c r="E1967" s="8" t="s">
        <v>188</v>
      </c>
    </row>
    <row r="1968" spans="1:5">
      <c r="A1968">
        <v>6092903705</v>
      </c>
      <c r="B1968" t="s">
        <v>976</v>
      </c>
      <c r="C1968" t="s">
        <v>560</v>
      </c>
      <c r="D1968" s="8">
        <v>9.5</v>
      </c>
      <c r="E1968" s="8" t="s">
        <v>335</v>
      </c>
    </row>
    <row r="1969" spans="1:5">
      <c r="A1969">
        <v>6092903705</v>
      </c>
      <c r="B1969" t="s">
        <v>977</v>
      </c>
      <c r="C1969" t="s">
        <v>227</v>
      </c>
      <c r="D1969" s="8">
        <v>10</v>
      </c>
      <c r="E1969" s="8" t="s">
        <v>190</v>
      </c>
    </row>
    <row r="1970" spans="1:5">
      <c r="A1970">
        <v>6092903705</v>
      </c>
      <c r="B1970" t="s">
        <v>978</v>
      </c>
      <c r="C1970" t="s">
        <v>227</v>
      </c>
      <c r="D1970" s="8">
        <v>1</v>
      </c>
      <c r="E1970" s="8" t="s">
        <v>172</v>
      </c>
    </row>
    <row r="1971" spans="1:5">
      <c r="A1971">
        <v>6092903705</v>
      </c>
      <c r="B1971" t="s">
        <v>979</v>
      </c>
      <c r="C1971" t="s">
        <v>227</v>
      </c>
      <c r="D1971" s="8">
        <v>10.5</v>
      </c>
      <c r="E1971" s="8" t="s">
        <v>338</v>
      </c>
    </row>
    <row r="1972" spans="1:5">
      <c r="A1972">
        <v>6092903705</v>
      </c>
      <c r="B1972" t="s">
        <v>980</v>
      </c>
      <c r="C1972" t="s">
        <v>227</v>
      </c>
      <c r="D1972" s="8">
        <v>11</v>
      </c>
      <c r="E1972" s="8" t="s">
        <v>340</v>
      </c>
    </row>
    <row r="1973" spans="1:5">
      <c r="A1973">
        <v>6092903705</v>
      </c>
      <c r="B1973" t="s">
        <v>981</v>
      </c>
      <c r="C1973" t="s">
        <v>227</v>
      </c>
      <c r="D1973" s="8">
        <v>11.5</v>
      </c>
      <c r="E1973" s="8" t="s">
        <v>342</v>
      </c>
    </row>
    <row r="1974" spans="1:5">
      <c r="A1974">
        <v>6092903705</v>
      </c>
      <c r="B1974" t="s">
        <v>982</v>
      </c>
      <c r="C1974" t="s">
        <v>227</v>
      </c>
      <c r="D1974" s="8">
        <v>12</v>
      </c>
      <c r="E1974" s="8" t="s">
        <v>344</v>
      </c>
    </row>
    <row r="1975" spans="1:5">
      <c r="A1975">
        <v>6092903705</v>
      </c>
      <c r="B1975" t="s">
        <v>983</v>
      </c>
      <c r="C1975" t="s">
        <v>227</v>
      </c>
      <c r="D1975" s="8">
        <v>1.5</v>
      </c>
      <c r="E1975" s="8" t="s">
        <v>320</v>
      </c>
    </row>
    <row r="1976" spans="1:5">
      <c r="A1976">
        <v>6092903705</v>
      </c>
      <c r="B1976" t="s">
        <v>984</v>
      </c>
      <c r="C1976" t="s">
        <v>227</v>
      </c>
      <c r="D1976" s="8">
        <v>2</v>
      </c>
      <c r="E1976" s="8" t="s">
        <v>174</v>
      </c>
    </row>
    <row r="1977" spans="1:5">
      <c r="A1977">
        <v>6092903705</v>
      </c>
      <c r="B1977" t="s">
        <v>985</v>
      </c>
      <c r="C1977" t="s">
        <v>227</v>
      </c>
      <c r="D1977" s="8">
        <v>2.5</v>
      </c>
      <c r="E1977" s="8" t="s">
        <v>169</v>
      </c>
    </row>
    <row r="1978" spans="1:5">
      <c r="A1978">
        <v>6092903705</v>
      </c>
      <c r="B1978" t="s">
        <v>986</v>
      </c>
      <c r="C1978" t="s">
        <v>227</v>
      </c>
      <c r="D1978" s="8">
        <v>3</v>
      </c>
      <c r="E1978" s="8" t="s">
        <v>176</v>
      </c>
    </row>
    <row r="1979" spans="1:5">
      <c r="A1979">
        <v>6092903705</v>
      </c>
      <c r="B1979" t="s">
        <v>987</v>
      </c>
      <c r="C1979" t="s">
        <v>227</v>
      </c>
      <c r="D1979" s="8">
        <v>3.5</v>
      </c>
      <c r="E1979" s="8" t="s">
        <v>323</v>
      </c>
    </row>
    <row r="1980" spans="1:5">
      <c r="A1980">
        <v>6092903705</v>
      </c>
      <c r="B1980" t="s">
        <v>988</v>
      </c>
      <c r="C1980" t="s">
        <v>227</v>
      </c>
      <c r="D1980" s="8">
        <v>4</v>
      </c>
      <c r="E1980" s="8" t="s">
        <v>178</v>
      </c>
    </row>
    <row r="1981" spans="1:5">
      <c r="A1981">
        <v>6092903705</v>
      </c>
      <c r="B1981" t="s">
        <v>989</v>
      </c>
      <c r="C1981" t="s">
        <v>227</v>
      </c>
      <c r="D1981" s="8">
        <v>4.5</v>
      </c>
      <c r="E1981" s="8" t="s">
        <v>324</v>
      </c>
    </row>
    <row r="1982" spans="1:5">
      <c r="A1982">
        <v>6092903705</v>
      </c>
      <c r="B1982" t="s">
        <v>990</v>
      </c>
      <c r="C1982" t="s">
        <v>227</v>
      </c>
      <c r="D1982" s="8">
        <v>5</v>
      </c>
      <c r="E1982" s="8" t="s">
        <v>180</v>
      </c>
    </row>
    <row r="1983" spans="1:5">
      <c r="A1983">
        <v>6092903705</v>
      </c>
      <c r="B1983" t="s">
        <v>991</v>
      </c>
      <c r="C1983" t="s">
        <v>227</v>
      </c>
      <c r="D1983" s="8">
        <v>5.5</v>
      </c>
      <c r="E1983" s="8" t="s">
        <v>325</v>
      </c>
    </row>
    <row r="1984" spans="1:5">
      <c r="A1984">
        <v>6092903705</v>
      </c>
      <c r="B1984" t="s">
        <v>992</v>
      </c>
      <c r="C1984" t="s">
        <v>227</v>
      </c>
      <c r="D1984" s="8">
        <v>6</v>
      </c>
      <c r="E1984" s="8" t="s">
        <v>182</v>
      </c>
    </row>
    <row r="1985" spans="1:5">
      <c r="A1985">
        <v>6092903705</v>
      </c>
      <c r="B1985" t="s">
        <v>993</v>
      </c>
      <c r="C1985" t="s">
        <v>227</v>
      </c>
      <c r="D1985" s="8">
        <v>6.5</v>
      </c>
      <c r="E1985" s="8" t="s">
        <v>326</v>
      </c>
    </row>
    <row r="1986" spans="1:5">
      <c r="A1986">
        <v>6092903705</v>
      </c>
      <c r="B1986" t="s">
        <v>994</v>
      </c>
      <c r="C1986" t="s">
        <v>227</v>
      </c>
      <c r="D1986" s="8">
        <v>7</v>
      </c>
      <c r="E1986" s="8" t="s">
        <v>184</v>
      </c>
    </row>
    <row r="1987" spans="1:5">
      <c r="A1987">
        <v>6092903705</v>
      </c>
      <c r="B1987" t="s">
        <v>995</v>
      </c>
      <c r="C1987" t="s">
        <v>227</v>
      </c>
      <c r="D1987" s="8">
        <v>7.5</v>
      </c>
      <c r="E1987" s="8" t="s">
        <v>330</v>
      </c>
    </row>
    <row r="1988" spans="1:5">
      <c r="A1988">
        <v>6092903705</v>
      </c>
      <c r="B1988" t="s">
        <v>996</v>
      </c>
      <c r="C1988" t="s">
        <v>227</v>
      </c>
      <c r="D1988" s="8">
        <v>8</v>
      </c>
      <c r="E1988" s="8" t="s">
        <v>186</v>
      </c>
    </row>
    <row r="1989" spans="1:5">
      <c r="A1989">
        <v>6092903705</v>
      </c>
      <c r="B1989" t="s">
        <v>997</v>
      </c>
      <c r="C1989" t="s">
        <v>227</v>
      </c>
      <c r="D1989" s="8">
        <v>8.5</v>
      </c>
      <c r="E1989" s="8" t="s">
        <v>333</v>
      </c>
    </row>
    <row r="1990" spans="1:5">
      <c r="A1990">
        <v>6092903705</v>
      </c>
      <c r="B1990" t="s">
        <v>998</v>
      </c>
      <c r="C1990" t="s">
        <v>227</v>
      </c>
      <c r="D1990" s="8">
        <v>9</v>
      </c>
      <c r="E1990" s="8" t="s">
        <v>188</v>
      </c>
    </row>
    <row r="1991" spans="1:5">
      <c r="A1991">
        <v>6092903705</v>
      </c>
      <c r="B1991" t="s">
        <v>999</v>
      </c>
      <c r="C1991" t="s">
        <v>227</v>
      </c>
      <c r="D1991" s="8">
        <v>9.5</v>
      </c>
      <c r="E1991" s="8" t="s">
        <v>335</v>
      </c>
    </row>
    <row r="1992" spans="1:5">
      <c r="A1992">
        <v>6092903705</v>
      </c>
      <c r="B1992" t="s">
        <v>1000</v>
      </c>
      <c r="C1992" t="s">
        <v>347</v>
      </c>
      <c r="D1992" s="8">
        <v>10</v>
      </c>
      <c r="E1992" s="8" t="s">
        <v>190</v>
      </c>
    </row>
    <row r="1993" spans="1:5">
      <c r="A1993">
        <v>6092903705</v>
      </c>
      <c r="B1993" t="s">
        <v>1001</v>
      </c>
      <c r="C1993" t="s">
        <v>347</v>
      </c>
      <c r="D1993" s="8">
        <v>1</v>
      </c>
      <c r="E1993" s="8" t="s">
        <v>172</v>
      </c>
    </row>
    <row r="1994" spans="1:5">
      <c r="A1994">
        <v>6092903705</v>
      </c>
      <c r="B1994" t="s">
        <v>1002</v>
      </c>
      <c r="C1994" t="s">
        <v>347</v>
      </c>
      <c r="D1994" s="8">
        <v>10.5</v>
      </c>
      <c r="E1994" s="8" t="s">
        <v>338</v>
      </c>
    </row>
    <row r="1995" spans="1:5">
      <c r="A1995">
        <v>6092903705</v>
      </c>
      <c r="B1995" t="s">
        <v>1003</v>
      </c>
      <c r="C1995" t="s">
        <v>347</v>
      </c>
      <c r="D1995" s="8">
        <v>11</v>
      </c>
      <c r="E1995" s="8" t="s">
        <v>340</v>
      </c>
    </row>
    <row r="1996" spans="1:5">
      <c r="A1996">
        <v>6092903705</v>
      </c>
      <c r="B1996" t="s">
        <v>1004</v>
      </c>
      <c r="C1996" t="s">
        <v>347</v>
      </c>
      <c r="D1996" s="8">
        <v>11.5</v>
      </c>
      <c r="E1996" s="8" t="s">
        <v>342</v>
      </c>
    </row>
    <row r="1997" spans="1:5">
      <c r="A1997">
        <v>6092903705</v>
      </c>
      <c r="B1997" t="s">
        <v>1005</v>
      </c>
      <c r="C1997" t="s">
        <v>347</v>
      </c>
      <c r="D1997" s="8">
        <v>12</v>
      </c>
      <c r="E1997" s="8" t="s">
        <v>344</v>
      </c>
    </row>
    <row r="1998" spans="1:5">
      <c r="A1998">
        <v>6092903705</v>
      </c>
      <c r="B1998" t="s">
        <v>1006</v>
      </c>
      <c r="C1998" t="s">
        <v>347</v>
      </c>
      <c r="D1998" s="8">
        <v>1.5</v>
      </c>
      <c r="E1998" s="8" t="s">
        <v>320</v>
      </c>
    </row>
    <row r="1999" spans="1:5">
      <c r="A1999">
        <v>6092903705</v>
      </c>
      <c r="B1999" t="s">
        <v>1007</v>
      </c>
      <c r="C1999" t="s">
        <v>347</v>
      </c>
      <c r="D1999" s="8">
        <v>2</v>
      </c>
      <c r="E1999" s="8" t="s">
        <v>174</v>
      </c>
    </row>
    <row r="2000" spans="1:5">
      <c r="A2000">
        <v>6092903705</v>
      </c>
      <c r="B2000" t="s">
        <v>1008</v>
      </c>
      <c r="C2000" t="s">
        <v>347</v>
      </c>
      <c r="D2000" s="8">
        <v>2.5</v>
      </c>
      <c r="E2000" s="8" t="s">
        <v>169</v>
      </c>
    </row>
    <row r="2001" spans="1:5">
      <c r="A2001">
        <v>6092903705</v>
      </c>
      <c r="B2001" t="s">
        <v>1009</v>
      </c>
      <c r="C2001" t="s">
        <v>347</v>
      </c>
      <c r="D2001" s="8">
        <v>3</v>
      </c>
      <c r="E2001" s="8" t="s">
        <v>176</v>
      </c>
    </row>
    <row r="2002" spans="1:5">
      <c r="A2002">
        <v>6092903705</v>
      </c>
      <c r="B2002" t="s">
        <v>1010</v>
      </c>
      <c r="C2002" t="s">
        <v>347</v>
      </c>
      <c r="D2002" s="8">
        <v>3.5</v>
      </c>
      <c r="E2002" s="8" t="s">
        <v>323</v>
      </c>
    </row>
    <row r="2003" spans="1:5">
      <c r="A2003">
        <v>6092903705</v>
      </c>
      <c r="B2003" t="s">
        <v>1011</v>
      </c>
      <c r="C2003" t="s">
        <v>347</v>
      </c>
      <c r="D2003" s="8">
        <v>4</v>
      </c>
      <c r="E2003" s="8" t="s">
        <v>178</v>
      </c>
    </row>
    <row r="2004" spans="1:5">
      <c r="A2004">
        <v>6092903705</v>
      </c>
      <c r="B2004" t="s">
        <v>1012</v>
      </c>
      <c r="C2004" t="s">
        <v>347</v>
      </c>
      <c r="D2004" s="8">
        <v>4.5</v>
      </c>
      <c r="E2004" s="8" t="s">
        <v>324</v>
      </c>
    </row>
    <row r="2005" spans="1:5">
      <c r="A2005">
        <v>6092903705</v>
      </c>
      <c r="B2005" t="s">
        <v>1013</v>
      </c>
      <c r="C2005" t="s">
        <v>347</v>
      </c>
      <c r="D2005" s="8">
        <v>5</v>
      </c>
      <c r="E2005" s="8" t="s">
        <v>180</v>
      </c>
    </row>
    <row r="2006" spans="1:5">
      <c r="A2006">
        <v>6092903705</v>
      </c>
      <c r="B2006" t="s">
        <v>1014</v>
      </c>
      <c r="C2006" t="s">
        <v>347</v>
      </c>
      <c r="D2006" s="8">
        <v>5.5</v>
      </c>
      <c r="E2006" s="8" t="s">
        <v>325</v>
      </c>
    </row>
    <row r="2007" spans="1:5">
      <c r="A2007">
        <v>6092903705</v>
      </c>
      <c r="B2007" t="s">
        <v>1015</v>
      </c>
      <c r="C2007" t="s">
        <v>347</v>
      </c>
      <c r="D2007" s="8">
        <v>6</v>
      </c>
      <c r="E2007" s="8" t="s">
        <v>182</v>
      </c>
    </row>
    <row r="2008" spans="1:5">
      <c r="A2008">
        <v>6092903705</v>
      </c>
      <c r="B2008" t="s">
        <v>1016</v>
      </c>
      <c r="C2008" t="s">
        <v>347</v>
      </c>
      <c r="D2008" s="8">
        <v>6.5</v>
      </c>
      <c r="E2008" s="8" t="s">
        <v>326</v>
      </c>
    </row>
    <row r="2009" spans="1:5">
      <c r="A2009">
        <v>6092903705</v>
      </c>
      <c r="B2009" t="s">
        <v>1017</v>
      </c>
      <c r="C2009" t="s">
        <v>347</v>
      </c>
      <c r="D2009" s="8">
        <v>7</v>
      </c>
      <c r="E2009" s="8" t="s">
        <v>184</v>
      </c>
    </row>
    <row r="2010" spans="1:5">
      <c r="A2010">
        <v>6092903705</v>
      </c>
      <c r="B2010" t="s">
        <v>1018</v>
      </c>
      <c r="C2010" t="s">
        <v>347</v>
      </c>
      <c r="D2010" s="8">
        <v>7.5</v>
      </c>
      <c r="E2010" s="8" t="s">
        <v>330</v>
      </c>
    </row>
    <row r="2011" spans="1:5">
      <c r="A2011">
        <v>6092903705</v>
      </c>
      <c r="B2011" t="s">
        <v>1019</v>
      </c>
      <c r="C2011" t="s">
        <v>347</v>
      </c>
      <c r="D2011" s="8">
        <v>8</v>
      </c>
      <c r="E2011" s="8" t="s">
        <v>186</v>
      </c>
    </row>
    <row r="2012" spans="1:5">
      <c r="A2012">
        <v>6092903705</v>
      </c>
      <c r="B2012" t="s">
        <v>1020</v>
      </c>
      <c r="C2012" t="s">
        <v>347</v>
      </c>
      <c r="D2012" s="8">
        <v>8.5</v>
      </c>
      <c r="E2012" s="8" t="s">
        <v>333</v>
      </c>
    </row>
    <row r="2013" spans="1:5">
      <c r="A2013">
        <v>6092903705</v>
      </c>
      <c r="B2013" t="s">
        <v>1021</v>
      </c>
      <c r="C2013" t="s">
        <v>347</v>
      </c>
      <c r="D2013" s="8">
        <v>9</v>
      </c>
      <c r="E2013" s="8" t="s">
        <v>188</v>
      </c>
    </row>
    <row r="2014" spans="1:5">
      <c r="A2014">
        <v>6092903705</v>
      </c>
      <c r="B2014" t="s">
        <v>1022</v>
      </c>
      <c r="C2014" t="s">
        <v>347</v>
      </c>
      <c r="D2014" s="8">
        <v>9.5</v>
      </c>
      <c r="E2014" s="8" t="s">
        <v>335</v>
      </c>
    </row>
    <row r="2015" spans="1:5">
      <c r="A2015">
        <v>6092903705</v>
      </c>
      <c r="B2015" t="s">
        <v>1023</v>
      </c>
      <c r="C2015" t="s">
        <v>561</v>
      </c>
      <c r="D2015" s="8">
        <v>10</v>
      </c>
      <c r="E2015" s="8" t="s">
        <v>190</v>
      </c>
    </row>
    <row r="2016" spans="1:5">
      <c r="A2016">
        <v>6092903705</v>
      </c>
      <c r="B2016" t="s">
        <v>1024</v>
      </c>
      <c r="C2016" t="s">
        <v>561</v>
      </c>
      <c r="D2016" s="8">
        <v>1</v>
      </c>
      <c r="E2016" s="8" t="s">
        <v>172</v>
      </c>
    </row>
    <row r="2017" spans="1:5">
      <c r="A2017">
        <v>6092903705</v>
      </c>
      <c r="B2017" t="s">
        <v>1025</v>
      </c>
      <c r="C2017" t="s">
        <v>561</v>
      </c>
      <c r="D2017" s="8">
        <v>10.5</v>
      </c>
      <c r="E2017" s="8" t="s">
        <v>338</v>
      </c>
    </row>
    <row r="2018" spans="1:5">
      <c r="A2018">
        <v>6092903705</v>
      </c>
      <c r="B2018" t="s">
        <v>1026</v>
      </c>
      <c r="C2018" t="s">
        <v>561</v>
      </c>
      <c r="D2018" s="8">
        <v>11</v>
      </c>
      <c r="E2018" s="8" t="s">
        <v>340</v>
      </c>
    </row>
    <row r="2019" spans="1:5">
      <c r="A2019">
        <v>6092903705</v>
      </c>
      <c r="B2019" t="s">
        <v>1027</v>
      </c>
      <c r="C2019" t="s">
        <v>561</v>
      </c>
      <c r="D2019" s="8">
        <v>11.5</v>
      </c>
      <c r="E2019" s="8" t="s">
        <v>342</v>
      </c>
    </row>
    <row r="2020" spans="1:5">
      <c r="A2020">
        <v>6092903705</v>
      </c>
      <c r="B2020" t="s">
        <v>1028</v>
      </c>
      <c r="C2020" t="s">
        <v>561</v>
      </c>
      <c r="D2020" s="8">
        <v>12</v>
      </c>
      <c r="E2020" s="8" t="s">
        <v>344</v>
      </c>
    </row>
    <row r="2021" spans="1:5">
      <c r="A2021">
        <v>6092903705</v>
      </c>
      <c r="B2021" t="s">
        <v>1029</v>
      </c>
      <c r="C2021" t="s">
        <v>561</v>
      </c>
      <c r="D2021" s="8">
        <v>1.5</v>
      </c>
      <c r="E2021" s="8" t="s">
        <v>320</v>
      </c>
    </row>
    <row r="2022" spans="1:5">
      <c r="A2022">
        <v>6092903705</v>
      </c>
      <c r="B2022" t="s">
        <v>1030</v>
      </c>
      <c r="C2022" t="s">
        <v>561</v>
      </c>
      <c r="D2022" s="8">
        <v>2</v>
      </c>
      <c r="E2022" s="8" t="s">
        <v>174</v>
      </c>
    </row>
    <row r="2023" spans="1:5">
      <c r="A2023">
        <v>6092903705</v>
      </c>
      <c r="B2023" t="s">
        <v>1031</v>
      </c>
      <c r="C2023" t="s">
        <v>561</v>
      </c>
      <c r="D2023" s="8">
        <v>2.5</v>
      </c>
      <c r="E2023" s="8" t="s">
        <v>169</v>
      </c>
    </row>
    <row r="2024" spans="1:5">
      <c r="A2024">
        <v>6092903705</v>
      </c>
      <c r="B2024" t="s">
        <v>1032</v>
      </c>
      <c r="C2024" t="s">
        <v>561</v>
      </c>
      <c r="D2024" s="8">
        <v>3</v>
      </c>
      <c r="E2024" s="8" t="s">
        <v>176</v>
      </c>
    </row>
    <row r="2025" spans="1:5">
      <c r="A2025">
        <v>6092903705</v>
      </c>
      <c r="B2025" t="s">
        <v>1033</v>
      </c>
      <c r="C2025" t="s">
        <v>561</v>
      </c>
      <c r="D2025" s="8">
        <v>3.5</v>
      </c>
      <c r="E2025" s="8" t="s">
        <v>323</v>
      </c>
    </row>
    <row r="2026" spans="1:5">
      <c r="A2026">
        <v>6092903705</v>
      </c>
      <c r="B2026" t="s">
        <v>1034</v>
      </c>
      <c r="C2026" t="s">
        <v>561</v>
      </c>
      <c r="D2026" s="8">
        <v>4</v>
      </c>
      <c r="E2026" s="8" t="s">
        <v>178</v>
      </c>
    </row>
    <row r="2027" spans="1:5">
      <c r="A2027">
        <v>6092903705</v>
      </c>
      <c r="B2027" t="s">
        <v>1035</v>
      </c>
      <c r="C2027" t="s">
        <v>561</v>
      </c>
      <c r="D2027" s="8">
        <v>4.5</v>
      </c>
      <c r="E2027" s="8" t="s">
        <v>324</v>
      </c>
    </row>
    <row r="2028" spans="1:5">
      <c r="A2028">
        <v>6092903705</v>
      </c>
      <c r="B2028" t="s">
        <v>1036</v>
      </c>
      <c r="C2028" t="s">
        <v>561</v>
      </c>
      <c r="D2028" s="8">
        <v>5</v>
      </c>
      <c r="E2028" s="8" t="s">
        <v>180</v>
      </c>
    </row>
    <row r="2029" spans="1:5">
      <c r="A2029">
        <v>6092903705</v>
      </c>
      <c r="B2029" t="s">
        <v>1037</v>
      </c>
      <c r="C2029" t="s">
        <v>561</v>
      </c>
      <c r="D2029" s="8">
        <v>5.5</v>
      </c>
      <c r="E2029" s="8" t="s">
        <v>325</v>
      </c>
    </row>
    <row r="2030" spans="1:5">
      <c r="A2030">
        <v>6092903705</v>
      </c>
      <c r="B2030" t="s">
        <v>1038</v>
      </c>
      <c r="C2030" t="s">
        <v>561</v>
      </c>
      <c r="D2030" s="8">
        <v>6</v>
      </c>
      <c r="E2030" s="8" t="s">
        <v>182</v>
      </c>
    </row>
    <row r="2031" spans="1:5">
      <c r="A2031">
        <v>6092903705</v>
      </c>
      <c r="B2031" t="s">
        <v>1039</v>
      </c>
      <c r="C2031" t="s">
        <v>561</v>
      </c>
      <c r="D2031" s="8">
        <v>6.5</v>
      </c>
      <c r="E2031" s="8" t="s">
        <v>326</v>
      </c>
    </row>
    <row r="2032" spans="1:5">
      <c r="A2032">
        <v>6092903705</v>
      </c>
      <c r="B2032" t="s">
        <v>1040</v>
      </c>
      <c r="C2032" t="s">
        <v>561</v>
      </c>
      <c r="D2032" s="8">
        <v>7</v>
      </c>
      <c r="E2032" s="8" t="s">
        <v>184</v>
      </c>
    </row>
    <row r="2033" spans="1:5">
      <c r="A2033">
        <v>6092903705</v>
      </c>
      <c r="B2033" t="s">
        <v>1041</v>
      </c>
      <c r="C2033" t="s">
        <v>561</v>
      </c>
      <c r="D2033" s="8">
        <v>7.5</v>
      </c>
      <c r="E2033" s="8" t="s">
        <v>330</v>
      </c>
    </row>
    <row r="2034" spans="1:5">
      <c r="A2034">
        <v>6092903705</v>
      </c>
      <c r="B2034" t="s">
        <v>1042</v>
      </c>
      <c r="C2034" t="s">
        <v>561</v>
      </c>
      <c r="D2034" s="8">
        <v>8</v>
      </c>
      <c r="E2034" s="8" t="s">
        <v>186</v>
      </c>
    </row>
    <row r="2035" spans="1:5">
      <c r="A2035">
        <v>6092903705</v>
      </c>
      <c r="B2035" t="s">
        <v>1043</v>
      </c>
      <c r="C2035" t="s">
        <v>561</v>
      </c>
      <c r="D2035" s="8">
        <v>8.5</v>
      </c>
      <c r="E2035" s="8" t="s">
        <v>333</v>
      </c>
    </row>
    <row r="2036" spans="1:5">
      <c r="A2036">
        <v>6092903705</v>
      </c>
      <c r="B2036" t="s">
        <v>1044</v>
      </c>
      <c r="C2036" t="s">
        <v>561</v>
      </c>
      <c r="D2036" s="8">
        <v>9</v>
      </c>
      <c r="E2036" s="8" t="s">
        <v>188</v>
      </c>
    </row>
    <row r="2037" spans="1:5">
      <c r="A2037">
        <v>6092903705</v>
      </c>
      <c r="B2037" t="s">
        <v>1045</v>
      </c>
      <c r="C2037" t="s">
        <v>561</v>
      </c>
      <c r="D2037" s="8">
        <v>9.5</v>
      </c>
      <c r="E2037" s="8" t="s">
        <v>335</v>
      </c>
    </row>
    <row r="2038" spans="1:5">
      <c r="A2038">
        <v>6092903705</v>
      </c>
      <c r="B2038" t="s">
        <v>1046</v>
      </c>
      <c r="C2038" t="s">
        <v>420</v>
      </c>
      <c r="D2038" s="8">
        <v>10</v>
      </c>
      <c r="E2038" s="8" t="s">
        <v>190</v>
      </c>
    </row>
    <row r="2039" spans="1:5">
      <c r="A2039">
        <v>6092903705</v>
      </c>
      <c r="B2039" t="s">
        <v>1047</v>
      </c>
      <c r="C2039" t="s">
        <v>420</v>
      </c>
      <c r="D2039" s="8">
        <v>1</v>
      </c>
      <c r="E2039" s="8" t="s">
        <v>172</v>
      </c>
    </row>
    <row r="2040" spans="1:5">
      <c r="A2040">
        <v>6092903705</v>
      </c>
      <c r="B2040" t="s">
        <v>1048</v>
      </c>
      <c r="C2040" t="s">
        <v>420</v>
      </c>
      <c r="D2040" s="8">
        <v>10.5</v>
      </c>
      <c r="E2040" s="8" t="s">
        <v>338</v>
      </c>
    </row>
    <row r="2041" spans="1:5">
      <c r="A2041">
        <v>6092903705</v>
      </c>
      <c r="B2041" t="s">
        <v>1049</v>
      </c>
      <c r="C2041" t="s">
        <v>420</v>
      </c>
      <c r="D2041" s="8">
        <v>11</v>
      </c>
      <c r="E2041" s="8" t="s">
        <v>340</v>
      </c>
    </row>
    <row r="2042" spans="1:5">
      <c r="A2042">
        <v>6092903705</v>
      </c>
      <c r="B2042" t="s">
        <v>1050</v>
      </c>
      <c r="C2042" t="s">
        <v>420</v>
      </c>
      <c r="D2042" s="8">
        <v>11.5</v>
      </c>
      <c r="E2042" s="8" t="s">
        <v>342</v>
      </c>
    </row>
    <row r="2043" spans="1:5">
      <c r="A2043">
        <v>6092903705</v>
      </c>
      <c r="B2043" t="s">
        <v>1051</v>
      </c>
      <c r="C2043" t="s">
        <v>420</v>
      </c>
      <c r="D2043" s="8">
        <v>12</v>
      </c>
      <c r="E2043" s="8" t="s">
        <v>344</v>
      </c>
    </row>
    <row r="2044" spans="1:5">
      <c r="A2044">
        <v>6092903705</v>
      </c>
      <c r="B2044" t="s">
        <v>1052</v>
      </c>
      <c r="C2044" t="s">
        <v>420</v>
      </c>
      <c r="D2044" s="8">
        <v>1.5</v>
      </c>
      <c r="E2044" s="8" t="s">
        <v>320</v>
      </c>
    </row>
    <row r="2045" spans="1:5">
      <c r="A2045">
        <v>6092903705</v>
      </c>
      <c r="B2045" t="s">
        <v>1053</v>
      </c>
      <c r="C2045" t="s">
        <v>420</v>
      </c>
      <c r="D2045" s="8">
        <v>2</v>
      </c>
      <c r="E2045" s="8" t="s">
        <v>174</v>
      </c>
    </row>
    <row r="2046" spans="1:5">
      <c r="A2046">
        <v>6092903705</v>
      </c>
      <c r="B2046" t="s">
        <v>1054</v>
      </c>
      <c r="C2046" t="s">
        <v>420</v>
      </c>
      <c r="D2046" s="8">
        <v>2.5</v>
      </c>
      <c r="E2046" s="8" t="s">
        <v>169</v>
      </c>
    </row>
    <row r="2047" spans="1:5">
      <c r="A2047">
        <v>6092903705</v>
      </c>
      <c r="B2047" t="s">
        <v>1055</v>
      </c>
      <c r="C2047" t="s">
        <v>420</v>
      </c>
      <c r="D2047" s="8">
        <v>3</v>
      </c>
      <c r="E2047" s="8" t="s">
        <v>176</v>
      </c>
    </row>
    <row r="2048" spans="1:5">
      <c r="A2048">
        <v>6092903705</v>
      </c>
      <c r="B2048" t="s">
        <v>1056</v>
      </c>
      <c r="C2048" t="s">
        <v>420</v>
      </c>
      <c r="D2048" s="8">
        <v>3.5</v>
      </c>
      <c r="E2048" s="8" t="s">
        <v>323</v>
      </c>
    </row>
    <row r="2049" spans="1:5">
      <c r="A2049">
        <v>6092903705</v>
      </c>
      <c r="B2049" t="s">
        <v>1057</v>
      </c>
      <c r="C2049" t="s">
        <v>420</v>
      </c>
      <c r="D2049" s="8">
        <v>4</v>
      </c>
      <c r="E2049" s="8" t="s">
        <v>178</v>
      </c>
    </row>
    <row r="2050" spans="1:5">
      <c r="A2050">
        <v>6092903705</v>
      </c>
      <c r="B2050" t="s">
        <v>1058</v>
      </c>
      <c r="C2050" t="s">
        <v>420</v>
      </c>
      <c r="D2050" s="8">
        <v>4.5</v>
      </c>
      <c r="E2050" s="8" t="s">
        <v>324</v>
      </c>
    </row>
    <row r="2051" spans="1:5">
      <c r="A2051">
        <v>6092903705</v>
      </c>
      <c r="B2051" t="s">
        <v>1059</v>
      </c>
      <c r="C2051" t="s">
        <v>420</v>
      </c>
      <c r="D2051" s="8">
        <v>5</v>
      </c>
      <c r="E2051" s="8" t="s">
        <v>180</v>
      </c>
    </row>
    <row r="2052" spans="1:5">
      <c r="A2052">
        <v>6092903705</v>
      </c>
      <c r="B2052" t="s">
        <v>1060</v>
      </c>
      <c r="C2052" t="s">
        <v>420</v>
      </c>
      <c r="D2052" s="8">
        <v>5.5</v>
      </c>
      <c r="E2052" s="8" t="s">
        <v>325</v>
      </c>
    </row>
    <row r="2053" spans="1:5">
      <c r="A2053">
        <v>6092903705</v>
      </c>
      <c r="B2053" t="s">
        <v>1061</v>
      </c>
      <c r="C2053" t="s">
        <v>420</v>
      </c>
      <c r="D2053" s="8">
        <v>6</v>
      </c>
      <c r="E2053" s="8" t="s">
        <v>182</v>
      </c>
    </row>
    <row r="2054" spans="1:5">
      <c r="A2054">
        <v>6092903705</v>
      </c>
      <c r="B2054" t="s">
        <v>1062</v>
      </c>
      <c r="C2054" t="s">
        <v>420</v>
      </c>
      <c r="D2054" s="8">
        <v>6.5</v>
      </c>
      <c r="E2054" s="8" t="s">
        <v>326</v>
      </c>
    </row>
    <row r="2055" spans="1:5">
      <c r="A2055">
        <v>6092903705</v>
      </c>
      <c r="B2055" t="s">
        <v>1063</v>
      </c>
      <c r="C2055" t="s">
        <v>420</v>
      </c>
      <c r="D2055" s="8">
        <v>7</v>
      </c>
      <c r="E2055" s="8" t="s">
        <v>184</v>
      </c>
    </row>
    <row r="2056" spans="1:5">
      <c r="A2056">
        <v>6092903705</v>
      </c>
      <c r="B2056" t="s">
        <v>1064</v>
      </c>
      <c r="C2056" t="s">
        <v>420</v>
      </c>
      <c r="D2056" s="8">
        <v>7.5</v>
      </c>
      <c r="E2056" s="8" t="s">
        <v>330</v>
      </c>
    </row>
    <row r="2057" spans="1:5">
      <c r="A2057">
        <v>6092903705</v>
      </c>
      <c r="B2057" t="s">
        <v>1065</v>
      </c>
      <c r="C2057" t="s">
        <v>420</v>
      </c>
      <c r="D2057" s="8">
        <v>8</v>
      </c>
      <c r="E2057" s="8" t="s">
        <v>186</v>
      </c>
    </row>
    <row r="2058" spans="1:5">
      <c r="A2058">
        <v>6092903705</v>
      </c>
      <c r="B2058" t="s">
        <v>1066</v>
      </c>
      <c r="C2058" t="s">
        <v>420</v>
      </c>
      <c r="D2058" s="8">
        <v>8.5</v>
      </c>
      <c r="E2058" s="8" t="s">
        <v>333</v>
      </c>
    </row>
    <row r="2059" spans="1:5">
      <c r="A2059">
        <v>6092903705</v>
      </c>
      <c r="B2059" t="s">
        <v>1067</v>
      </c>
      <c r="C2059" t="s">
        <v>420</v>
      </c>
      <c r="D2059" s="8">
        <v>9</v>
      </c>
      <c r="E2059" s="8" t="s">
        <v>188</v>
      </c>
    </row>
    <row r="2060" spans="1:5">
      <c r="A2060">
        <v>6092903705</v>
      </c>
      <c r="B2060" t="s">
        <v>1068</v>
      </c>
      <c r="C2060" t="s">
        <v>420</v>
      </c>
      <c r="D2060" s="8">
        <v>9.5</v>
      </c>
      <c r="E2060" s="8" t="s">
        <v>335</v>
      </c>
    </row>
    <row r="2061" spans="1:5">
      <c r="A2061">
        <v>6092903705</v>
      </c>
      <c r="B2061" t="s">
        <v>1069</v>
      </c>
      <c r="C2061" t="s">
        <v>230</v>
      </c>
      <c r="D2061" s="8">
        <v>10</v>
      </c>
      <c r="E2061" s="8" t="s">
        <v>190</v>
      </c>
    </row>
    <row r="2062" spans="1:5">
      <c r="A2062">
        <v>6092903705</v>
      </c>
      <c r="B2062" t="s">
        <v>1070</v>
      </c>
      <c r="C2062" t="s">
        <v>230</v>
      </c>
      <c r="D2062" s="8">
        <v>1</v>
      </c>
      <c r="E2062" s="8" t="s">
        <v>172</v>
      </c>
    </row>
    <row r="2063" spans="1:5">
      <c r="A2063">
        <v>6092903705</v>
      </c>
      <c r="B2063" t="s">
        <v>1071</v>
      </c>
      <c r="C2063" t="s">
        <v>230</v>
      </c>
      <c r="D2063" s="8">
        <v>10.5</v>
      </c>
      <c r="E2063" s="8" t="s">
        <v>338</v>
      </c>
    </row>
    <row r="2064" spans="1:5">
      <c r="A2064">
        <v>6092903705</v>
      </c>
      <c r="B2064" t="s">
        <v>1072</v>
      </c>
      <c r="C2064" t="s">
        <v>230</v>
      </c>
      <c r="D2064" s="8">
        <v>11</v>
      </c>
      <c r="E2064" s="8" t="s">
        <v>340</v>
      </c>
    </row>
    <row r="2065" spans="1:5">
      <c r="A2065">
        <v>6092903705</v>
      </c>
      <c r="B2065" t="s">
        <v>1073</v>
      </c>
      <c r="C2065" t="s">
        <v>230</v>
      </c>
      <c r="D2065" s="8">
        <v>11.5</v>
      </c>
      <c r="E2065" s="8" t="s">
        <v>342</v>
      </c>
    </row>
    <row r="2066" spans="1:5">
      <c r="A2066">
        <v>6092903705</v>
      </c>
      <c r="B2066" t="s">
        <v>1074</v>
      </c>
      <c r="C2066" t="s">
        <v>230</v>
      </c>
      <c r="D2066" s="8">
        <v>12</v>
      </c>
      <c r="E2066" s="8" t="s">
        <v>344</v>
      </c>
    </row>
    <row r="2067" spans="1:5">
      <c r="A2067">
        <v>6092903705</v>
      </c>
      <c r="B2067" t="s">
        <v>1075</v>
      </c>
      <c r="C2067" t="s">
        <v>230</v>
      </c>
      <c r="D2067" s="8">
        <v>1.5</v>
      </c>
      <c r="E2067" s="8" t="s">
        <v>320</v>
      </c>
    </row>
    <row r="2068" spans="1:5">
      <c r="A2068">
        <v>6092903705</v>
      </c>
      <c r="B2068" t="s">
        <v>1076</v>
      </c>
      <c r="C2068" t="s">
        <v>230</v>
      </c>
      <c r="D2068" s="8">
        <v>2</v>
      </c>
      <c r="E2068" s="8" t="s">
        <v>174</v>
      </c>
    </row>
    <row r="2069" spans="1:5">
      <c r="A2069">
        <v>6092903705</v>
      </c>
      <c r="B2069" t="s">
        <v>1077</v>
      </c>
      <c r="C2069" t="s">
        <v>230</v>
      </c>
      <c r="D2069" s="8">
        <v>2.5</v>
      </c>
      <c r="E2069" s="8" t="s">
        <v>169</v>
      </c>
    </row>
    <row r="2070" spans="1:5">
      <c r="A2070">
        <v>6092903705</v>
      </c>
      <c r="B2070" t="s">
        <v>1078</v>
      </c>
      <c r="C2070" t="s">
        <v>230</v>
      </c>
      <c r="D2070" s="8">
        <v>3</v>
      </c>
      <c r="E2070" s="8" t="s">
        <v>176</v>
      </c>
    </row>
    <row r="2071" spans="1:5">
      <c r="A2071">
        <v>6092903705</v>
      </c>
      <c r="B2071" t="s">
        <v>1079</v>
      </c>
      <c r="C2071" t="s">
        <v>230</v>
      </c>
      <c r="D2071" s="8">
        <v>3.5</v>
      </c>
      <c r="E2071" s="8" t="s">
        <v>323</v>
      </c>
    </row>
    <row r="2072" spans="1:5">
      <c r="A2072">
        <v>6092903705</v>
      </c>
      <c r="B2072" t="s">
        <v>1080</v>
      </c>
      <c r="C2072" t="s">
        <v>230</v>
      </c>
      <c r="D2072" s="8">
        <v>4</v>
      </c>
      <c r="E2072" s="8" t="s">
        <v>178</v>
      </c>
    </row>
    <row r="2073" spans="1:5">
      <c r="A2073">
        <v>6092903705</v>
      </c>
      <c r="B2073" t="s">
        <v>1081</v>
      </c>
      <c r="C2073" t="s">
        <v>230</v>
      </c>
      <c r="D2073" s="8">
        <v>4.5</v>
      </c>
      <c r="E2073" s="8" t="s">
        <v>324</v>
      </c>
    </row>
    <row r="2074" spans="1:5">
      <c r="A2074">
        <v>6092903705</v>
      </c>
      <c r="B2074" t="s">
        <v>1082</v>
      </c>
      <c r="C2074" t="s">
        <v>230</v>
      </c>
      <c r="D2074" s="8">
        <v>5</v>
      </c>
      <c r="E2074" s="8" t="s">
        <v>180</v>
      </c>
    </row>
    <row r="2075" spans="1:5">
      <c r="A2075">
        <v>6092903705</v>
      </c>
      <c r="B2075" t="s">
        <v>1083</v>
      </c>
      <c r="C2075" t="s">
        <v>230</v>
      </c>
      <c r="D2075" s="8">
        <v>5.5</v>
      </c>
      <c r="E2075" s="8" t="s">
        <v>325</v>
      </c>
    </row>
    <row r="2076" spans="1:5">
      <c r="A2076">
        <v>6092903705</v>
      </c>
      <c r="B2076" t="s">
        <v>1084</v>
      </c>
      <c r="C2076" t="s">
        <v>230</v>
      </c>
      <c r="D2076" s="8">
        <v>6</v>
      </c>
      <c r="E2076" s="8" t="s">
        <v>182</v>
      </c>
    </row>
    <row r="2077" spans="1:5">
      <c r="A2077">
        <v>6092903705</v>
      </c>
      <c r="B2077" t="s">
        <v>1085</v>
      </c>
      <c r="C2077" t="s">
        <v>230</v>
      </c>
      <c r="D2077" s="8">
        <v>6.5</v>
      </c>
      <c r="E2077" s="8" t="s">
        <v>326</v>
      </c>
    </row>
    <row r="2078" spans="1:5">
      <c r="A2078">
        <v>6092903705</v>
      </c>
      <c r="B2078" t="s">
        <v>1086</v>
      </c>
      <c r="C2078" t="s">
        <v>230</v>
      </c>
      <c r="D2078" s="8">
        <v>7</v>
      </c>
      <c r="E2078" s="8" t="s">
        <v>184</v>
      </c>
    </row>
    <row r="2079" spans="1:5">
      <c r="A2079">
        <v>6092903705</v>
      </c>
      <c r="B2079" t="s">
        <v>1087</v>
      </c>
      <c r="C2079" t="s">
        <v>230</v>
      </c>
      <c r="D2079" s="8">
        <v>7.5</v>
      </c>
      <c r="E2079" s="8" t="s">
        <v>330</v>
      </c>
    </row>
    <row r="2080" spans="1:5">
      <c r="A2080">
        <v>6092903705</v>
      </c>
      <c r="B2080" t="s">
        <v>1088</v>
      </c>
      <c r="C2080" t="s">
        <v>230</v>
      </c>
      <c r="D2080" s="8">
        <v>8</v>
      </c>
      <c r="E2080" s="8" t="s">
        <v>186</v>
      </c>
    </row>
    <row r="2081" spans="1:5">
      <c r="A2081">
        <v>6092903705</v>
      </c>
      <c r="B2081" t="s">
        <v>1089</v>
      </c>
      <c r="C2081" t="s">
        <v>230</v>
      </c>
      <c r="D2081" s="8">
        <v>8.5</v>
      </c>
      <c r="E2081" s="8" t="s">
        <v>333</v>
      </c>
    </row>
    <row r="2082" spans="1:5">
      <c r="A2082">
        <v>6092903705</v>
      </c>
      <c r="B2082" t="s">
        <v>1090</v>
      </c>
      <c r="C2082" t="s">
        <v>230</v>
      </c>
      <c r="D2082" s="8">
        <v>9</v>
      </c>
      <c r="E2082" s="8" t="s">
        <v>188</v>
      </c>
    </row>
    <row r="2083" spans="1:5">
      <c r="A2083">
        <v>6092903705</v>
      </c>
      <c r="B2083" t="s">
        <v>1091</v>
      </c>
      <c r="C2083" t="s">
        <v>230</v>
      </c>
      <c r="D2083" s="8">
        <v>9.5</v>
      </c>
      <c r="E2083" s="8" t="s">
        <v>335</v>
      </c>
    </row>
    <row r="2084" spans="1:5">
      <c r="A2084">
        <v>6092903705</v>
      </c>
      <c r="B2084" t="s">
        <v>1092</v>
      </c>
      <c r="C2084" t="s">
        <v>562</v>
      </c>
      <c r="D2084" s="8">
        <v>10</v>
      </c>
      <c r="E2084" s="8" t="s">
        <v>190</v>
      </c>
    </row>
    <row r="2085" spans="1:5">
      <c r="A2085">
        <v>6092903705</v>
      </c>
      <c r="B2085" t="s">
        <v>1093</v>
      </c>
      <c r="C2085" t="s">
        <v>562</v>
      </c>
      <c r="D2085" s="8">
        <v>1</v>
      </c>
      <c r="E2085" s="8" t="s">
        <v>172</v>
      </c>
    </row>
    <row r="2086" spans="1:5">
      <c r="A2086">
        <v>6092903705</v>
      </c>
      <c r="B2086" t="s">
        <v>1094</v>
      </c>
      <c r="C2086" t="s">
        <v>562</v>
      </c>
      <c r="D2086" s="8">
        <v>10.5</v>
      </c>
      <c r="E2086" s="8" t="s">
        <v>338</v>
      </c>
    </row>
    <row r="2087" spans="1:5">
      <c r="A2087">
        <v>6092903705</v>
      </c>
      <c r="B2087" t="s">
        <v>1095</v>
      </c>
      <c r="C2087" t="s">
        <v>562</v>
      </c>
      <c r="D2087" s="8">
        <v>11</v>
      </c>
      <c r="E2087" s="8" t="s">
        <v>340</v>
      </c>
    </row>
    <row r="2088" spans="1:5">
      <c r="A2088">
        <v>6092903705</v>
      </c>
      <c r="B2088" t="s">
        <v>1096</v>
      </c>
      <c r="C2088" t="s">
        <v>562</v>
      </c>
      <c r="D2088" s="8">
        <v>11.5</v>
      </c>
      <c r="E2088" s="8" t="s">
        <v>342</v>
      </c>
    </row>
    <row r="2089" spans="1:5">
      <c r="A2089">
        <v>6092903705</v>
      </c>
      <c r="B2089" t="s">
        <v>1097</v>
      </c>
      <c r="C2089" t="s">
        <v>562</v>
      </c>
      <c r="D2089" s="8">
        <v>12</v>
      </c>
      <c r="E2089" s="8" t="s">
        <v>344</v>
      </c>
    </row>
    <row r="2090" spans="1:5">
      <c r="A2090">
        <v>6092903705</v>
      </c>
      <c r="B2090" t="s">
        <v>1098</v>
      </c>
      <c r="C2090" t="s">
        <v>562</v>
      </c>
      <c r="D2090" s="8">
        <v>1.5</v>
      </c>
      <c r="E2090" s="8" t="s">
        <v>320</v>
      </c>
    </row>
    <row r="2091" spans="1:5">
      <c r="A2091">
        <v>6092903705</v>
      </c>
      <c r="B2091" t="s">
        <v>1099</v>
      </c>
      <c r="C2091" t="s">
        <v>562</v>
      </c>
      <c r="D2091" s="8">
        <v>2</v>
      </c>
      <c r="E2091" s="8" t="s">
        <v>174</v>
      </c>
    </row>
    <row r="2092" spans="1:5">
      <c r="A2092">
        <v>6092903705</v>
      </c>
      <c r="B2092" t="s">
        <v>1100</v>
      </c>
      <c r="C2092" t="s">
        <v>562</v>
      </c>
      <c r="D2092" s="8">
        <v>2.5</v>
      </c>
      <c r="E2092" s="8" t="s">
        <v>169</v>
      </c>
    </row>
    <row r="2093" spans="1:5">
      <c r="A2093">
        <v>6092903705</v>
      </c>
      <c r="B2093" t="s">
        <v>1101</v>
      </c>
      <c r="C2093" t="s">
        <v>562</v>
      </c>
      <c r="D2093" s="8">
        <v>3</v>
      </c>
      <c r="E2093" s="8" t="s">
        <v>176</v>
      </c>
    </row>
    <row r="2094" spans="1:5">
      <c r="A2094">
        <v>6092903705</v>
      </c>
      <c r="B2094" t="s">
        <v>1102</v>
      </c>
      <c r="C2094" t="s">
        <v>562</v>
      </c>
      <c r="D2094" s="8">
        <v>3.5</v>
      </c>
      <c r="E2094" s="8" t="s">
        <v>323</v>
      </c>
    </row>
    <row r="2095" spans="1:5">
      <c r="A2095">
        <v>6092903705</v>
      </c>
      <c r="B2095" t="s">
        <v>1103</v>
      </c>
      <c r="C2095" t="s">
        <v>562</v>
      </c>
      <c r="D2095" s="8">
        <v>4</v>
      </c>
      <c r="E2095" s="8" t="s">
        <v>178</v>
      </c>
    </row>
    <row r="2096" spans="1:5">
      <c r="A2096">
        <v>6092903705</v>
      </c>
      <c r="B2096" t="s">
        <v>1104</v>
      </c>
      <c r="C2096" t="s">
        <v>562</v>
      </c>
      <c r="D2096" s="8">
        <v>4.5</v>
      </c>
      <c r="E2096" s="8" t="s">
        <v>324</v>
      </c>
    </row>
    <row r="2097" spans="1:5">
      <c r="A2097">
        <v>6092903705</v>
      </c>
      <c r="B2097" t="s">
        <v>1105</v>
      </c>
      <c r="C2097" t="s">
        <v>562</v>
      </c>
      <c r="D2097" s="8">
        <v>5</v>
      </c>
      <c r="E2097" s="8" t="s">
        <v>180</v>
      </c>
    </row>
    <row r="2098" spans="1:5">
      <c r="A2098">
        <v>6092903705</v>
      </c>
      <c r="B2098" t="s">
        <v>1106</v>
      </c>
      <c r="C2098" t="s">
        <v>562</v>
      </c>
      <c r="D2098" s="8">
        <v>5.5</v>
      </c>
      <c r="E2098" s="8" t="s">
        <v>325</v>
      </c>
    </row>
    <row r="2099" spans="1:5">
      <c r="A2099">
        <v>6092903705</v>
      </c>
      <c r="B2099" t="s">
        <v>1107</v>
      </c>
      <c r="C2099" t="s">
        <v>562</v>
      </c>
      <c r="D2099" s="8">
        <v>6</v>
      </c>
      <c r="E2099" s="8" t="s">
        <v>182</v>
      </c>
    </row>
    <row r="2100" spans="1:5">
      <c r="A2100">
        <v>6092903705</v>
      </c>
      <c r="B2100" t="s">
        <v>1108</v>
      </c>
      <c r="C2100" t="s">
        <v>562</v>
      </c>
      <c r="D2100" s="8">
        <v>6.5</v>
      </c>
      <c r="E2100" s="8" t="s">
        <v>326</v>
      </c>
    </row>
    <row r="2101" spans="1:5">
      <c r="A2101">
        <v>6092903705</v>
      </c>
      <c r="B2101" t="s">
        <v>1109</v>
      </c>
      <c r="C2101" t="s">
        <v>562</v>
      </c>
      <c r="D2101" s="8">
        <v>7</v>
      </c>
      <c r="E2101" s="8" t="s">
        <v>184</v>
      </c>
    </row>
    <row r="2102" spans="1:5">
      <c r="A2102">
        <v>6092903705</v>
      </c>
      <c r="B2102" t="s">
        <v>1110</v>
      </c>
      <c r="C2102" t="s">
        <v>562</v>
      </c>
      <c r="D2102" s="8">
        <v>7.5</v>
      </c>
      <c r="E2102" s="8" t="s">
        <v>330</v>
      </c>
    </row>
    <row r="2103" spans="1:5">
      <c r="A2103">
        <v>6092903705</v>
      </c>
      <c r="B2103" t="s">
        <v>1111</v>
      </c>
      <c r="C2103" t="s">
        <v>562</v>
      </c>
      <c r="D2103" s="8">
        <v>8</v>
      </c>
      <c r="E2103" s="8" t="s">
        <v>186</v>
      </c>
    </row>
    <row r="2104" spans="1:5">
      <c r="A2104">
        <v>6092903705</v>
      </c>
      <c r="B2104" t="s">
        <v>1112</v>
      </c>
      <c r="C2104" t="s">
        <v>562</v>
      </c>
      <c r="D2104" s="8">
        <v>8.5</v>
      </c>
      <c r="E2104" s="8" t="s">
        <v>333</v>
      </c>
    </row>
    <row r="2105" spans="1:5">
      <c r="A2105">
        <v>6092903705</v>
      </c>
      <c r="B2105" t="s">
        <v>1113</v>
      </c>
      <c r="C2105" t="s">
        <v>562</v>
      </c>
      <c r="D2105" s="8">
        <v>9</v>
      </c>
      <c r="E2105" s="8" t="s">
        <v>188</v>
      </c>
    </row>
    <row r="2106" spans="1:5">
      <c r="A2106">
        <v>6092903705</v>
      </c>
      <c r="B2106" t="s">
        <v>1114</v>
      </c>
      <c r="C2106" t="s">
        <v>562</v>
      </c>
      <c r="D2106" s="8">
        <v>9.5</v>
      </c>
      <c r="E2106" s="8" t="s">
        <v>335</v>
      </c>
    </row>
  </sheetData>
  <autoFilter ref="A1:E1754" xr:uid="{B92B82D8-A7B3-4698-BE99-50BA7C105CE9}">
    <sortState ref="A2:E1537">
      <sortCondition ref="A2:A1537"/>
      <sortCondition ref="B2:B1537"/>
      <sortCondition ref="C2:C1537"/>
      <sortCondition ref="D2:D1537"/>
    </sortState>
  </autoFilter>
  <phoneticPr fontId="1" type="noConversion"/>
  <pageMargins left="0.7" right="0.7" top="0.75" bottom="0.75" header="0.3" footer="0.3"/>
  <pageSetup paperSize="256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발송처리</vt:lpstr>
      <vt:lpstr>송장화1</vt:lpstr>
      <vt:lpstr>송장화2</vt:lpstr>
      <vt:lpstr>상품DB(수정x)</vt:lpstr>
      <vt:lpstr>경동1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2025-02-27T01:39:07Z</dcterms:created>
  <dcterms:modified xsi:type="dcterms:W3CDTF">2025-12-16T00:01:07Z</dcterms:modified>
</cp:coreProperties>
</file>
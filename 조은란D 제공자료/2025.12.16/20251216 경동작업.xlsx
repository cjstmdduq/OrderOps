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esktop\경동작업\경동작업\"/>
    </mc:Choice>
  </mc:AlternateContent>
  <xr:revisionPtr revIDLastSave="0" documentId="13_ncr:1_{8BC10915-8557-4879-8FE2-77F054D92174}" xr6:coauthVersionLast="41" xr6:coauthVersionMax="47" xr10:uidLastSave="{00000000-0000-0000-0000-000000000000}"/>
  <bookViews>
    <workbookView xWindow="-28920" yWindow="-1095" windowWidth="29040" windowHeight="15840" xr2:uid="{5FCCD43F-2F5B-4AC3-AAC6-4235C331B672}"/>
  </bookViews>
  <sheets>
    <sheet name="경동샘플 양식3" sheetId="9" r:id="rId1"/>
    <sheet name="경동발주서 양식2" sheetId="3" r:id="rId2"/>
    <sheet name="경동전체1" sheetId="4" r:id="rId3"/>
  </sheets>
  <definedNames>
    <definedName name="_xlnm._FilterDatabase" localSheetId="1" hidden="1">'경동발주서 양식2'!$A$1:$X$237</definedName>
    <definedName name="_xlnm._FilterDatabase" localSheetId="0" hidden="1">'경동샘플 양식3'!$A$1:$AA$115</definedName>
    <definedName name="삭제">경동전체1!$A$2:$M$372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9" l="1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 l="1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O3" i="4" l="1"/>
  <c r="M3" i="3" s="1"/>
  <c r="O4" i="4"/>
  <c r="M4" i="3" s="1"/>
  <c r="O5" i="4"/>
  <c r="M5" i="3" s="1"/>
  <c r="O6" i="4"/>
  <c r="M6" i="3" s="1"/>
  <c r="O7" i="4"/>
  <c r="M7" i="3" s="1"/>
  <c r="O8" i="4"/>
  <c r="O9" i="4"/>
  <c r="M9" i="3" s="1"/>
  <c r="O10" i="4"/>
  <c r="O11" i="4"/>
  <c r="M11" i="3" s="1"/>
  <c r="O12" i="4"/>
  <c r="M12" i="3" s="1"/>
  <c r="O13" i="4"/>
  <c r="O14" i="4"/>
  <c r="O15" i="4"/>
  <c r="M15" i="3" s="1"/>
  <c r="O16" i="4"/>
  <c r="O17" i="4"/>
  <c r="M17" i="3" s="1"/>
  <c r="O18" i="4"/>
  <c r="M18" i="3" s="1"/>
  <c r="O19" i="4"/>
  <c r="M19" i="3" s="1"/>
  <c r="O20" i="4"/>
  <c r="M20" i="3" s="1"/>
  <c r="O21" i="4"/>
  <c r="M21" i="3" s="1"/>
  <c r="O22" i="4"/>
  <c r="O23" i="4"/>
  <c r="M23" i="3" s="1"/>
  <c r="O24" i="4"/>
  <c r="M24" i="3" s="1"/>
  <c r="O25" i="4"/>
  <c r="M25" i="3" s="1"/>
  <c r="O26" i="4"/>
  <c r="O27" i="4"/>
  <c r="M27" i="3" s="1"/>
  <c r="O28" i="4"/>
  <c r="M28" i="3" s="1"/>
  <c r="O29" i="4"/>
  <c r="M29" i="3" s="1"/>
  <c r="O30" i="4"/>
  <c r="M30" i="3" s="1"/>
  <c r="O31" i="4"/>
  <c r="M31" i="3" s="1"/>
  <c r="O32" i="4"/>
  <c r="O33" i="4"/>
  <c r="M33" i="3" s="1"/>
  <c r="O34" i="4"/>
  <c r="O35" i="4"/>
  <c r="M35" i="3" s="1"/>
  <c r="O36" i="4"/>
  <c r="M36" i="3" s="1"/>
  <c r="O37" i="4"/>
  <c r="O38" i="4"/>
  <c r="O39" i="4"/>
  <c r="M39" i="3" s="1"/>
  <c r="O40" i="4"/>
  <c r="M40" i="3" s="1"/>
  <c r="O41" i="4"/>
  <c r="M41" i="3" s="1"/>
  <c r="O42" i="4"/>
  <c r="M42" i="3" s="1"/>
  <c r="O43" i="4"/>
  <c r="M43" i="3" s="1"/>
  <c r="O44" i="4"/>
  <c r="M44" i="3" s="1"/>
  <c r="O45" i="4"/>
  <c r="M45" i="3" s="1"/>
  <c r="O46" i="4"/>
  <c r="O47" i="4"/>
  <c r="M47" i="3" s="1"/>
  <c r="O48" i="4"/>
  <c r="M48" i="3" s="1"/>
  <c r="O49" i="4"/>
  <c r="M49" i="3" s="1"/>
  <c r="O50" i="4"/>
  <c r="O51" i="4"/>
  <c r="M51" i="3" s="1"/>
  <c r="O52" i="4"/>
  <c r="M52" i="3" s="1"/>
  <c r="O53" i="4"/>
  <c r="M53" i="3" s="1"/>
  <c r="O54" i="4"/>
  <c r="M54" i="3" s="1"/>
  <c r="O55" i="4"/>
  <c r="M55" i="3" s="1"/>
  <c r="O56" i="4"/>
  <c r="M56" i="3" s="1"/>
  <c r="O57" i="4"/>
  <c r="O58" i="4"/>
  <c r="O59" i="4"/>
  <c r="M59" i="3" s="1"/>
  <c r="O60" i="4"/>
  <c r="M60" i="3" s="1"/>
  <c r="O61" i="4"/>
  <c r="M61" i="3" s="1"/>
  <c r="O62" i="4"/>
  <c r="O63" i="4"/>
  <c r="O64" i="4"/>
  <c r="M64" i="3" s="1"/>
  <c r="O65" i="4"/>
  <c r="M65" i="3" s="1"/>
  <c r="O66" i="4"/>
  <c r="M66" i="3" s="1"/>
  <c r="O67" i="4"/>
  <c r="M67" i="3" s="1"/>
  <c r="O68" i="4"/>
  <c r="M68" i="3" s="1"/>
  <c r="O69" i="4"/>
  <c r="M69" i="3" s="1"/>
  <c r="O70" i="4"/>
  <c r="O71" i="4"/>
  <c r="M71" i="3" s="1"/>
  <c r="O72" i="4"/>
  <c r="M72" i="3" s="1"/>
  <c r="O73" i="4"/>
  <c r="M73" i="3" s="1"/>
  <c r="O74" i="4"/>
  <c r="O75" i="4"/>
  <c r="M75" i="3" s="1"/>
  <c r="O76" i="4"/>
  <c r="O77" i="4"/>
  <c r="M77" i="3" s="1"/>
  <c r="O78" i="4"/>
  <c r="M78" i="3" s="1"/>
  <c r="O79" i="4"/>
  <c r="M79" i="3" s="1"/>
  <c r="O80" i="4"/>
  <c r="O81" i="4"/>
  <c r="O82" i="4"/>
  <c r="O83" i="4"/>
  <c r="M83" i="3" s="1"/>
  <c r="O84" i="4"/>
  <c r="M84" i="3" s="1"/>
  <c r="O85" i="4"/>
  <c r="M85" i="3" s="1"/>
  <c r="O86" i="4"/>
  <c r="O87" i="4"/>
  <c r="M87" i="3" s="1"/>
  <c r="O88" i="4"/>
  <c r="O89" i="4"/>
  <c r="M89" i="3" s="1"/>
  <c r="O90" i="4"/>
  <c r="M90" i="3" s="1"/>
  <c r="O91" i="4"/>
  <c r="M91" i="3" s="1"/>
  <c r="O92" i="4"/>
  <c r="O93" i="4"/>
  <c r="M93" i="3" s="1"/>
  <c r="O94" i="4"/>
  <c r="O95" i="4"/>
  <c r="M95" i="3" s="1"/>
  <c r="O96" i="4"/>
  <c r="M96" i="3" s="1"/>
  <c r="O97" i="4"/>
  <c r="M97" i="3" s="1"/>
  <c r="O98" i="4"/>
  <c r="O99" i="4"/>
  <c r="O100" i="4"/>
  <c r="O101" i="4"/>
  <c r="M101" i="3" s="1"/>
  <c r="O102" i="4"/>
  <c r="M102" i="3" s="1"/>
  <c r="O103" i="4"/>
  <c r="M103" i="3" s="1"/>
  <c r="O104" i="4"/>
  <c r="O105" i="4"/>
  <c r="M105" i="3" s="1"/>
  <c r="O106" i="4"/>
  <c r="O107" i="4"/>
  <c r="M107" i="3" s="1"/>
  <c r="O108" i="4"/>
  <c r="M108" i="3" s="1"/>
  <c r="O109" i="4"/>
  <c r="M109" i="3" s="1"/>
  <c r="O110" i="4"/>
  <c r="O111" i="4"/>
  <c r="O112" i="4"/>
  <c r="O113" i="4"/>
  <c r="M113" i="3" s="1"/>
  <c r="O114" i="4"/>
  <c r="M114" i="3" s="1"/>
  <c r="O115" i="4"/>
  <c r="M115" i="3" s="1"/>
  <c r="O116" i="4"/>
  <c r="O117" i="4"/>
  <c r="M117" i="3" s="1"/>
  <c r="O118" i="4"/>
  <c r="O119" i="4"/>
  <c r="M119" i="3" s="1"/>
  <c r="O120" i="4"/>
  <c r="M120" i="3" s="1"/>
  <c r="O121" i="4"/>
  <c r="O122" i="4"/>
  <c r="O123" i="4"/>
  <c r="M123" i="3" s="1"/>
  <c r="O124" i="4"/>
  <c r="O125" i="4"/>
  <c r="M125" i="3" s="1"/>
  <c r="O126" i="4"/>
  <c r="M126" i="3" s="1"/>
  <c r="O127" i="4"/>
  <c r="M127" i="3" s="1"/>
  <c r="O128" i="4"/>
  <c r="O129" i="4"/>
  <c r="M129" i="3" s="1"/>
  <c r="O130" i="4"/>
  <c r="O131" i="4"/>
  <c r="M131" i="3" s="1"/>
  <c r="O132" i="4"/>
  <c r="M132" i="3" s="1"/>
  <c r="O133" i="4"/>
  <c r="O134" i="4"/>
  <c r="O135" i="4"/>
  <c r="O136" i="4"/>
  <c r="O137" i="4"/>
  <c r="M137" i="3" s="1"/>
  <c r="O138" i="4"/>
  <c r="M138" i="3" s="1"/>
  <c r="O139" i="4"/>
  <c r="O140" i="4"/>
  <c r="O141" i="4"/>
  <c r="M141" i="3" s="1"/>
  <c r="O142" i="4"/>
  <c r="O143" i="4"/>
  <c r="M143" i="3" s="1"/>
  <c r="O144" i="4"/>
  <c r="M144" i="3" s="1"/>
  <c r="O145" i="4"/>
  <c r="M145" i="3" s="1"/>
  <c r="O146" i="4"/>
  <c r="O147" i="4"/>
  <c r="M147" i="3" s="1"/>
  <c r="O148" i="4"/>
  <c r="O149" i="4"/>
  <c r="M149" i="3" s="1"/>
  <c r="O150" i="4"/>
  <c r="M150" i="3" s="1"/>
  <c r="O151" i="4"/>
  <c r="M151" i="3" s="1"/>
  <c r="O152" i="4"/>
  <c r="O153" i="4"/>
  <c r="M153" i="3" s="1"/>
  <c r="O154" i="4"/>
  <c r="O155" i="4"/>
  <c r="M155" i="3" s="1"/>
  <c r="O156" i="4"/>
  <c r="M156" i="3" s="1"/>
  <c r="O157" i="4"/>
  <c r="M157" i="3" s="1"/>
  <c r="O158" i="4"/>
  <c r="O159" i="4"/>
  <c r="M159" i="3" s="1"/>
  <c r="O160" i="4"/>
  <c r="O161" i="4"/>
  <c r="M161" i="3" s="1"/>
  <c r="O162" i="4"/>
  <c r="M162" i="3" s="1"/>
  <c r="O163" i="4"/>
  <c r="M163" i="3" s="1"/>
  <c r="O164" i="4"/>
  <c r="O165" i="4"/>
  <c r="O166" i="4"/>
  <c r="O167" i="4"/>
  <c r="M167" i="3" s="1"/>
  <c r="O168" i="4"/>
  <c r="M168" i="3" s="1"/>
  <c r="O169" i="4"/>
  <c r="M169" i="3" s="1"/>
  <c r="O170" i="4"/>
  <c r="O171" i="4"/>
  <c r="O172" i="4"/>
  <c r="O173" i="4"/>
  <c r="M173" i="3" s="1"/>
  <c r="O174" i="4"/>
  <c r="M174" i="3" s="1"/>
  <c r="O175" i="4"/>
  <c r="M175" i="3" s="1"/>
  <c r="O176" i="4"/>
  <c r="O177" i="4"/>
  <c r="M177" i="3" s="1"/>
  <c r="O178" i="4"/>
  <c r="O179" i="4"/>
  <c r="M179" i="3" s="1"/>
  <c r="O180" i="4"/>
  <c r="M180" i="3" s="1"/>
  <c r="O181" i="4"/>
  <c r="M181" i="3" s="1"/>
  <c r="O182" i="4"/>
  <c r="O183" i="4"/>
  <c r="M183" i="3" s="1"/>
  <c r="O184" i="4"/>
  <c r="O185" i="4"/>
  <c r="M185" i="3" s="1"/>
  <c r="O186" i="4"/>
  <c r="M186" i="3" s="1"/>
  <c r="O187" i="4"/>
  <c r="M187" i="3" s="1"/>
  <c r="O188" i="4"/>
  <c r="O189" i="4"/>
  <c r="O190" i="4"/>
  <c r="O191" i="4"/>
  <c r="M191" i="3" s="1"/>
  <c r="O192" i="4"/>
  <c r="M192" i="3" s="1"/>
  <c r="O193" i="4"/>
  <c r="M193" i="3" s="1"/>
  <c r="O194" i="4"/>
  <c r="O195" i="4"/>
  <c r="M195" i="3" s="1"/>
  <c r="O196" i="4"/>
  <c r="O197" i="4"/>
  <c r="M197" i="3" s="1"/>
  <c r="O198" i="4"/>
  <c r="M198" i="3" s="1"/>
  <c r="O199" i="4"/>
  <c r="M199" i="3" s="1"/>
  <c r="O200" i="4"/>
  <c r="O201" i="4"/>
  <c r="M201" i="3" s="1"/>
  <c r="O202" i="4"/>
  <c r="O203" i="4"/>
  <c r="M203" i="3" s="1"/>
  <c r="O204" i="4"/>
  <c r="M204" i="3" s="1"/>
  <c r="O205" i="4"/>
  <c r="M205" i="3" s="1"/>
  <c r="O206" i="4"/>
  <c r="O207" i="4"/>
  <c r="M207" i="3" s="1"/>
  <c r="O208" i="4"/>
  <c r="O209" i="4"/>
  <c r="M209" i="3" s="1"/>
  <c r="O210" i="4"/>
  <c r="M210" i="3" s="1"/>
  <c r="O211" i="4"/>
  <c r="M211" i="3" s="1"/>
  <c r="O212" i="4"/>
  <c r="O213" i="4"/>
  <c r="M213" i="3" s="1"/>
  <c r="O214" i="4"/>
  <c r="O215" i="4"/>
  <c r="M215" i="3" s="1"/>
  <c r="O216" i="4"/>
  <c r="M216" i="3" s="1"/>
  <c r="O217" i="4"/>
  <c r="M217" i="3" s="1"/>
  <c r="O218" i="4"/>
  <c r="O219" i="4"/>
  <c r="M219" i="3" s="1"/>
  <c r="O220" i="4"/>
  <c r="O221" i="4"/>
  <c r="M221" i="3" s="1"/>
  <c r="O222" i="4"/>
  <c r="M222" i="3" s="1"/>
  <c r="O223" i="4"/>
  <c r="M223" i="3" s="1"/>
  <c r="O224" i="4"/>
  <c r="O225" i="4"/>
  <c r="M225" i="3" s="1"/>
  <c r="O226" i="4"/>
  <c r="O227" i="4"/>
  <c r="M227" i="3" s="1"/>
  <c r="O228" i="4"/>
  <c r="M228" i="3" s="1"/>
  <c r="O229" i="4"/>
  <c r="O230" i="4"/>
  <c r="O231" i="4"/>
  <c r="M231" i="3" s="1"/>
  <c r="O232" i="4"/>
  <c r="O233" i="4"/>
  <c r="M233" i="3" s="1"/>
  <c r="O234" i="4"/>
  <c r="M234" i="3" s="1"/>
  <c r="O235" i="4"/>
  <c r="O236" i="4"/>
  <c r="O237" i="4"/>
  <c r="M237" i="3" s="1"/>
  <c r="O238" i="4"/>
  <c r="O239" i="4"/>
  <c r="M239" i="3" s="1"/>
  <c r="O240" i="4"/>
  <c r="M240" i="3" s="1"/>
  <c r="O241" i="4"/>
  <c r="M241" i="3" s="1"/>
  <c r="O242" i="4"/>
  <c r="O243" i="4"/>
  <c r="M243" i="3" s="1"/>
  <c r="O244" i="4"/>
  <c r="O245" i="4"/>
  <c r="M245" i="3" s="1"/>
  <c r="O246" i="4"/>
  <c r="M246" i="3" s="1"/>
  <c r="O247" i="4"/>
  <c r="O248" i="4"/>
  <c r="O249" i="4"/>
  <c r="M249" i="3" s="1"/>
  <c r="O250" i="4"/>
  <c r="O251" i="4"/>
  <c r="M251" i="3" s="1"/>
  <c r="O252" i="4"/>
  <c r="M252" i="3" s="1"/>
  <c r="O253" i="4"/>
  <c r="O254" i="4"/>
  <c r="O255" i="4"/>
  <c r="M255" i="3" s="1"/>
  <c r="O256" i="4"/>
  <c r="O257" i="4"/>
  <c r="M257" i="3" s="1"/>
  <c r="O258" i="4"/>
  <c r="M258" i="3" s="1"/>
  <c r="O259" i="4"/>
  <c r="M259" i="3" s="1"/>
  <c r="O260" i="4"/>
  <c r="O261" i="4"/>
  <c r="O262" i="4"/>
  <c r="O263" i="4"/>
  <c r="M263" i="3" s="1"/>
  <c r="O264" i="4"/>
  <c r="M264" i="3" s="1"/>
  <c r="O265" i="4"/>
  <c r="M265" i="3" s="1"/>
  <c r="O266" i="4"/>
  <c r="O267" i="4"/>
  <c r="M267" i="3" s="1"/>
  <c r="O268" i="4"/>
  <c r="O269" i="4"/>
  <c r="M269" i="3" s="1"/>
  <c r="O270" i="4"/>
  <c r="M270" i="3" s="1"/>
  <c r="O271" i="4"/>
  <c r="M271" i="3" s="1"/>
  <c r="O272" i="4"/>
  <c r="O273" i="4"/>
  <c r="M273" i="3" s="1"/>
  <c r="O274" i="4"/>
  <c r="O275" i="4"/>
  <c r="M275" i="3" s="1"/>
  <c r="O276" i="4"/>
  <c r="M276" i="3" s="1"/>
  <c r="O277" i="4"/>
  <c r="M277" i="3" s="1"/>
  <c r="O278" i="4"/>
  <c r="O279" i="4"/>
  <c r="O280" i="4"/>
  <c r="O281" i="4"/>
  <c r="M281" i="3" s="1"/>
  <c r="O282" i="4"/>
  <c r="M282" i="3" s="1"/>
  <c r="O283" i="4"/>
  <c r="M283" i="3" s="1"/>
  <c r="O284" i="4"/>
  <c r="O285" i="4"/>
  <c r="M285" i="3" s="1"/>
  <c r="O286" i="4"/>
  <c r="O287" i="4"/>
  <c r="M287" i="3" s="1"/>
  <c r="O288" i="4"/>
  <c r="M288" i="3" s="1"/>
  <c r="O289" i="4"/>
  <c r="O290" i="4"/>
  <c r="O291" i="4"/>
  <c r="M291" i="3" s="1"/>
  <c r="O292" i="4"/>
  <c r="O293" i="4"/>
  <c r="M293" i="3" s="1"/>
  <c r="O294" i="4"/>
  <c r="M294" i="3" s="1"/>
  <c r="O295" i="4"/>
  <c r="M295" i="3" s="1"/>
  <c r="O296" i="4"/>
  <c r="O297" i="4"/>
  <c r="M297" i="3" s="1"/>
  <c r="O298" i="4"/>
  <c r="O299" i="4"/>
  <c r="M299" i="3" s="1"/>
  <c r="O300" i="4"/>
  <c r="M300" i="3" s="1"/>
  <c r="O301" i="4"/>
  <c r="M301" i="3" s="1"/>
  <c r="O302" i="4"/>
  <c r="O303" i="4"/>
  <c r="M303" i="3" s="1"/>
  <c r="O304" i="4"/>
  <c r="O305" i="4"/>
  <c r="M305" i="3" s="1"/>
  <c r="O306" i="4"/>
  <c r="M306" i="3" s="1"/>
  <c r="O307" i="4"/>
  <c r="M307" i="3" s="1"/>
  <c r="O308" i="4"/>
  <c r="O309" i="4"/>
  <c r="M309" i="3" s="1"/>
  <c r="O310" i="4"/>
  <c r="O311" i="4"/>
  <c r="M311" i="3" s="1"/>
  <c r="O312" i="4"/>
  <c r="M312" i="3" s="1"/>
  <c r="O313" i="4"/>
  <c r="M313" i="3" s="1"/>
  <c r="O314" i="4"/>
  <c r="O315" i="4"/>
  <c r="O316" i="4"/>
  <c r="O317" i="4"/>
  <c r="M317" i="3" s="1"/>
  <c r="O318" i="4"/>
  <c r="M318" i="3" s="1"/>
  <c r="O319" i="4"/>
  <c r="O320" i="4"/>
  <c r="O321" i="4"/>
  <c r="M321" i="3" s="1"/>
  <c r="O322" i="4"/>
  <c r="O323" i="4"/>
  <c r="M323" i="3" s="1"/>
  <c r="O324" i="4"/>
  <c r="M324" i="3" s="1"/>
  <c r="O325" i="4"/>
  <c r="M325" i="3" s="1"/>
  <c r="O326" i="4"/>
  <c r="O327" i="4"/>
  <c r="M327" i="3" s="1"/>
  <c r="O328" i="4"/>
  <c r="O329" i="4"/>
  <c r="M329" i="3" s="1"/>
  <c r="O330" i="4"/>
  <c r="M330" i="3" s="1"/>
  <c r="O331" i="4"/>
  <c r="M331" i="3" s="1"/>
  <c r="O332" i="4"/>
  <c r="O333" i="4"/>
  <c r="O334" i="4"/>
  <c r="O335" i="4"/>
  <c r="M335" i="3" s="1"/>
  <c r="O336" i="4"/>
  <c r="M336" i="3" s="1"/>
  <c r="O337" i="4"/>
  <c r="M337" i="3" s="1"/>
  <c r="O338" i="4"/>
  <c r="O339" i="4"/>
  <c r="M339" i="3" s="1"/>
  <c r="O340" i="4"/>
  <c r="O341" i="4"/>
  <c r="M341" i="3" s="1"/>
  <c r="O342" i="4"/>
  <c r="M342" i="3" s="1"/>
  <c r="O343" i="4"/>
  <c r="M343" i="3" s="1"/>
  <c r="O344" i="4"/>
  <c r="O345" i="4"/>
  <c r="M345" i="3" s="1"/>
  <c r="O346" i="4"/>
  <c r="O347" i="4"/>
  <c r="M347" i="3" s="1"/>
  <c r="O348" i="4"/>
  <c r="M348" i="3" s="1"/>
  <c r="O349" i="4"/>
  <c r="M349" i="3" s="1"/>
  <c r="O350" i="4"/>
  <c r="O351" i="4"/>
  <c r="M351" i="3" s="1"/>
  <c r="O352" i="4"/>
  <c r="O353" i="4"/>
  <c r="M353" i="3" s="1"/>
  <c r="O354" i="4"/>
  <c r="M354" i="3" s="1"/>
  <c r="O355" i="4"/>
  <c r="O356" i="4"/>
  <c r="O357" i="4"/>
  <c r="M357" i="3" s="1"/>
  <c r="O358" i="4"/>
  <c r="O359" i="4"/>
  <c r="M359" i="3" s="1"/>
  <c r="O360" i="4"/>
  <c r="M360" i="3" s="1"/>
  <c r="O361" i="4"/>
  <c r="O362" i="4"/>
  <c r="O363" i="4"/>
  <c r="M363" i="3" s="1"/>
  <c r="O364" i="4"/>
  <c r="O365" i="4"/>
  <c r="M365" i="3" s="1"/>
  <c r="O366" i="4"/>
  <c r="M366" i="3" s="1"/>
  <c r="O367" i="4"/>
  <c r="M367" i="3" s="1"/>
  <c r="O368" i="4"/>
  <c r="O369" i="4"/>
  <c r="O370" i="4"/>
  <c r="M8" i="3"/>
  <c r="M13" i="3"/>
  <c r="M14" i="3"/>
  <c r="M26" i="3"/>
  <c r="M32" i="3"/>
  <c r="M37" i="3"/>
  <c r="M38" i="3"/>
  <c r="M50" i="3"/>
  <c r="M62" i="3"/>
  <c r="M74" i="3"/>
  <c r="M80" i="3"/>
  <c r="M86" i="3"/>
  <c r="M92" i="3"/>
  <c r="M98" i="3"/>
  <c r="M104" i="3"/>
  <c r="M110" i="3"/>
  <c r="M116" i="3"/>
  <c r="M121" i="3"/>
  <c r="M122" i="3"/>
  <c r="M128" i="3"/>
  <c r="M133" i="3"/>
  <c r="M134" i="3"/>
  <c r="M139" i="3"/>
  <c r="M140" i="3"/>
  <c r="M146" i="3"/>
  <c r="M152" i="3"/>
  <c r="M158" i="3"/>
  <c r="M164" i="3"/>
  <c r="M170" i="3"/>
  <c r="M176" i="3"/>
  <c r="M182" i="3"/>
  <c r="M188" i="3"/>
  <c r="M194" i="3"/>
  <c r="M200" i="3"/>
  <c r="M206" i="3"/>
  <c r="M212" i="3"/>
  <c r="M218" i="3"/>
  <c r="M224" i="3"/>
  <c r="M229" i="3"/>
  <c r="M230" i="3"/>
  <c r="M235" i="3"/>
  <c r="M236" i="3"/>
  <c r="M242" i="3"/>
  <c r="M247" i="3"/>
  <c r="M248" i="3"/>
  <c r="M253" i="3"/>
  <c r="M254" i="3"/>
  <c r="M260" i="3"/>
  <c r="M266" i="3"/>
  <c r="M272" i="3"/>
  <c r="M278" i="3"/>
  <c r="M284" i="3"/>
  <c r="M289" i="3"/>
  <c r="M290" i="3"/>
  <c r="M296" i="3"/>
  <c r="M302" i="3"/>
  <c r="M308" i="3"/>
  <c r="M314" i="3"/>
  <c r="M319" i="3"/>
  <c r="M320" i="3"/>
  <c r="M326" i="3"/>
  <c r="M332" i="3"/>
  <c r="M338" i="3"/>
  <c r="M344" i="3"/>
  <c r="M350" i="3"/>
  <c r="M355" i="3"/>
  <c r="M356" i="3"/>
  <c r="M361" i="3"/>
  <c r="M362" i="3"/>
  <c r="M368" i="3"/>
  <c r="O2" i="4"/>
  <c r="M2" i="3" s="1"/>
  <c r="M10" i="3"/>
  <c r="M16" i="3"/>
  <c r="M22" i="3"/>
  <c r="M34" i="3"/>
  <c r="M46" i="3"/>
  <c r="M57" i="3"/>
  <c r="M58" i="3"/>
  <c r="M63" i="3"/>
  <c r="M70" i="3"/>
  <c r="M76" i="3"/>
  <c r="M81" i="3"/>
  <c r="M82" i="3"/>
  <c r="M88" i="3"/>
  <c r="M94" i="3"/>
  <c r="M99" i="3"/>
  <c r="M100" i="3"/>
  <c r="M106" i="3"/>
  <c r="M111" i="3"/>
  <c r="M112" i="3"/>
  <c r="M118" i="3"/>
  <c r="M124" i="3"/>
  <c r="M130" i="3"/>
  <c r="M135" i="3"/>
  <c r="M136" i="3"/>
  <c r="M142" i="3"/>
  <c r="M148" i="3"/>
  <c r="M154" i="3"/>
  <c r="M160" i="3"/>
  <c r="M165" i="3"/>
  <c r="M166" i="3"/>
  <c r="M171" i="3"/>
  <c r="M172" i="3"/>
  <c r="M178" i="3"/>
  <c r="M184" i="3"/>
  <c r="M189" i="3"/>
  <c r="M190" i="3"/>
  <c r="M196" i="3"/>
  <c r="M202" i="3"/>
  <c r="M208" i="3"/>
  <c r="M214" i="3"/>
  <c r="M220" i="3"/>
  <c r="M226" i="3"/>
  <c r="M232" i="3"/>
  <c r="M238" i="3"/>
  <c r="M244" i="3"/>
  <c r="M250" i="3"/>
  <c r="M256" i="3"/>
  <c r="M261" i="3"/>
  <c r="M262" i="3"/>
  <c r="M268" i="3"/>
  <c r="M274" i="3"/>
  <c r="M279" i="3"/>
  <c r="M280" i="3"/>
  <c r="M286" i="3"/>
  <c r="M292" i="3"/>
  <c r="M298" i="3"/>
  <c r="M304" i="3"/>
  <c r="M310" i="3"/>
  <c r="M315" i="3"/>
  <c r="M316" i="3"/>
  <c r="M322" i="3"/>
  <c r="M328" i="3"/>
  <c r="M333" i="3"/>
  <c r="M334" i="3"/>
  <c r="M340" i="3"/>
  <c r="M346" i="3"/>
  <c r="M352" i="3"/>
  <c r="M358" i="3"/>
  <c r="M364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K2" i="3" l="1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2" i="3"/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AA1" i="9" l="1"/>
  <c r="H2" i="3" l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 l="1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B576" i="3" l="1"/>
  <c r="B577" i="3"/>
  <c r="A3" i="3" l="1"/>
  <c r="H3" i="3"/>
  <c r="I3" i="3"/>
  <c r="A4" i="3"/>
  <c r="H4" i="3"/>
  <c r="I4" i="3"/>
  <c r="A5" i="3"/>
  <c r="H5" i="3"/>
  <c r="I5" i="3"/>
  <c r="A6" i="3"/>
  <c r="H6" i="3"/>
  <c r="I6" i="3"/>
  <c r="A7" i="3"/>
  <c r="H7" i="3"/>
  <c r="I7" i="3"/>
  <c r="A8" i="3"/>
  <c r="H8" i="3"/>
  <c r="I8" i="3"/>
  <c r="A9" i="3"/>
  <c r="H9" i="3"/>
  <c r="I9" i="3"/>
  <c r="A10" i="3"/>
  <c r="H10" i="3"/>
  <c r="I10" i="3"/>
  <c r="A11" i="3"/>
  <c r="H11" i="3"/>
  <c r="I11" i="3"/>
  <c r="A12" i="3"/>
  <c r="H12" i="3"/>
  <c r="I12" i="3"/>
  <c r="A13" i="3"/>
  <c r="H13" i="3"/>
  <c r="I13" i="3"/>
  <c r="A14" i="3"/>
  <c r="H14" i="3"/>
  <c r="I14" i="3"/>
  <c r="A15" i="3"/>
  <c r="H15" i="3"/>
  <c r="I15" i="3"/>
  <c r="A16" i="3"/>
  <c r="H16" i="3"/>
  <c r="I16" i="3"/>
  <c r="A17" i="3"/>
  <c r="H17" i="3"/>
  <c r="I17" i="3"/>
  <c r="A18" i="3"/>
  <c r="H18" i="3"/>
  <c r="I18" i="3"/>
  <c r="A19" i="3"/>
  <c r="H19" i="3"/>
  <c r="I19" i="3"/>
  <c r="A20" i="3"/>
  <c r="H20" i="3"/>
  <c r="I20" i="3"/>
  <c r="A21" i="3"/>
  <c r="H21" i="3"/>
  <c r="I21" i="3"/>
  <c r="A22" i="3"/>
  <c r="H22" i="3"/>
  <c r="I22" i="3"/>
  <c r="A23" i="3"/>
  <c r="H23" i="3"/>
  <c r="I23" i="3"/>
  <c r="A24" i="3"/>
  <c r="H24" i="3"/>
  <c r="I24" i="3"/>
  <c r="A25" i="3"/>
  <c r="H25" i="3"/>
  <c r="I25" i="3"/>
  <c r="A26" i="3"/>
  <c r="H26" i="3"/>
  <c r="I26" i="3"/>
  <c r="A27" i="3"/>
  <c r="H27" i="3"/>
  <c r="I27" i="3"/>
  <c r="A28" i="3"/>
  <c r="H28" i="3"/>
  <c r="I28" i="3"/>
  <c r="A29" i="3"/>
  <c r="H29" i="3"/>
  <c r="I29" i="3"/>
  <c r="A30" i="3"/>
  <c r="H30" i="3"/>
  <c r="I30" i="3"/>
  <c r="A31" i="3"/>
  <c r="H31" i="3"/>
  <c r="I31" i="3"/>
  <c r="A32" i="3"/>
  <c r="H32" i="3"/>
  <c r="I32" i="3"/>
  <c r="A33" i="3"/>
  <c r="H33" i="3"/>
  <c r="I33" i="3"/>
  <c r="A34" i="3"/>
  <c r="H34" i="3"/>
  <c r="I34" i="3"/>
  <c r="A35" i="3"/>
  <c r="H35" i="3"/>
  <c r="I35" i="3"/>
  <c r="A36" i="3"/>
  <c r="H36" i="3"/>
  <c r="I36" i="3"/>
  <c r="A37" i="3"/>
  <c r="H37" i="3"/>
  <c r="I37" i="3"/>
  <c r="A38" i="3"/>
  <c r="H38" i="3"/>
  <c r="I38" i="3"/>
  <c r="A39" i="3"/>
  <c r="H39" i="3"/>
  <c r="I39" i="3"/>
  <c r="A40" i="3"/>
  <c r="H40" i="3"/>
  <c r="I40" i="3"/>
  <c r="A41" i="3"/>
  <c r="H41" i="3"/>
  <c r="I41" i="3"/>
  <c r="A42" i="3"/>
  <c r="H42" i="3"/>
  <c r="I42" i="3"/>
  <c r="A43" i="3"/>
  <c r="H43" i="3"/>
  <c r="I43" i="3"/>
  <c r="A44" i="3"/>
  <c r="H44" i="3"/>
  <c r="I44" i="3"/>
  <c r="A45" i="3"/>
  <c r="H45" i="3"/>
  <c r="I45" i="3"/>
  <c r="A46" i="3"/>
  <c r="H46" i="3"/>
  <c r="I46" i="3"/>
  <c r="A47" i="3"/>
  <c r="H47" i="3"/>
  <c r="I47" i="3"/>
  <c r="A48" i="3"/>
  <c r="H48" i="3"/>
  <c r="I48" i="3"/>
  <c r="A49" i="3"/>
  <c r="H49" i="3"/>
  <c r="I49" i="3"/>
  <c r="A50" i="3"/>
  <c r="H50" i="3"/>
  <c r="I50" i="3"/>
  <c r="A51" i="3"/>
  <c r="H51" i="3"/>
  <c r="I51" i="3"/>
  <c r="A52" i="3"/>
  <c r="H52" i="3"/>
  <c r="I52" i="3"/>
  <c r="A53" i="3"/>
  <c r="H53" i="3"/>
  <c r="I53" i="3"/>
  <c r="A54" i="3"/>
  <c r="H54" i="3"/>
  <c r="I54" i="3"/>
  <c r="A55" i="3"/>
  <c r="H55" i="3"/>
  <c r="I55" i="3"/>
  <c r="A56" i="3"/>
  <c r="H56" i="3"/>
  <c r="I56" i="3"/>
  <c r="A57" i="3"/>
  <c r="H57" i="3"/>
  <c r="I57" i="3"/>
  <c r="A58" i="3"/>
  <c r="H58" i="3"/>
  <c r="I58" i="3"/>
  <c r="A59" i="3"/>
  <c r="H59" i="3"/>
  <c r="I59" i="3"/>
  <c r="A60" i="3"/>
  <c r="H60" i="3"/>
  <c r="I60" i="3"/>
  <c r="A61" i="3"/>
  <c r="H61" i="3"/>
  <c r="I61" i="3"/>
  <c r="A62" i="3"/>
  <c r="H62" i="3"/>
  <c r="I62" i="3"/>
  <c r="A63" i="3"/>
  <c r="H63" i="3"/>
  <c r="I63" i="3"/>
  <c r="A64" i="3"/>
  <c r="H64" i="3"/>
  <c r="I64" i="3"/>
  <c r="A65" i="3"/>
  <c r="H65" i="3"/>
  <c r="I65" i="3"/>
  <c r="A66" i="3"/>
  <c r="H66" i="3"/>
  <c r="I66" i="3"/>
  <c r="A67" i="3"/>
  <c r="H67" i="3"/>
  <c r="I67" i="3"/>
  <c r="A68" i="3"/>
  <c r="H68" i="3"/>
  <c r="I68" i="3"/>
  <c r="A69" i="3"/>
  <c r="H69" i="3"/>
  <c r="I69" i="3"/>
  <c r="A70" i="3"/>
  <c r="H70" i="3"/>
  <c r="I70" i="3"/>
  <c r="A71" i="3"/>
  <c r="H71" i="3"/>
  <c r="I71" i="3"/>
  <c r="A72" i="3"/>
  <c r="H72" i="3"/>
  <c r="I72" i="3"/>
  <c r="A73" i="3"/>
  <c r="H73" i="3"/>
  <c r="I73" i="3"/>
  <c r="A74" i="3"/>
  <c r="H74" i="3"/>
  <c r="I74" i="3"/>
  <c r="A75" i="3"/>
  <c r="H75" i="3"/>
  <c r="I75" i="3"/>
  <c r="A76" i="3"/>
  <c r="H76" i="3"/>
  <c r="I76" i="3"/>
  <c r="A77" i="3"/>
  <c r="H77" i="3"/>
  <c r="I77" i="3"/>
  <c r="A78" i="3"/>
  <c r="H78" i="3"/>
  <c r="I78" i="3"/>
  <c r="A79" i="3"/>
  <c r="H79" i="3"/>
  <c r="I79" i="3"/>
  <c r="A80" i="3"/>
  <c r="H80" i="3"/>
  <c r="I80" i="3"/>
  <c r="A81" i="3"/>
  <c r="H81" i="3"/>
  <c r="I81" i="3"/>
  <c r="A82" i="3"/>
  <c r="H82" i="3"/>
  <c r="I82" i="3"/>
  <c r="A83" i="3"/>
  <c r="H83" i="3"/>
  <c r="I83" i="3"/>
  <c r="A84" i="3"/>
  <c r="H84" i="3"/>
  <c r="I84" i="3"/>
  <c r="A85" i="3"/>
  <c r="H85" i="3"/>
  <c r="I85" i="3"/>
  <c r="A86" i="3"/>
  <c r="H86" i="3"/>
  <c r="I86" i="3"/>
  <c r="A87" i="3"/>
  <c r="H87" i="3"/>
  <c r="I87" i="3"/>
  <c r="A88" i="3"/>
  <c r="H88" i="3"/>
  <c r="I88" i="3"/>
  <c r="A89" i="3"/>
  <c r="H89" i="3"/>
  <c r="I89" i="3"/>
  <c r="A90" i="3"/>
  <c r="H90" i="3"/>
  <c r="I90" i="3"/>
  <c r="A91" i="3"/>
  <c r="H91" i="3"/>
  <c r="I91" i="3"/>
  <c r="A92" i="3"/>
  <c r="H92" i="3"/>
  <c r="I92" i="3"/>
  <c r="A93" i="3"/>
  <c r="H93" i="3"/>
  <c r="I93" i="3"/>
  <c r="A94" i="3"/>
  <c r="H94" i="3"/>
  <c r="I94" i="3"/>
  <c r="A95" i="3"/>
  <c r="H95" i="3"/>
  <c r="I95" i="3"/>
  <c r="A96" i="3"/>
  <c r="H96" i="3"/>
  <c r="I96" i="3"/>
  <c r="A97" i="3"/>
  <c r="H97" i="3"/>
  <c r="I97" i="3"/>
  <c r="A98" i="3"/>
  <c r="H98" i="3"/>
  <c r="I98" i="3"/>
  <c r="A99" i="3"/>
  <c r="H99" i="3"/>
  <c r="I99" i="3"/>
  <c r="A100" i="3"/>
  <c r="H100" i="3"/>
  <c r="I100" i="3"/>
  <c r="A101" i="3"/>
  <c r="H101" i="3"/>
  <c r="I101" i="3"/>
  <c r="A102" i="3"/>
  <c r="H102" i="3"/>
  <c r="I102" i="3"/>
  <c r="A103" i="3"/>
  <c r="H103" i="3"/>
  <c r="I103" i="3"/>
  <c r="A104" i="3"/>
  <c r="H104" i="3"/>
  <c r="I104" i="3"/>
  <c r="A105" i="3"/>
  <c r="H105" i="3"/>
  <c r="I105" i="3"/>
  <c r="A106" i="3"/>
  <c r="H106" i="3"/>
  <c r="I106" i="3"/>
  <c r="A107" i="3"/>
  <c r="H107" i="3"/>
  <c r="I107" i="3"/>
  <c r="A108" i="3"/>
  <c r="H108" i="3"/>
  <c r="I108" i="3"/>
  <c r="A109" i="3"/>
  <c r="H109" i="3"/>
  <c r="I109" i="3"/>
  <c r="A110" i="3"/>
  <c r="H110" i="3"/>
  <c r="I110" i="3"/>
  <c r="A111" i="3"/>
  <c r="H111" i="3"/>
  <c r="I111" i="3"/>
  <c r="A112" i="3"/>
  <c r="H112" i="3"/>
  <c r="I112" i="3"/>
  <c r="A113" i="3"/>
  <c r="H113" i="3"/>
  <c r="I113" i="3"/>
  <c r="A114" i="3"/>
  <c r="H114" i="3"/>
  <c r="I114" i="3"/>
  <c r="A115" i="3"/>
  <c r="H115" i="3"/>
  <c r="I115" i="3"/>
  <c r="A116" i="3"/>
  <c r="H116" i="3"/>
  <c r="I116" i="3"/>
  <c r="A117" i="3"/>
  <c r="H117" i="3"/>
  <c r="I117" i="3"/>
  <c r="A118" i="3"/>
  <c r="H118" i="3"/>
  <c r="I118" i="3"/>
  <c r="A119" i="3"/>
  <c r="H119" i="3"/>
  <c r="I119" i="3"/>
  <c r="A120" i="3"/>
  <c r="H120" i="3"/>
  <c r="I120" i="3"/>
  <c r="A121" i="3"/>
  <c r="H121" i="3"/>
  <c r="I121" i="3"/>
  <c r="A122" i="3"/>
  <c r="H122" i="3"/>
  <c r="I122" i="3"/>
  <c r="A123" i="3"/>
  <c r="H123" i="3"/>
  <c r="I123" i="3"/>
  <c r="A124" i="3"/>
  <c r="H124" i="3"/>
  <c r="I124" i="3"/>
  <c r="A125" i="3"/>
  <c r="H125" i="3"/>
  <c r="I125" i="3"/>
  <c r="A126" i="3"/>
  <c r="H126" i="3"/>
  <c r="I126" i="3"/>
  <c r="A127" i="3"/>
  <c r="H127" i="3"/>
  <c r="I127" i="3"/>
  <c r="A128" i="3"/>
  <c r="H128" i="3"/>
  <c r="I128" i="3"/>
  <c r="A129" i="3"/>
  <c r="H129" i="3"/>
  <c r="I129" i="3"/>
  <c r="A130" i="3"/>
  <c r="H130" i="3"/>
  <c r="I130" i="3"/>
  <c r="A131" i="3"/>
  <c r="H131" i="3"/>
  <c r="I131" i="3"/>
  <c r="A132" i="3"/>
  <c r="H132" i="3"/>
  <c r="I132" i="3"/>
  <c r="A133" i="3"/>
  <c r="H133" i="3"/>
  <c r="I133" i="3"/>
  <c r="A134" i="3"/>
  <c r="H134" i="3"/>
  <c r="I134" i="3"/>
  <c r="A135" i="3"/>
  <c r="H135" i="3"/>
  <c r="I135" i="3"/>
  <c r="A136" i="3"/>
  <c r="H136" i="3"/>
  <c r="I136" i="3"/>
  <c r="A137" i="3"/>
  <c r="H137" i="3"/>
  <c r="I137" i="3"/>
  <c r="A138" i="3"/>
  <c r="H138" i="3"/>
  <c r="I138" i="3"/>
  <c r="A139" i="3"/>
  <c r="H139" i="3"/>
  <c r="I139" i="3"/>
  <c r="A140" i="3"/>
  <c r="H140" i="3"/>
  <c r="I140" i="3"/>
  <c r="A141" i="3"/>
  <c r="H141" i="3"/>
  <c r="I141" i="3"/>
  <c r="A142" i="3"/>
  <c r="H142" i="3"/>
  <c r="I142" i="3"/>
  <c r="A143" i="3"/>
  <c r="H143" i="3"/>
  <c r="I143" i="3"/>
  <c r="A144" i="3"/>
  <c r="H144" i="3"/>
  <c r="I144" i="3"/>
  <c r="A145" i="3"/>
  <c r="H145" i="3"/>
  <c r="I145" i="3"/>
  <c r="A146" i="3"/>
  <c r="H146" i="3"/>
  <c r="I146" i="3"/>
  <c r="A147" i="3"/>
  <c r="H147" i="3"/>
  <c r="I147" i="3"/>
  <c r="A148" i="3"/>
  <c r="H148" i="3"/>
  <c r="I148" i="3"/>
  <c r="A149" i="3"/>
  <c r="H149" i="3"/>
  <c r="I149" i="3"/>
  <c r="A150" i="3"/>
  <c r="H150" i="3"/>
  <c r="I150" i="3"/>
  <c r="A151" i="3"/>
  <c r="H151" i="3"/>
  <c r="I151" i="3"/>
  <c r="A152" i="3"/>
  <c r="H152" i="3"/>
  <c r="I152" i="3"/>
  <c r="A153" i="3"/>
  <c r="H153" i="3"/>
  <c r="I153" i="3"/>
  <c r="A154" i="3"/>
  <c r="H154" i="3"/>
  <c r="I154" i="3"/>
  <c r="A155" i="3"/>
  <c r="H155" i="3"/>
  <c r="I155" i="3"/>
  <c r="A156" i="3"/>
  <c r="H156" i="3"/>
  <c r="I156" i="3"/>
  <c r="A157" i="3"/>
  <c r="H157" i="3"/>
  <c r="I157" i="3"/>
  <c r="A158" i="3"/>
  <c r="H158" i="3"/>
  <c r="I158" i="3"/>
  <c r="A159" i="3"/>
  <c r="H159" i="3"/>
  <c r="I159" i="3"/>
  <c r="A160" i="3"/>
  <c r="H160" i="3"/>
  <c r="I160" i="3"/>
  <c r="A161" i="3"/>
  <c r="H161" i="3"/>
  <c r="I161" i="3"/>
  <c r="A162" i="3"/>
  <c r="H162" i="3"/>
  <c r="I162" i="3"/>
  <c r="A163" i="3"/>
  <c r="H163" i="3"/>
  <c r="I163" i="3"/>
  <c r="A164" i="3"/>
  <c r="H164" i="3"/>
  <c r="I164" i="3"/>
  <c r="A165" i="3"/>
  <c r="H165" i="3"/>
  <c r="I165" i="3"/>
  <c r="A166" i="3"/>
  <c r="H166" i="3"/>
  <c r="I166" i="3"/>
  <c r="A167" i="3"/>
  <c r="H167" i="3"/>
  <c r="I167" i="3"/>
  <c r="A168" i="3"/>
  <c r="H168" i="3"/>
  <c r="I168" i="3"/>
  <c r="A169" i="3"/>
  <c r="H169" i="3"/>
  <c r="I169" i="3"/>
  <c r="A170" i="3"/>
  <c r="H170" i="3"/>
  <c r="I170" i="3"/>
  <c r="A171" i="3"/>
  <c r="H171" i="3"/>
  <c r="I171" i="3"/>
  <c r="A172" i="3"/>
  <c r="H172" i="3"/>
  <c r="I172" i="3"/>
  <c r="A173" i="3"/>
  <c r="H173" i="3"/>
  <c r="I173" i="3"/>
  <c r="A174" i="3"/>
  <c r="H174" i="3"/>
  <c r="I174" i="3"/>
  <c r="A175" i="3"/>
  <c r="H175" i="3"/>
  <c r="I175" i="3"/>
  <c r="A176" i="3"/>
  <c r="H176" i="3"/>
  <c r="I176" i="3"/>
  <c r="A177" i="3"/>
  <c r="H177" i="3"/>
  <c r="I177" i="3"/>
  <c r="A178" i="3"/>
  <c r="H178" i="3"/>
  <c r="I178" i="3"/>
  <c r="A179" i="3"/>
  <c r="H179" i="3"/>
  <c r="I179" i="3"/>
  <c r="A180" i="3"/>
  <c r="H180" i="3"/>
  <c r="I180" i="3"/>
  <c r="A181" i="3"/>
  <c r="H181" i="3"/>
  <c r="I181" i="3"/>
  <c r="A182" i="3"/>
  <c r="H182" i="3"/>
  <c r="I182" i="3"/>
  <c r="A183" i="3"/>
  <c r="H183" i="3"/>
  <c r="I183" i="3"/>
  <c r="A184" i="3"/>
  <c r="H184" i="3"/>
  <c r="I184" i="3"/>
  <c r="A185" i="3"/>
  <c r="H185" i="3"/>
  <c r="I185" i="3"/>
  <c r="A186" i="3"/>
  <c r="H186" i="3"/>
  <c r="I186" i="3"/>
  <c r="A187" i="3"/>
  <c r="H187" i="3"/>
  <c r="I187" i="3"/>
  <c r="A188" i="3"/>
  <c r="H188" i="3"/>
  <c r="I188" i="3"/>
  <c r="A189" i="3"/>
  <c r="H189" i="3"/>
  <c r="I189" i="3"/>
  <c r="A190" i="3"/>
  <c r="H190" i="3"/>
  <c r="I190" i="3"/>
  <c r="A191" i="3"/>
  <c r="H191" i="3"/>
  <c r="I191" i="3"/>
  <c r="A192" i="3"/>
  <c r="H192" i="3"/>
  <c r="I192" i="3"/>
  <c r="A193" i="3"/>
  <c r="H193" i="3"/>
  <c r="I193" i="3"/>
  <c r="A194" i="3"/>
  <c r="H194" i="3"/>
  <c r="I194" i="3"/>
  <c r="A195" i="3"/>
  <c r="H195" i="3"/>
  <c r="I195" i="3"/>
  <c r="A196" i="3"/>
  <c r="H196" i="3"/>
  <c r="I196" i="3"/>
  <c r="A197" i="3"/>
  <c r="H197" i="3"/>
  <c r="I197" i="3"/>
  <c r="A198" i="3"/>
  <c r="H198" i="3"/>
  <c r="I198" i="3"/>
  <c r="A199" i="3"/>
  <c r="H199" i="3"/>
  <c r="I199" i="3"/>
  <c r="A200" i="3"/>
  <c r="H200" i="3"/>
  <c r="I200" i="3"/>
  <c r="A201" i="3"/>
  <c r="H201" i="3"/>
  <c r="I201" i="3"/>
  <c r="A202" i="3"/>
  <c r="H202" i="3"/>
  <c r="I202" i="3"/>
  <c r="A203" i="3"/>
  <c r="H203" i="3"/>
  <c r="I203" i="3"/>
  <c r="A204" i="3"/>
  <c r="H204" i="3"/>
  <c r="I204" i="3"/>
  <c r="A205" i="3"/>
  <c r="H205" i="3"/>
  <c r="I205" i="3"/>
  <c r="A206" i="3"/>
  <c r="H206" i="3"/>
  <c r="I206" i="3"/>
  <c r="A207" i="3"/>
  <c r="H207" i="3"/>
  <c r="I207" i="3"/>
  <c r="A208" i="3"/>
  <c r="H208" i="3"/>
  <c r="I208" i="3"/>
  <c r="A209" i="3"/>
  <c r="H209" i="3"/>
  <c r="I209" i="3"/>
  <c r="A210" i="3"/>
  <c r="H210" i="3"/>
  <c r="I210" i="3"/>
  <c r="A211" i="3"/>
  <c r="H211" i="3"/>
  <c r="I211" i="3"/>
  <c r="A212" i="3"/>
  <c r="H212" i="3"/>
  <c r="I212" i="3"/>
  <c r="A213" i="3"/>
  <c r="H213" i="3"/>
  <c r="I213" i="3"/>
  <c r="A214" i="3"/>
  <c r="H214" i="3"/>
  <c r="I214" i="3"/>
  <c r="A215" i="3"/>
  <c r="H215" i="3"/>
  <c r="I215" i="3"/>
  <c r="A216" i="3"/>
  <c r="H216" i="3"/>
  <c r="I216" i="3"/>
  <c r="A217" i="3"/>
  <c r="H217" i="3"/>
  <c r="I217" i="3"/>
  <c r="A218" i="3"/>
  <c r="H218" i="3"/>
  <c r="I218" i="3"/>
  <c r="A219" i="3"/>
  <c r="H219" i="3"/>
  <c r="I219" i="3"/>
  <c r="A220" i="3"/>
  <c r="H220" i="3"/>
  <c r="I220" i="3"/>
  <c r="A221" i="3"/>
  <c r="H221" i="3"/>
  <c r="I221" i="3"/>
  <c r="A222" i="3"/>
  <c r="H222" i="3"/>
  <c r="I222" i="3"/>
  <c r="A223" i="3"/>
  <c r="H223" i="3"/>
  <c r="I223" i="3"/>
  <c r="A224" i="3"/>
  <c r="H224" i="3"/>
  <c r="I224" i="3"/>
  <c r="A225" i="3"/>
  <c r="H225" i="3"/>
  <c r="I225" i="3"/>
  <c r="A226" i="3"/>
  <c r="H226" i="3"/>
  <c r="I226" i="3"/>
  <c r="A227" i="3"/>
  <c r="H227" i="3"/>
  <c r="I227" i="3"/>
  <c r="A228" i="3"/>
  <c r="H228" i="3"/>
  <c r="I228" i="3"/>
  <c r="A229" i="3"/>
  <c r="H229" i="3"/>
  <c r="I229" i="3"/>
  <c r="A230" i="3"/>
  <c r="H230" i="3"/>
  <c r="I230" i="3"/>
  <c r="A231" i="3"/>
  <c r="H231" i="3"/>
  <c r="I231" i="3"/>
  <c r="A232" i="3"/>
  <c r="H232" i="3"/>
  <c r="I232" i="3"/>
  <c r="A233" i="3"/>
  <c r="H233" i="3"/>
  <c r="I233" i="3"/>
  <c r="A234" i="3"/>
  <c r="H234" i="3"/>
  <c r="I234" i="3"/>
  <c r="A235" i="3"/>
  <c r="H235" i="3"/>
  <c r="I235" i="3"/>
  <c r="A236" i="3"/>
  <c r="H236" i="3"/>
  <c r="I236" i="3"/>
  <c r="A237" i="3"/>
  <c r="H237" i="3"/>
  <c r="I237" i="3"/>
  <c r="A238" i="3"/>
  <c r="H238" i="3"/>
  <c r="I238" i="3"/>
  <c r="A239" i="3"/>
  <c r="H239" i="3"/>
  <c r="I239" i="3"/>
  <c r="A240" i="3"/>
  <c r="H240" i="3"/>
  <c r="I240" i="3"/>
  <c r="A241" i="3"/>
  <c r="H241" i="3"/>
  <c r="I241" i="3"/>
  <c r="A242" i="3"/>
  <c r="H242" i="3"/>
  <c r="I242" i="3"/>
  <c r="A243" i="3"/>
  <c r="H243" i="3"/>
  <c r="I243" i="3"/>
  <c r="A244" i="3"/>
  <c r="H244" i="3"/>
  <c r="I244" i="3"/>
  <c r="A245" i="3"/>
  <c r="H245" i="3"/>
  <c r="I245" i="3"/>
  <c r="A246" i="3"/>
  <c r="H246" i="3"/>
  <c r="I246" i="3"/>
  <c r="A247" i="3"/>
  <c r="H247" i="3"/>
  <c r="I247" i="3"/>
  <c r="A248" i="3"/>
  <c r="H248" i="3"/>
  <c r="I248" i="3"/>
  <c r="A249" i="3"/>
  <c r="H249" i="3"/>
  <c r="I249" i="3"/>
  <c r="A250" i="3"/>
  <c r="H250" i="3"/>
  <c r="I250" i="3"/>
  <c r="A251" i="3"/>
  <c r="H251" i="3"/>
  <c r="I251" i="3"/>
  <c r="A252" i="3"/>
  <c r="H252" i="3"/>
  <c r="I252" i="3"/>
  <c r="A253" i="3"/>
  <c r="H253" i="3"/>
  <c r="I253" i="3"/>
  <c r="A254" i="3"/>
  <c r="H254" i="3"/>
  <c r="I254" i="3"/>
  <c r="A255" i="3"/>
  <c r="H255" i="3"/>
  <c r="I255" i="3"/>
  <c r="A256" i="3"/>
  <c r="H256" i="3"/>
  <c r="I256" i="3"/>
  <c r="A257" i="3"/>
  <c r="H257" i="3"/>
  <c r="I257" i="3"/>
  <c r="A258" i="3"/>
  <c r="H258" i="3"/>
  <c r="I258" i="3"/>
  <c r="A259" i="3"/>
  <c r="H259" i="3"/>
  <c r="I259" i="3"/>
  <c r="A260" i="3"/>
  <c r="H260" i="3"/>
  <c r="I260" i="3"/>
  <c r="A261" i="3"/>
  <c r="H261" i="3"/>
  <c r="I261" i="3"/>
  <c r="A262" i="3"/>
  <c r="H262" i="3"/>
  <c r="I262" i="3"/>
  <c r="A263" i="3"/>
  <c r="H263" i="3"/>
  <c r="I263" i="3"/>
  <c r="A264" i="3"/>
  <c r="H264" i="3"/>
  <c r="I264" i="3"/>
  <c r="A265" i="3"/>
  <c r="H265" i="3"/>
  <c r="I265" i="3"/>
  <c r="A266" i="3"/>
  <c r="H266" i="3"/>
  <c r="I266" i="3"/>
  <c r="A267" i="3"/>
  <c r="H267" i="3"/>
  <c r="I267" i="3"/>
  <c r="A268" i="3"/>
  <c r="H268" i="3"/>
  <c r="I268" i="3"/>
  <c r="A269" i="3"/>
  <c r="H269" i="3"/>
  <c r="I269" i="3"/>
  <c r="A270" i="3"/>
  <c r="H270" i="3"/>
  <c r="I270" i="3"/>
  <c r="A271" i="3"/>
  <c r="H271" i="3"/>
  <c r="I271" i="3"/>
  <c r="A272" i="3"/>
  <c r="H272" i="3"/>
  <c r="I272" i="3"/>
  <c r="A273" i="3"/>
  <c r="H273" i="3"/>
  <c r="I273" i="3"/>
  <c r="A274" i="3"/>
  <c r="H274" i="3"/>
  <c r="I274" i="3"/>
  <c r="A275" i="3"/>
  <c r="H275" i="3"/>
  <c r="I275" i="3"/>
  <c r="A276" i="3"/>
  <c r="H276" i="3"/>
  <c r="I276" i="3"/>
  <c r="A277" i="3"/>
  <c r="H277" i="3"/>
  <c r="I277" i="3"/>
  <c r="A278" i="3"/>
  <c r="H278" i="3"/>
  <c r="I278" i="3"/>
  <c r="A279" i="3"/>
  <c r="H279" i="3"/>
  <c r="I279" i="3"/>
  <c r="A280" i="3"/>
  <c r="H280" i="3"/>
  <c r="I280" i="3"/>
  <c r="A281" i="3"/>
  <c r="H281" i="3"/>
  <c r="I281" i="3"/>
  <c r="A282" i="3"/>
  <c r="H282" i="3"/>
  <c r="I282" i="3"/>
  <c r="A283" i="3"/>
  <c r="H283" i="3"/>
  <c r="I283" i="3"/>
  <c r="A284" i="3"/>
  <c r="H284" i="3"/>
  <c r="I284" i="3"/>
  <c r="A285" i="3"/>
  <c r="H285" i="3"/>
  <c r="I285" i="3"/>
  <c r="A286" i="3"/>
  <c r="H286" i="3"/>
  <c r="I286" i="3"/>
  <c r="A287" i="3"/>
  <c r="H287" i="3"/>
  <c r="I287" i="3"/>
  <c r="A288" i="3"/>
  <c r="H288" i="3"/>
  <c r="I288" i="3"/>
  <c r="A289" i="3"/>
  <c r="H289" i="3"/>
  <c r="I289" i="3"/>
  <c r="A290" i="3"/>
  <c r="H290" i="3"/>
  <c r="I290" i="3"/>
  <c r="A291" i="3"/>
  <c r="H291" i="3"/>
  <c r="I291" i="3"/>
  <c r="A292" i="3"/>
  <c r="H292" i="3"/>
  <c r="I292" i="3"/>
  <c r="A293" i="3"/>
  <c r="H293" i="3"/>
  <c r="I293" i="3"/>
  <c r="A294" i="3"/>
  <c r="H294" i="3"/>
  <c r="I294" i="3"/>
  <c r="A295" i="3"/>
  <c r="H295" i="3"/>
  <c r="I295" i="3"/>
  <c r="A296" i="3"/>
  <c r="H296" i="3"/>
  <c r="I296" i="3"/>
  <c r="A297" i="3"/>
  <c r="H297" i="3"/>
  <c r="I297" i="3"/>
  <c r="A298" i="3"/>
  <c r="H298" i="3"/>
  <c r="I298" i="3"/>
  <c r="A299" i="3"/>
  <c r="H299" i="3"/>
  <c r="I299" i="3"/>
  <c r="A300" i="3"/>
  <c r="H300" i="3"/>
  <c r="I300" i="3"/>
  <c r="A301" i="3"/>
  <c r="H301" i="3"/>
  <c r="I301" i="3"/>
  <c r="A302" i="3"/>
  <c r="H302" i="3"/>
  <c r="I302" i="3"/>
  <c r="A303" i="3"/>
  <c r="H303" i="3"/>
  <c r="I303" i="3"/>
  <c r="A304" i="3"/>
  <c r="H304" i="3"/>
  <c r="I304" i="3"/>
  <c r="A305" i="3"/>
  <c r="H305" i="3"/>
  <c r="I305" i="3"/>
  <c r="A306" i="3"/>
  <c r="H306" i="3"/>
  <c r="I306" i="3"/>
  <c r="A307" i="3"/>
  <c r="H307" i="3"/>
  <c r="I307" i="3"/>
  <c r="A308" i="3"/>
  <c r="H308" i="3"/>
  <c r="I308" i="3"/>
  <c r="A309" i="3"/>
  <c r="H309" i="3"/>
  <c r="I309" i="3"/>
  <c r="A310" i="3"/>
  <c r="H310" i="3"/>
  <c r="I310" i="3"/>
  <c r="A311" i="3"/>
  <c r="H311" i="3"/>
  <c r="I311" i="3"/>
  <c r="A312" i="3"/>
  <c r="H312" i="3"/>
  <c r="I312" i="3"/>
  <c r="A313" i="3"/>
  <c r="H313" i="3"/>
  <c r="I313" i="3"/>
  <c r="A314" i="3"/>
  <c r="H314" i="3"/>
  <c r="I314" i="3"/>
  <c r="A315" i="3"/>
  <c r="H315" i="3"/>
  <c r="I315" i="3"/>
  <c r="A316" i="3"/>
  <c r="H316" i="3"/>
  <c r="I316" i="3"/>
  <c r="A317" i="3"/>
  <c r="H317" i="3"/>
  <c r="I317" i="3"/>
  <c r="A318" i="3"/>
  <c r="H318" i="3"/>
  <c r="I318" i="3"/>
  <c r="A319" i="3"/>
  <c r="H319" i="3"/>
  <c r="I319" i="3"/>
  <c r="A320" i="3"/>
  <c r="H320" i="3"/>
  <c r="I320" i="3"/>
  <c r="A321" i="3"/>
  <c r="H321" i="3"/>
  <c r="I321" i="3"/>
  <c r="A322" i="3"/>
  <c r="H322" i="3"/>
  <c r="I322" i="3"/>
  <c r="A323" i="3"/>
  <c r="H323" i="3"/>
  <c r="I323" i="3"/>
  <c r="A324" i="3"/>
  <c r="H324" i="3"/>
  <c r="I324" i="3"/>
  <c r="A325" i="3"/>
  <c r="H325" i="3"/>
  <c r="I325" i="3"/>
  <c r="A326" i="3"/>
  <c r="H326" i="3"/>
  <c r="I326" i="3"/>
  <c r="A327" i="3"/>
  <c r="H327" i="3"/>
  <c r="I327" i="3"/>
  <c r="A328" i="3"/>
  <c r="H328" i="3"/>
  <c r="I328" i="3"/>
  <c r="A329" i="3"/>
  <c r="H329" i="3"/>
  <c r="I329" i="3"/>
  <c r="A330" i="3"/>
  <c r="H330" i="3"/>
  <c r="I330" i="3"/>
  <c r="A331" i="3"/>
  <c r="H331" i="3"/>
  <c r="I331" i="3"/>
  <c r="A332" i="3"/>
  <c r="H332" i="3"/>
  <c r="I332" i="3"/>
  <c r="A333" i="3"/>
  <c r="H333" i="3"/>
  <c r="I333" i="3"/>
  <c r="A334" i="3"/>
  <c r="H334" i="3"/>
  <c r="I334" i="3"/>
  <c r="A335" i="3"/>
  <c r="H335" i="3"/>
  <c r="I335" i="3"/>
  <c r="A336" i="3"/>
  <c r="H336" i="3"/>
  <c r="I336" i="3"/>
  <c r="A337" i="3"/>
  <c r="H337" i="3"/>
  <c r="I337" i="3"/>
  <c r="A338" i="3"/>
  <c r="H338" i="3"/>
  <c r="I338" i="3"/>
  <c r="A339" i="3"/>
  <c r="H339" i="3"/>
  <c r="I339" i="3"/>
  <c r="A340" i="3"/>
  <c r="H340" i="3"/>
  <c r="I340" i="3"/>
  <c r="A341" i="3"/>
  <c r="H341" i="3"/>
  <c r="I341" i="3"/>
  <c r="A342" i="3"/>
  <c r="H342" i="3"/>
  <c r="I342" i="3"/>
  <c r="A343" i="3"/>
  <c r="H343" i="3"/>
  <c r="I343" i="3"/>
  <c r="A344" i="3"/>
  <c r="H344" i="3"/>
  <c r="I344" i="3"/>
  <c r="A345" i="3"/>
  <c r="H345" i="3"/>
  <c r="I345" i="3"/>
  <c r="A346" i="3"/>
  <c r="H346" i="3"/>
  <c r="I346" i="3"/>
  <c r="A347" i="3"/>
  <c r="H347" i="3"/>
  <c r="I347" i="3"/>
  <c r="A348" i="3"/>
  <c r="H348" i="3"/>
  <c r="I348" i="3"/>
  <c r="A349" i="3"/>
  <c r="H349" i="3"/>
  <c r="I349" i="3"/>
  <c r="A350" i="3"/>
  <c r="H350" i="3"/>
  <c r="I350" i="3"/>
  <c r="A351" i="3"/>
  <c r="H351" i="3"/>
  <c r="I351" i="3"/>
  <c r="A352" i="3"/>
  <c r="H352" i="3"/>
  <c r="I352" i="3"/>
  <c r="A353" i="3"/>
  <c r="H353" i="3"/>
  <c r="I353" i="3"/>
  <c r="A354" i="3"/>
  <c r="H354" i="3"/>
  <c r="I354" i="3"/>
  <c r="A355" i="3"/>
  <c r="H355" i="3"/>
  <c r="I355" i="3"/>
  <c r="A356" i="3"/>
  <c r="H356" i="3"/>
  <c r="I356" i="3"/>
  <c r="A357" i="3"/>
  <c r="H357" i="3"/>
  <c r="I357" i="3"/>
  <c r="A358" i="3"/>
  <c r="H358" i="3"/>
  <c r="I358" i="3"/>
  <c r="A359" i="3"/>
  <c r="H359" i="3"/>
  <c r="I359" i="3"/>
  <c r="A360" i="3"/>
  <c r="H360" i="3"/>
  <c r="I360" i="3"/>
  <c r="A361" i="3"/>
  <c r="H361" i="3"/>
  <c r="I361" i="3"/>
  <c r="A362" i="3"/>
  <c r="H362" i="3"/>
  <c r="I362" i="3"/>
  <c r="A363" i="3"/>
  <c r="H363" i="3"/>
  <c r="I363" i="3"/>
  <c r="A364" i="3"/>
  <c r="H364" i="3"/>
  <c r="I364" i="3"/>
  <c r="A365" i="3"/>
  <c r="H365" i="3"/>
  <c r="I365" i="3"/>
  <c r="A366" i="3"/>
  <c r="H366" i="3"/>
  <c r="I366" i="3"/>
  <c r="A367" i="3"/>
  <c r="H367" i="3"/>
  <c r="I367" i="3"/>
  <c r="A368" i="3"/>
  <c r="H368" i="3"/>
  <c r="I368" i="3"/>
  <c r="A369" i="3"/>
  <c r="H369" i="3"/>
  <c r="I369" i="3"/>
  <c r="A370" i="3"/>
  <c r="H370" i="3"/>
  <c r="I370" i="3"/>
  <c r="A371" i="3"/>
  <c r="H371" i="3"/>
  <c r="I371" i="3"/>
  <c r="A372" i="3"/>
  <c r="H372" i="3"/>
  <c r="I372" i="3"/>
  <c r="A373" i="3"/>
  <c r="H373" i="3"/>
  <c r="I373" i="3"/>
  <c r="A374" i="3"/>
  <c r="H374" i="3"/>
  <c r="I374" i="3"/>
  <c r="A375" i="3"/>
  <c r="H375" i="3"/>
  <c r="I375" i="3"/>
  <c r="A376" i="3"/>
  <c r="H376" i="3"/>
  <c r="I376" i="3"/>
  <c r="A377" i="3"/>
  <c r="H377" i="3"/>
  <c r="I377" i="3"/>
  <c r="A378" i="3"/>
  <c r="H378" i="3"/>
  <c r="I378" i="3"/>
  <c r="A379" i="3"/>
  <c r="H379" i="3"/>
  <c r="I379" i="3"/>
  <c r="A380" i="3"/>
  <c r="H380" i="3"/>
  <c r="I380" i="3"/>
  <c r="A381" i="3"/>
  <c r="H381" i="3"/>
  <c r="I381" i="3"/>
  <c r="A382" i="3"/>
  <c r="H382" i="3"/>
  <c r="I382" i="3"/>
  <c r="A383" i="3"/>
  <c r="H383" i="3"/>
  <c r="I383" i="3"/>
  <c r="A384" i="3"/>
  <c r="H384" i="3"/>
  <c r="I384" i="3"/>
  <c r="A385" i="3"/>
  <c r="H385" i="3"/>
  <c r="I385" i="3"/>
  <c r="A386" i="3"/>
  <c r="H386" i="3"/>
  <c r="I386" i="3"/>
  <c r="A387" i="3"/>
  <c r="H387" i="3"/>
  <c r="I387" i="3"/>
  <c r="A388" i="3"/>
  <c r="H388" i="3"/>
  <c r="I388" i="3"/>
  <c r="A389" i="3"/>
  <c r="H389" i="3"/>
  <c r="I389" i="3"/>
  <c r="A390" i="3"/>
  <c r="H390" i="3"/>
  <c r="I390" i="3"/>
  <c r="A391" i="3"/>
  <c r="H391" i="3"/>
  <c r="I391" i="3"/>
  <c r="A392" i="3"/>
  <c r="H392" i="3"/>
  <c r="I392" i="3"/>
  <c r="A393" i="3"/>
  <c r="H393" i="3"/>
  <c r="I393" i="3"/>
  <c r="A394" i="3"/>
  <c r="H394" i="3"/>
  <c r="I394" i="3"/>
  <c r="A395" i="3"/>
  <c r="H395" i="3"/>
  <c r="I395" i="3"/>
  <c r="A396" i="3"/>
  <c r="H396" i="3"/>
  <c r="I396" i="3"/>
  <c r="A397" i="3"/>
  <c r="H397" i="3"/>
  <c r="I397" i="3"/>
  <c r="A398" i="3"/>
  <c r="H398" i="3"/>
  <c r="I398" i="3"/>
  <c r="A399" i="3"/>
  <c r="H399" i="3"/>
  <c r="I399" i="3"/>
  <c r="A400" i="3"/>
  <c r="H400" i="3"/>
  <c r="I400" i="3"/>
  <c r="A401" i="3"/>
  <c r="H401" i="3"/>
  <c r="I401" i="3"/>
  <c r="A402" i="3"/>
  <c r="H402" i="3"/>
  <c r="I402" i="3"/>
  <c r="A403" i="3"/>
  <c r="H403" i="3"/>
  <c r="I403" i="3"/>
  <c r="A404" i="3"/>
  <c r="H404" i="3"/>
  <c r="I404" i="3"/>
  <c r="A405" i="3"/>
  <c r="H405" i="3"/>
  <c r="I405" i="3"/>
  <c r="A406" i="3"/>
  <c r="H406" i="3"/>
  <c r="I406" i="3"/>
  <c r="A407" i="3"/>
  <c r="H407" i="3"/>
  <c r="I407" i="3"/>
  <c r="A408" i="3"/>
  <c r="H408" i="3"/>
  <c r="I408" i="3"/>
  <c r="A409" i="3"/>
  <c r="H409" i="3"/>
  <c r="I409" i="3"/>
  <c r="A410" i="3"/>
  <c r="H410" i="3"/>
  <c r="I410" i="3"/>
  <c r="A411" i="3"/>
  <c r="H411" i="3"/>
  <c r="I411" i="3"/>
  <c r="A412" i="3"/>
  <c r="H412" i="3"/>
  <c r="I412" i="3"/>
  <c r="A413" i="3"/>
  <c r="H413" i="3"/>
  <c r="I413" i="3"/>
  <c r="A414" i="3"/>
  <c r="H414" i="3"/>
  <c r="I414" i="3"/>
  <c r="A415" i="3"/>
  <c r="H415" i="3"/>
  <c r="I415" i="3"/>
  <c r="A416" i="3"/>
  <c r="H416" i="3"/>
  <c r="I416" i="3"/>
  <c r="A417" i="3"/>
  <c r="H417" i="3"/>
  <c r="I417" i="3"/>
  <c r="A418" i="3"/>
  <c r="H418" i="3"/>
  <c r="I418" i="3"/>
  <c r="A419" i="3"/>
  <c r="H419" i="3"/>
  <c r="I419" i="3"/>
  <c r="A420" i="3"/>
  <c r="H420" i="3"/>
  <c r="I420" i="3"/>
  <c r="A421" i="3"/>
  <c r="H421" i="3"/>
  <c r="I421" i="3"/>
  <c r="A422" i="3"/>
  <c r="H422" i="3"/>
  <c r="I422" i="3"/>
  <c r="A423" i="3"/>
  <c r="H423" i="3"/>
  <c r="I423" i="3"/>
  <c r="A424" i="3"/>
  <c r="H424" i="3"/>
  <c r="I424" i="3"/>
  <c r="A425" i="3"/>
  <c r="H425" i="3"/>
  <c r="I425" i="3"/>
  <c r="A426" i="3"/>
  <c r="H426" i="3"/>
  <c r="I426" i="3"/>
  <c r="A427" i="3"/>
  <c r="H427" i="3"/>
  <c r="I427" i="3"/>
  <c r="A428" i="3"/>
  <c r="H428" i="3"/>
  <c r="I428" i="3"/>
  <c r="A429" i="3"/>
  <c r="H429" i="3"/>
  <c r="I429" i="3"/>
  <c r="A430" i="3"/>
  <c r="H430" i="3"/>
  <c r="I430" i="3"/>
  <c r="A431" i="3"/>
  <c r="H431" i="3"/>
  <c r="I431" i="3"/>
  <c r="A432" i="3"/>
  <c r="H432" i="3"/>
  <c r="I432" i="3"/>
  <c r="A433" i="3"/>
  <c r="H433" i="3"/>
  <c r="I433" i="3"/>
  <c r="A434" i="3"/>
  <c r="H434" i="3"/>
  <c r="I434" i="3"/>
  <c r="A435" i="3"/>
  <c r="H435" i="3"/>
  <c r="I435" i="3"/>
  <c r="A436" i="3"/>
  <c r="H436" i="3"/>
  <c r="I436" i="3"/>
  <c r="A437" i="3"/>
  <c r="H437" i="3"/>
  <c r="I437" i="3"/>
  <c r="A438" i="3"/>
  <c r="H438" i="3"/>
  <c r="I438" i="3"/>
  <c r="A439" i="3"/>
  <c r="H439" i="3"/>
  <c r="I439" i="3"/>
  <c r="A440" i="3"/>
  <c r="H440" i="3"/>
  <c r="I440" i="3"/>
  <c r="A441" i="3"/>
  <c r="H441" i="3"/>
  <c r="I441" i="3"/>
  <c r="A442" i="3"/>
  <c r="H442" i="3"/>
  <c r="I442" i="3"/>
  <c r="A443" i="3"/>
  <c r="H443" i="3"/>
  <c r="I443" i="3"/>
  <c r="A444" i="3"/>
  <c r="H444" i="3"/>
  <c r="I444" i="3"/>
  <c r="A445" i="3"/>
  <c r="H445" i="3"/>
  <c r="I445" i="3"/>
  <c r="A446" i="3"/>
  <c r="H446" i="3"/>
  <c r="I446" i="3"/>
  <c r="A447" i="3"/>
  <c r="H447" i="3"/>
  <c r="I447" i="3"/>
  <c r="A448" i="3"/>
  <c r="H448" i="3"/>
  <c r="I448" i="3"/>
  <c r="A449" i="3"/>
  <c r="H449" i="3"/>
  <c r="I449" i="3"/>
  <c r="A450" i="3"/>
  <c r="H450" i="3"/>
  <c r="I450" i="3"/>
  <c r="A451" i="3"/>
  <c r="H451" i="3"/>
  <c r="I451" i="3"/>
  <c r="A452" i="3"/>
  <c r="H452" i="3"/>
  <c r="I452" i="3"/>
  <c r="A453" i="3"/>
  <c r="H453" i="3"/>
  <c r="I453" i="3"/>
  <c r="A454" i="3"/>
  <c r="H454" i="3"/>
  <c r="I454" i="3"/>
  <c r="A455" i="3"/>
  <c r="H455" i="3"/>
  <c r="I455" i="3"/>
  <c r="A456" i="3"/>
  <c r="H456" i="3"/>
  <c r="I456" i="3"/>
  <c r="A457" i="3"/>
  <c r="H457" i="3"/>
  <c r="I457" i="3"/>
  <c r="A458" i="3"/>
  <c r="H458" i="3"/>
  <c r="I458" i="3"/>
  <c r="A459" i="3"/>
  <c r="H459" i="3"/>
  <c r="I459" i="3"/>
  <c r="A460" i="3"/>
  <c r="H460" i="3"/>
  <c r="I460" i="3"/>
  <c r="A461" i="3"/>
  <c r="H461" i="3"/>
  <c r="I461" i="3"/>
  <c r="A462" i="3"/>
  <c r="H462" i="3"/>
  <c r="I462" i="3"/>
  <c r="A463" i="3"/>
  <c r="H463" i="3"/>
  <c r="I463" i="3"/>
  <c r="A464" i="3"/>
  <c r="H464" i="3"/>
  <c r="I464" i="3"/>
  <c r="A465" i="3"/>
  <c r="H465" i="3"/>
  <c r="I465" i="3"/>
  <c r="A466" i="3"/>
  <c r="H466" i="3"/>
  <c r="I466" i="3"/>
  <c r="A467" i="3"/>
  <c r="H467" i="3"/>
  <c r="I467" i="3"/>
  <c r="A468" i="3"/>
  <c r="H468" i="3"/>
  <c r="I468" i="3"/>
  <c r="A469" i="3"/>
  <c r="H469" i="3"/>
  <c r="I469" i="3"/>
  <c r="A470" i="3"/>
  <c r="H470" i="3"/>
  <c r="I470" i="3"/>
  <c r="A471" i="3"/>
  <c r="H471" i="3"/>
  <c r="I471" i="3"/>
  <c r="A472" i="3"/>
  <c r="H472" i="3"/>
  <c r="I472" i="3"/>
  <c r="A473" i="3"/>
  <c r="H473" i="3"/>
  <c r="I473" i="3"/>
  <c r="A474" i="3"/>
  <c r="H474" i="3"/>
  <c r="I474" i="3"/>
  <c r="A475" i="3"/>
  <c r="H475" i="3"/>
  <c r="I475" i="3"/>
  <c r="A476" i="3"/>
  <c r="H476" i="3"/>
  <c r="I476" i="3"/>
  <c r="A477" i="3"/>
  <c r="H477" i="3"/>
  <c r="I477" i="3"/>
  <c r="A478" i="3"/>
  <c r="H478" i="3"/>
  <c r="I478" i="3"/>
  <c r="A479" i="3"/>
  <c r="H479" i="3"/>
  <c r="I479" i="3"/>
  <c r="A480" i="3"/>
  <c r="H480" i="3"/>
  <c r="I480" i="3"/>
  <c r="A481" i="3"/>
  <c r="H481" i="3"/>
  <c r="I481" i="3"/>
  <c r="A482" i="3"/>
  <c r="H482" i="3"/>
  <c r="I482" i="3"/>
  <c r="A483" i="3"/>
  <c r="H483" i="3"/>
  <c r="I483" i="3"/>
  <c r="A484" i="3"/>
  <c r="H484" i="3"/>
  <c r="I484" i="3"/>
  <c r="A485" i="3"/>
  <c r="H485" i="3"/>
  <c r="I485" i="3"/>
  <c r="A486" i="3"/>
  <c r="H486" i="3"/>
  <c r="I486" i="3"/>
  <c r="A487" i="3"/>
  <c r="H487" i="3"/>
  <c r="I487" i="3"/>
  <c r="A488" i="3"/>
  <c r="H488" i="3"/>
  <c r="I488" i="3"/>
  <c r="A489" i="3"/>
  <c r="H489" i="3"/>
  <c r="I489" i="3"/>
  <c r="A490" i="3"/>
  <c r="H490" i="3"/>
  <c r="I490" i="3"/>
  <c r="A491" i="3"/>
  <c r="H491" i="3"/>
  <c r="I491" i="3"/>
  <c r="A492" i="3"/>
  <c r="H492" i="3"/>
  <c r="I492" i="3"/>
  <c r="A493" i="3"/>
  <c r="H493" i="3"/>
  <c r="I493" i="3"/>
  <c r="A494" i="3"/>
  <c r="H494" i="3"/>
  <c r="I494" i="3"/>
  <c r="A495" i="3"/>
  <c r="H495" i="3"/>
  <c r="I495" i="3"/>
  <c r="A496" i="3"/>
  <c r="H496" i="3"/>
  <c r="I496" i="3"/>
  <c r="A497" i="3"/>
  <c r="H497" i="3"/>
  <c r="I497" i="3"/>
  <c r="A498" i="3"/>
  <c r="H498" i="3"/>
  <c r="I498" i="3"/>
  <c r="A499" i="3"/>
  <c r="H499" i="3"/>
  <c r="I499" i="3"/>
  <c r="A500" i="3"/>
  <c r="H500" i="3"/>
  <c r="I500" i="3"/>
  <c r="A501" i="3"/>
  <c r="H501" i="3"/>
  <c r="I501" i="3"/>
  <c r="A502" i="3"/>
  <c r="H502" i="3"/>
  <c r="I502" i="3"/>
  <c r="A503" i="3"/>
  <c r="H503" i="3"/>
  <c r="I503" i="3"/>
  <c r="A504" i="3"/>
  <c r="H504" i="3"/>
  <c r="I504" i="3"/>
  <c r="A505" i="3"/>
  <c r="H505" i="3"/>
  <c r="I505" i="3"/>
  <c r="A506" i="3"/>
  <c r="H506" i="3"/>
  <c r="I506" i="3"/>
  <c r="A507" i="3"/>
  <c r="H507" i="3"/>
  <c r="I507" i="3"/>
  <c r="A508" i="3"/>
  <c r="H508" i="3"/>
  <c r="I508" i="3"/>
  <c r="A509" i="3"/>
  <c r="H509" i="3"/>
  <c r="I509" i="3"/>
  <c r="A510" i="3"/>
  <c r="H510" i="3"/>
  <c r="I510" i="3"/>
  <c r="A511" i="3"/>
  <c r="H511" i="3"/>
  <c r="I511" i="3"/>
  <c r="A512" i="3"/>
  <c r="H512" i="3"/>
  <c r="I512" i="3"/>
  <c r="A513" i="3"/>
  <c r="H513" i="3"/>
  <c r="I513" i="3"/>
  <c r="A514" i="3"/>
  <c r="H514" i="3"/>
  <c r="I514" i="3"/>
  <c r="A515" i="3"/>
  <c r="H515" i="3"/>
  <c r="I515" i="3"/>
  <c r="A516" i="3"/>
  <c r="H516" i="3"/>
  <c r="I516" i="3"/>
  <c r="A517" i="3"/>
  <c r="H517" i="3"/>
  <c r="I517" i="3"/>
  <c r="A518" i="3"/>
  <c r="H518" i="3"/>
  <c r="I518" i="3"/>
  <c r="A519" i="3"/>
  <c r="H519" i="3"/>
  <c r="I519" i="3"/>
  <c r="A520" i="3"/>
  <c r="H520" i="3"/>
  <c r="I520" i="3"/>
  <c r="A521" i="3"/>
  <c r="H521" i="3"/>
  <c r="I521" i="3"/>
  <c r="A522" i="3"/>
  <c r="H522" i="3"/>
  <c r="I522" i="3"/>
  <c r="A523" i="3"/>
  <c r="H523" i="3"/>
  <c r="I523" i="3"/>
  <c r="A524" i="3"/>
  <c r="H524" i="3"/>
  <c r="I524" i="3"/>
  <c r="A525" i="3"/>
  <c r="H525" i="3"/>
  <c r="I525" i="3"/>
  <c r="A526" i="3"/>
  <c r="H526" i="3"/>
  <c r="I526" i="3"/>
  <c r="A527" i="3"/>
  <c r="H527" i="3"/>
  <c r="I527" i="3"/>
  <c r="A528" i="3"/>
  <c r="H528" i="3"/>
  <c r="I528" i="3"/>
  <c r="A529" i="3"/>
  <c r="H529" i="3"/>
  <c r="I529" i="3"/>
  <c r="A530" i="3"/>
  <c r="H530" i="3"/>
  <c r="I530" i="3"/>
  <c r="A531" i="3"/>
  <c r="H531" i="3"/>
  <c r="I531" i="3"/>
  <c r="A532" i="3"/>
  <c r="H532" i="3"/>
  <c r="I532" i="3"/>
  <c r="A533" i="3"/>
  <c r="H533" i="3"/>
  <c r="I533" i="3"/>
  <c r="A534" i="3"/>
  <c r="H534" i="3"/>
  <c r="I534" i="3"/>
  <c r="A535" i="3"/>
  <c r="H535" i="3"/>
  <c r="I535" i="3"/>
  <c r="A536" i="3"/>
  <c r="H536" i="3"/>
  <c r="I536" i="3"/>
  <c r="A537" i="3"/>
  <c r="H537" i="3"/>
  <c r="I537" i="3"/>
  <c r="A538" i="3"/>
  <c r="H538" i="3"/>
  <c r="I538" i="3"/>
  <c r="A539" i="3"/>
  <c r="H539" i="3"/>
  <c r="I539" i="3"/>
  <c r="A540" i="3"/>
  <c r="H540" i="3"/>
  <c r="I540" i="3"/>
  <c r="A541" i="3"/>
  <c r="H541" i="3"/>
  <c r="I541" i="3"/>
  <c r="A542" i="3"/>
  <c r="H542" i="3"/>
  <c r="I542" i="3"/>
  <c r="A543" i="3"/>
  <c r="H543" i="3"/>
  <c r="I543" i="3"/>
  <c r="A544" i="3"/>
  <c r="H544" i="3"/>
  <c r="I544" i="3"/>
  <c r="A545" i="3"/>
  <c r="H545" i="3"/>
  <c r="I545" i="3"/>
  <c r="A546" i="3"/>
  <c r="H546" i="3"/>
  <c r="I546" i="3"/>
  <c r="A547" i="3"/>
  <c r="H547" i="3"/>
  <c r="I547" i="3"/>
  <c r="A548" i="3"/>
  <c r="H548" i="3"/>
  <c r="I548" i="3"/>
  <c r="A549" i="3"/>
  <c r="H549" i="3"/>
  <c r="I549" i="3"/>
  <c r="A550" i="3"/>
  <c r="H550" i="3"/>
  <c r="I550" i="3"/>
  <c r="A551" i="3"/>
  <c r="H551" i="3"/>
  <c r="I551" i="3"/>
  <c r="A552" i="3"/>
  <c r="H552" i="3"/>
  <c r="I552" i="3"/>
  <c r="A553" i="3"/>
  <c r="H553" i="3"/>
  <c r="I553" i="3"/>
  <c r="A554" i="3"/>
  <c r="H554" i="3"/>
  <c r="I554" i="3"/>
  <c r="A555" i="3"/>
  <c r="H555" i="3"/>
  <c r="I555" i="3"/>
  <c r="A556" i="3"/>
  <c r="H556" i="3"/>
  <c r="I556" i="3"/>
  <c r="A557" i="3"/>
  <c r="H557" i="3"/>
  <c r="I557" i="3"/>
  <c r="A558" i="3"/>
  <c r="H558" i="3"/>
  <c r="I558" i="3"/>
  <c r="A559" i="3"/>
  <c r="H559" i="3"/>
  <c r="I559" i="3"/>
  <c r="A560" i="3"/>
  <c r="H560" i="3"/>
  <c r="I560" i="3"/>
  <c r="A561" i="3"/>
  <c r="H561" i="3"/>
  <c r="I561" i="3"/>
  <c r="A562" i="3"/>
  <c r="H562" i="3"/>
  <c r="I562" i="3"/>
  <c r="A563" i="3"/>
  <c r="H563" i="3"/>
  <c r="I563" i="3"/>
  <c r="A564" i="3"/>
  <c r="H564" i="3"/>
  <c r="I564" i="3"/>
  <c r="A565" i="3"/>
  <c r="H565" i="3"/>
  <c r="I565" i="3"/>
  <c r="A566" i="3"/>
  <c r="H566" i="3"/>
  <c r="I566" i="3"/>
  <c r="A567" i="3"/>
  <c r="H567" i="3"/>
  <c r="I567" i="3"/>
  <c r="A568" i="3"/>
  <c r="H568" i="3"/>
  <c r="I568" i="3"/>
  <c r="A569" i="3"/>
  <c r="H569" i="3"/>
  <c r="I569" i="3"/>
  <c r="A570" i="3"/>
  <c r="H570" i="3"/>
  <c r="I570" i="3"/>
  <c r="A571" i="3"/>
  <c r="H571" i="3"/>
  <c r="I571" i="3"/>
  <c r="A572" i="3"/>
  <c r="H572" i="3"/>
  <c r="I572" i="3"/>
  <c r="A573" i="3"/>
  <c r="H573" i="3"/>
  <c r="I573" i="3"/>
  <c r="I2" i="3"/>
  <c r="A2" i="3"/>
  <c r="T573" i="3"/>
  <c r="U573" i="3"/>
  <c r="R573" i="3"/>
  <c r="L573" i="3"/>
  <c r="T572" i="3"/>
  <c r="U572" i="3"/>
  <c r="R572" i="3"/>
  <c r="L572" i="3"/>
  <c r="T571" i="3"/>
  <c r="U571" i="3"/>
  <c r="R571" i="3"/>
  <c r="L571" i="3"/>
  <c r="T570" i="3"/>
  <c r="U570" i="3"/>
  <c r="R570" i="3"/>
  <c r="L570" i="3"/>
  <c r="T569" i="3"/>
  <c r="U569" i="3"/>
  <c r="R569" i="3"/>
  <c r="L569" i="3"/>
  <c r="T568" i="3"/>
  <c r="U568" i="3"/>
  <c r="R568" i="3"/>
  <c r="L568" i="3"/>
  <c r="T567" i="3"/>
  <c r="U567" i="3"/>
  <c r="R567" i="3"/>
  <c r="L567" i="3"/>
  <c r="T566" i="3"/>
  <c r="U566" i="3"/>
  <c r="R566" i="3"/>
  <c r="L566" i="3"/>
  <c r="T565" i="3"/>
  <c r="U565" i="3"/>
  <c r="R565" i="3"/>
  <c r="L565" i="3"/>
  <c r="T564" i="3"/>
  <c r="U564" i="3"/>
  <c r="R564" i="3"/>
  <c r="L564" i="3"/>
  <c r="T563" i="3"/>
  <c r="U563" i="3"/>
  <c r="R563" i="3"/>
  <c r="L563" i="3"/>
  <c r="T562" i="3"/>
  <c r="U562" i="3"/>
  <c r="R562" i="3"/>
  <c r="L562" i="3"/>
  <c r="T561" i="3"/>
  <c r="U561" i="3"/>
  <c r="R561" i="3"/>
  <c r="L561" i="3"/>
  <c r="T560" i="3"/>
  <c r="U560" i="3"/>
  <c r="R560" i="3"/>
  <c r="L560" i="3"/>
  <c r="T559" i="3"/>
  <c r="U559" i="3"/>
  <c r="R559" i="3"/>
  <c r="L559" i="3"/>
  <c r="T558" i="3"/>
  <c r="U558" i="3"/>
  <c r="R558" i="3"/>
  <c r="L558" i="3"/>
  <c r="T557" i="3"/>
  <c r="U557" i="3"/>
  <c r="R557" i="3"/>
  <c r="L557" i="3"/>
  <c r="T556" i="3"/>
  <c r="U556" i="3"/>
  <c r="R556" i="3"/>
  <c r="L556" i="3"/>
  <c r="T555" i="3"/>
  <c r="U555" i="3"/>
  <c r="R555" i="3"/>
  <c r="L555" i="3"/>
  <c r="T554" i="3"/>
  <c r="U554" i="3"/>
  <c r="R554" i="3"/>
  <c r="L554" i="3"/>
  <c r="T553" i="3"/>
  <c r="U553" i="3"/>
  <c r="R553" i="3"/>
  <c r="L553" i="3"/>
  <c r="T552" i="3"/>
  <c r="U552" i="3"/>
  <c r="R552" i="3"/>
  <c r="L552" i="3"/>
  <c r="T551" i="3"/>
  <c r="U551" i="3"/>
  <c r="R551" i="3"/>
  <c r="L551" i="3"/>
  <c r="T550" i="3"/>
  <c r="U550" i="3"/>
  <c r="R550" i="3"/>
  <c r="L550" i="3"/>
  <c r="T549" i="3"/>
  <c r="U549" i="3"/>
  <c r="R549" i="3"/>
  <c r="L549" i="3"/>
  <c r="T548" i="3"/>
  <c r="U548" i="3"/>
  <c r="R548" i="3"/>
  <c r="L548" i="3"/>
  <c r="T547" i="3"/>
  <c r="U547" i="3"/>
  <c r="R547" i="3"/>
  <c r="L547" i="3"/>
  <c r="T546" i="3"/>
  <c r="U546" i="3"/>
  <c r="R546" i="3"/>
  <c r="L546" i="3"/>
  <c r="T545" i="3"/>
  <c r="U545" i="3"/>
  <c r="R545" i="3"/>
  <c r="L545" i="3"/>
  <c r="T544" i="3"/>
  <c r="U544" i="3"/>
  <c r="R544" i="3"/>
  <c r="L544" i="3"/>
  <c r="T543" i="3"/>
  <c r="U543" i="3"/>
  <c r="R543" i="3"/>
  <c r="L543" i="3"/>
  <c r="T542" i="3"/>
  <c r="U542" i="3"/>
  <c r="R542" i="3"/>
  <c r="L542" i="3"/>
  <c r="T541" i="3"/>
  <c r="U541" i="3"/>
  <c r="R541" i="3"/>
  <c r="L541" i="3"/>
  <c r="T540" i="3"/>
  <c r="U540" i="3"/>
  <c r="R540" i="3"/>
  <c r="L540" i="3"/>
  <c r="T539" i="3"/>
  <c r="U539" i="3"/>
  <c r="R539" i="3"/>
  <c r="L539" i="3"/>
  <c r="T538" i="3"/>
  <c r="U538" i="3"/>
  <c r="R538" i="3"/>
  <c r="L538" i="3"/>
  <c r="T537" i="3"/>
  <c r="U537" i="3"/>
  <c r="R537" i="3"/>
  <c r="L537" i="3"/>
  <c r="T536" i="3"/>
  <c r="U536" i="3"/>
  <c r="R536" i="3"/>
  <c r="L536" i="3"/>
  <c r="T535" i="3"/>
  <c r="U535" i="3"/>
  <c r="R535" i="3"/>
  <c r="L535" i="3"/>
  <c r="T534" i="3"/>
  <c r="U534" i="3"/>
  <c r="R534" i="3"/>
  <c r="L534" i="3"/>
  <c r="T533" i="3"/>
  <c r="U533" i="3"/>
  <c r="R533" i="3"/>
  <c r="L533" i="3"/>
  <c r="T532" i="3"/>
  <c r="U532" i="3"/>
  <c r="R532" i="3"/>
  <c r="L532" i="3"/>
  <c r="T531" i="3"/>
  <c r="U531" i="3"/>
  <c r="R531" i="3"/>
  <c r="L531" i="3"/>
  <c r="T530" i="3"/>
  <c r="U530" i="3"/>
  <c r="R530" i="3"/>
  <c r="L530" i="3"/>
  <c r="T529" i="3"/>
  <c r="U529" i="3"/>
  <c r="R529" i="3"/>
  <c r="L529" i="3"/>
  <c r="T528" i="3"/>
  <c r="U528" i="3"/>
  <c r="R528" i="3"/>
  <c r="L528" i="3"/>
  <c r="T527" i="3"/>
  <c r="U527" i="3"/>
  <c r="R527" i="3"/>
  <c r="L527" i="3"/>
  <c r="T526" i="3"/>
  <c r="U526" i="3"/>
  <c r="R526" i="3"/>
  <c r="L526" i="3"/>
  <c r="T525" i="3"/>
  <c r="U525" i="3"/>
  <c r="R525" i="3"/>
  <c r="L525" i="3"/>
  <c r="T524" i="3"/>
  <c r="U524" i="3"/>
  <c r="R524" i="3"/>
  <c r="L524" i="3"/>
  <c r="T523" i="3"/>
  <c r="U523" i="3"/>
  <c r="R523" i="3"/>
  <c r="L523" i="3"/>
  <c r="T522" i="3"/>
  <c r="U522" i="3"/>
  <c r="R522" i="3"/>
  <c r="L522" i="3"/>
  <c r="T521" i="3"/>
  <c r="U521" i="3"/>
  <c r="R521" i="3"/>
  <c r="L521" i="3"/>
  <c r="T520" i="3"/>
  <c r="U520" i="3"/>
  <c r="R520" i="3"/>
  <c r="L520" i="3"/>
  <c r="T519" i="3"/>
  <c r="U519" i="3"/>
  <c r="R519" i="3"/>
  <c r="L519" i="3"/>
  <c r="T518" i="3"/>
  <c r="U518" i="3"/>
  <c r="R518" i="3"/>
  <c r="L518" i="3"/>
  <c r="T517" i="3"/>
  <c r="U517" i="3"/>
  <c r="R517" i="3"/>
  <c r="L517" i="3"/>
  <c r="T516" i="3"/>
  <c r="U516" i="3"/>
  <c r="R516" i="3"/>
  <c r="L516" i="3"/>
  <c r="T515" i="3"/>
  <c r="U515" i="3"/>
  <c r="R515" i="3"/>
  <c r="L515" i="3"/>
  <c r="T514" i="3"/>
  <c r="U514" i="3"/>
  <c r="R514" i="3"/>
  <c r="L514" i="3"/>
  <c r="T513" i="3"/>
  <c r="U513" i="3"/>
  <c r="R513" i="3"/>
  <c r="L513" i="3"/>
  <c r="T512" i="3"/>
  <c r="U512" i="3"/>
  <c r="R512" i="3"/>
  <c r="L512" i="3"/>
  <c r="T511" i="3"/>
  <c r="U511" i="3"/>
  <c r="R511" i="3"/>
  <c r="L511" i="3"/>
  <c r="T510" i="3"/>
  <c r="U510" i="3"/>
  <c r="R510" i="3"/>
  <c r="L510" i="3"/>
  <c r="T509" i="3"/>
  <c r="U509" i="3"/>
  <c r="R509" i="3"/>
  <c r="L509" i="3"/>
  <c r="T508" i="3"/>
  <c r="U508" i="3"/>
  <c r="R508" i="3"/>
  <c r="L508" i="3"/>
  <c r="T507" i="3"/>
  <c r="U507" i="3"/>
  <c r="R507" i="3"/>
  <c r="L507" i="3"/>
  <c r="T506" i="3"/>
  <c r="U506" i="3"/>
  <c r="R506" i="3"/>
  <c r="L506" i="3"/>
  <c r="T505" i="3"/>
  <c r="U505" i="3"/>
  <c r="R505" i="3"/>
  <c r="L505" i="3"/>
  <c r="T504" i="3"/>
  <c r="U504" i="3"/>
  <c r="R504" i="3"/>
  <c r="L504" i="3"/>
  <c r="T503" i="3"/>
  <c r="U503" i="3"/>
  <c r="R503" i="3"/>
  <c r="L503" i="3"/>
  <c r="T502" i="3"/>
  <c r="U502" i="3"/>
  <c r="R502" i="3"/>
  <c r="L502" i="3"/>
  <c r="T501" i="3"/>
  <c r="U501" i="3"/>
  <c r="R501" i="3"/>
  <c r="L501" i="3"/>
  <c r="T500" i="3"/>
  <c r="U500" i="3"/>
  <c r="R500" i="3"/>
  <c r="L500" i="3"/>
  <c r="T499" i="3"/>
  <c r="U499" i="3"/>
  <c r="R499" i="3"/>
  <c r="L499" i="3"/>
  <c r="T498" i="3"/>
  <c r="U498" i="3"/>
  <c r="R498" i="3"/>
  <c r="L498" i="3"/>
  <c r="T497" i="3"/>
  <c r="U497" i="3"/>
  <c r="R497" i="3"/>
  <c r="L497" i="3"/>
  <c r="T496" i="3"/>
  <c r="U496" i="3"/>
  <c r="R496" i="3"/>
  <c r="L496" i="3"/>
  <c r="T495" i="3"/>
  <c r="U495" i="3"/>
  <c r="R495" i="3"/>
  <c r="L495" i="3"/>
  <c r="T494" i="3"/>
  <c r="U494" i="3"/>
  <c r="R494" i="3"/>
  <c r="L494" i="3"/>
  <c r="T493" i="3"/>
  <c r="U493" i="3"/>
  <c r="R493" i="3"/>
  <c r="L493" i="3"/>
  <c r="T492" i="3"/>
  <c r="U492" i="3"/>
  <c r="R492" i="3"/>
  <c r="L492" i="3"/>
  <c r="T491" i="3"/>
  <c r="U491" i="3"/>
  <c r="R491" i="3"/>
  <c r="L491" i="3"/>
  <c r="T490" i="3"/>
  <c r="U490" i="3"/>
  <c r="R490" i="3"/>
  <c r="L490" i="3"/>
  <c r="T489" i="3"/>
  <c r="U489" i="3"/>
  <c r="R489" i="3"/>
  <c r="L489" i="3"/>
  <c r="T488" i="3"/>
  <c r="U488" i="3"/>
  <c r="R488" i="3"/>
  <c r="L488" i="3"/>
  <c r="T487" i="3"/>
  <c r="U487" i="3"/>
  <c r="R487" i="3"/>
  <c r="L487" i="3"/>
  <c r="T486" i="3"/>
  <c r="U486" i="3"/>
  <c r="R486" i="3"/>
  <c r="L486" i="3"/>
  <c r="T485" i="3"/>
  <c r="U485" i="3"/>
  <c r="R485" i="3"/>
  <c r="L485" i="3"/>
  <c r="T484" i="3"/>
  <c r="U484" i="3"/>
  <c r="R484" i="3"/>
  <c r="L484" i="3"/>
  <c r="T483" i="3"/>
  <c r="U483" i="3"/>
  <c r="R483" i="3"/>
  <c r="L483" i="3"/>
  <c r="T482" i="3"/>
  <c r="U482" i="3"/>
  <c r="R482" i="3"/>
  <c r="L482" i="3"/>
  <c r="T481" i="3"/>
  <c r="U481" i="3"/>
  <c r="R481" i="3"/>
  <c r="L481" i="3"/>
  <c r="T480" i="3"/>
  <c r="U480" i="3"/>
  <c r="R480" i="3"/>
  <c r="L480" i="3"/>
  <c r="T479" i="3"/>
  <c r="U479" i="3"/>
  <c r="R479" i="3"/>
  <c r="L479" i="3"/>
  <c r="T478" i="3"/>
  <c r="U478" i="3"/>
  <c r="R478" i="3"/>
  <c r="L478" i="3"/>
  <c r="T477" i="3"/>
  <c r="U477" i="3"/>
  <c r="R477" i="3"/>
  <c r="L477" i="3"/>
  <c r="T476" i="3"/>
  <c r="U476" i="3"/>
  <c r="R476" i="3"/>
  <c r="L476" i="3"/>
  <c r="T475" i="3"/>
  <c r="U475" i="3"/>
  <c r="R475" i="3"/>
  <c r="L475" i="3"/>
  <c r="T474" i="3"/>
  <c r="U474" i="3"/>
  <c r="R474" i="3"/>
  <c r="L474" i="3"/>
  <c r="T473" i="3"/>
  <c r="U473" i="3"/>
  <c r="R473" i="3"/>
  <c r="L473" i="3"/>
  <c r="T472" i="3"/>
  <c r="U472" i="3"/>
  <c r="R472" i="3"/>
  <c r="L472" i="3"/>
  <c r="T471" i="3"/>
  <c r="U471" i="3"/>
  <c r="R471" i="3"/>
  <c r="L471" i="3"/>
  <c r="T470" i="3"/>
  <c r="U470" i="3"/>
  <c r="R470" i="3"/>
  <c r="L470" i="3"/>
  <c r="T469" i="3"/>
  <c r="U469" i="3"/>
  <c r="R469" i="3"/>
  <c r="L469" i="3"/>
  <c r="T468" i="3"/>
  <c r="U468" i="3"/>
  <c r="R468" i="3"/>
  <c r="L468" i="3"/>
  <c r="T467" i="3"/>
  <c r="U467" i="3"/>
  <c r="R467" i="3"/>
  <c r="L467" i="3"/>
  <c r="T466" i="3"/>
  <c r="U466" i="3"/>
  <c r="R466" i="3"/>
  <c r="L466" i="3"/>
  <c r="T465" i="3"/>
  <c r="U465" i="3"/>
  <c r="R465" i="3"/>
  <c r="L465" i="3"/>
  <c r="T464" i="3"/>
  <c r="U464" i="3"/>
  <c r="R464" i="3"/>
  <c r="L464" i="3"/>
  <c r="T463" i="3"/>
  <c r="U463" i="3"/>
  <c r="R463" i="3"/>
  <c r="L463" i="3"/>
  <c r="T462" i="3"/>
  <c r="U462" i="3"/>
  <c r="R462" i="3"/>
  <c r="L462" i="3"/>
  <c r="T461" i="3"/>
  <c r="U461" i="3"/>
  <c r="R461" i="3"/>
  <c r="L461" i="3"/>
  <c r="T460" i="3"/>
  <c r="U460" i="3"/>
  <c r="R460" i="3"/>
  <c r="L460" i="3"/>
  <c r="T459" i="3"/>
  <c r="U459" i="3"/>
  <c r="R459" i="3"/>
  <c r="L459" i="3"/>
  <c r="T458" i="3"/>
  <c r="U458" i="3"/>
  <c r="R458" i="3"/>
  <c r="L458" i="3"/>
  <c r="T457" i="3"/>
  <c r="U457" i="3"/>
  <c r="R457" i="3"/>
  <c r="L457" i="3"/>
  <c r="T456" i="3"/>
  <c r="U456" i="3"/>
  <c r="R456" i="3"/>
  <c r="L456" i="3"/>
  <c r="T455" i="3"/>
  <c r="U455" i="3"/>
  <c r="R455" i="3"/>
  <c r="L455" i="3"/>
  <c r="T454" i="3"/>
  <c r="U454" i="3"/>
  <c r="R454" i="3"/>
  <c r="L454" i="3"/>
  <c r="T453" i="3"/>
  <c r="U453" i="3"/>
  <c r="R453" i="3"/>
  <c r="L453" i="3"/>
  <c r="T452" i="3"/>
  <c r="U452" i="3"/>
  <c r="R452" i="3"/>
  <c r="L452" i="3"/>
  <c r="T451" i="3"/>
  <c r="U451" i="3"/>
  <c r="R451" i="3"/>
  <c r="L451" i="3"/>
  <c r="T450" i="3"/>
  <c r="U450" i="3"/>
  <c r="R450" i="3"/>
  <c r="L450" i="3"/>
  <c r="T449" i="3"/>
  <c r="U449" i="3"/>
  <c r="R449" i="3"/>
  <c r="L449" i="3"/>
  <c r="T448" i="3"/>
  <c r="U448" i="3"/>
  <c r="R448" i="3"/>
  <c r="L448" i="3"/>
  <c r="T447" i="3"/>
  <c r="U447" i="3"/>
  <c r="R447" i="3"/>
  <c r="L447" i="3"/>
  <c r="T446" i="3"/>
  <c r="U446" i="3"/>
  <c r="R446" i="3"/>
  <c r="L446" i="3"/>
  <c r="T445" i="3"/>
  <c r="U445" i="3"/>
  <c r="R445" i="3"/>
  <c r="L445" i="3"/>
  <c r="T444" i="3"/>
  <c r="U444" i="3"/>
  <c r="R444" i="3"/>
  <c r="L444" i="3"/>
  <c r="T443" i="3"/>
  <c r="U443" i="3"/>
  <c r="R443" i="3"/>
  <c r="L443" i="3"/>
  <c r="T442" i="3"/>
  <c r="U442" i="3"/>
  <c r="R442" i="3"/>
  <c r="L442" i="3"/>
  <c r="T441" i="3"/>
  <c r="U441" i="3"/>
  <c r="R441" i="3"/>
  <c r="L441" i="3"/>
  <c r="T440" i="3"/>
  <c r="U440" i="3"/>
  <c r="R440" i="3"/>
  <c r="L440" i="3"/>
  <c r="T439" i="3"/>
  <c r="U439" i="3"/>
  <c r="R439" i="3"/>
  <c r="L439" i="3"/>
  <c r="T438" i="3"/>
  <c r="U438" i="3"/>
  <c r="R438" i="3"/>
  <c r="L438" i="3"/>
  <c r="T437" i="3"/>
  <c r="U437" i="3"/>
  <c r="R437" i="3"/>
  <c r="L437" i="3"/>
  <c r="T436" i="3"/>
  <c r="U436" i="3"/>
  <c r="R436" i="3"/>
  <c r="L436" i="3"/>
  <c r="T435" i="3"/>
  <c r="U435" i="3"/>
  <c r="R435" i="3"/>
  <c r="L435" i="3"/>
  <c r="T434" i="3"/>
  <c r="U434" i="3"/>
  <c r="R434" i="3"/>
  <c r="L434" i="3"/>
  <c r="T433" i="3"/>
  <c r="U433" i="3"/>
  <c r="R433" i="3"/>
  <c r="L433" i="3"/>
  <c r="T432" i="3"/>
  <c r="U432" i="3"/>
  <c r="R432" i="3"/>
  <c r="L432" i="3"/>
  <c r="T431" i="3"/>
  <c r="U431" i="3"/>
  <c r="R431" i="3"/>
  <c r="L431" i="3"/>
  <c r="T430" i="3"/>
  <c r="U430" i="3"/>
  <c r="R430" i="3"/>
  <c r="L430" i="3"/>
  <c r="T429" i="3"/>
  <c r="U429" i="3"/>
  <c r="R429" i="3"/>
  <c r="L429" i="3"/>
  <c r="T428" i="3"/>
  <c r="U428" i="3"/>
  <c r="R428" i="3"/>
  <c r="L428" i="3"/>
  <c r="T427" i="3"/>
  <c r="U427" i="3"/>
  <c r="R427" i="3"/>
  <c r="L427" i="3"/>
  <c r="T426" i="3"/>
  <c r="U426" i="3"/>
  <c r="R426" i="3"/>
  <c r="L426" i="3"/>
  <c r="T425" i="3"/>
  <c r="U425" i="3"/>
  <c r="R425" i="3"/>
  <c r="L425" i="3"/>
  <c r="T424" i="3"/>
  <c r="U424" i="3"/>
  <c r="R424" i="3"/>
  <c r="L424" i="3"/>
  <c r="T423" i="3"/>
  <c r="U423" i="3"/>
  <c r="R423" i="3"/>
  <c r="L423" i="3"/>
  <c r="T422" i="3"/>
  <c r="U422" i="3"/>
  <c r="R422" i="3"/>
  <c r="L422" i="3"/>
  <c r="T421" i="3"/>
  <c r="U421" i="3"/>
  <c r="R421" i="3"/>
  <c r="L421" i="3"/>
  <c r="T420" i="3"/>
  <c r="U420" i="3"/>
  <c r="R420" i="3"/>
  <c r="L420" i="3"/>
  <c r="T419" i="3"/>
  <c r="U419" i="3"/>
  <c r="R419" i="3"/>
  <c r="L419" i="3"/>
  <c r="T418" i="3"/>
  <c r="U418" i="3"/>
  <c r="R418" i="3"/>
  <c r="L418" i="3"/>
  <c r="T417" i="3"/>
  <c r="U417" i="3"/>
  <c r="R417" i="3"/>
  <c r="L417" i="3"/>
  <c r="T416" i="3"/>
  <c r="U416" i="3"/>
  <c r="R416" i="3"/>
  <c r="L416" i="3"/>
  <c r="T415" i="3"/>
  <c r="U415" i="3"/>
  <c r="R415" i="3"/>
  <c r="L415" i="3"/>
  <c r="T414" i="3"/>
  <c r="U414" i="3"/>
  <c r="R414" i="3"/>
  <c r="L414" i="3"/>
  <c r="T413" i="3"/>
  <c r="U413" i="3"/>
  <c r="R413" i="3"/>
  <c r="L413" i="3"/>
  <c r="T412" i="3"/>
  <c r="U412" i="3"/>
  <c r="R412" i="3"/>
  <c r="L412" i="3"/>
  <c r="T411" i="3"/>
  <c r="U411" i="3"/>
  <c r="R411" i="3"/>
  <c r="L411" i="3"/>
  <c r="T410" i="3"/>
  <c r="U410" i="3"/>
  <c r="R410" i="3"/>
  <c r="L410" i="3"/>
  <c r="T409" i="3"/>
  <c r="U409" i="3"/>
  <c r="R409" i="3"/>
  <c r="L409" i="3"/>
  <c r="T408" i="3"/>
  <c r="U408" i="3"/>
  <c r="R408" i="3"/>
  <c r="L408" i="3"/>
  <c r="T407" i="3"/>
  <c r="U407" i="3"/>
  <c r="R407" i="3"/>
  <c r="L407" i="3"/>
  <c r="T406" i="3"/>
  <c r="U406" i="3"/>
  <c r="R406" i="3"/>
  <c r="L406" i="3"/>
  <c r="T405" i="3"/>
  <c r="U405" i="3"/>
  <c r="R405" i="3"/>
  <c r="L405" i="3"/>
  <c r="T404" i="3"/>
  <c r="U404" i="3"/>
  <c r="R404" i="3"/>
  <c r="L404" i="3"/>
  <c r="T403" i="3"/>
  <c r="U403" i="3"/>
  <c r="R403" i="3"/>
  <c r="L403" i="3"/>
  <c r="T402" i="3"/>
  <c r="U402" i="3"/>
  <c r="R402" i="3"/>
  <c r="L402" i="3"/>
  <c r="T401" i="3"/>
  <c r="U401" i="3"/>
  <c r="R401" i="3"/>
  <c r="L401" i="3"/>
  <c r="T400" i="3"/>
  <c r="U400" i="3"/>
  <c r="R400" i="3"/>
  <c r="L400" i="3"/>
  <c r="T399" i="3"/>
  <c r="U399" i="3"/>
  <c r="R399" i="3"/>
  <c r="L399" i="3"/>
  <c r="T398" i="3"/>
  <c r="U398" i="3"/>
  <c r="R398" i="3"/>
  <c r="L398" i="3"/>
  <c r="T397" i="3"/>
  <c r="U397" i="3"/>
  <c r="R397" i="3"/>
  <c r="L397" i="3"/>
  <c r="T396" i="3"/>
  <c r="U396" i="3"/>
  <c r="R396" i="3"/>
  <c r="L396" i="3"/>
  <c r="T395" i="3"/>
  <c r="U395" i="3"/>
  <c r="R395" i="3"/>
  <c r="L395" i="3"/>
  <c r="T394" i="3"/>
  <c r="U394" i="3"/>
  <c r="R394" i="3"/>
  <c r="L394" i="3"/>
  <c r="T393" i="3"/>
  <c r="U393" i="3"/>
  <c r="R393" i="3"/>
  <c r="L393" i="3"/>
  <c r="T392" i="3"/>
  <c r="U392" i="3"/>
  <c r="R392" i="3"/>
  <c r="L392" i="3"/>
  <c r="T391" i="3"/>
  <c r="U391" i="3"/>
  <c r="R391" i="3"/>
  <c r="L391" i="3"/>
  <c r="T390" i="3"/>
  <c r="U390" i="3"/>
  <c r="R390" i="3"/>
  <c r="L390" i="3"/>
  <c r="T389" i="3"/>
  <c r="U389" i="3"/>
  <c r="R389" i="3"/>
  <c r="L389" i="3"/>
  <c r="T388" i="3"/>
  <c r="U388" i="3"/>
  <c r="R388" i="3"/>
  <c r="L388" i="3"/>
  <c r="T387" i="3"/>
  <c r="U387" i="3"/>
  <c r="R387" i="3"/>
  <c r="L387" i="3"/>
  <c r="T386" i="3"/>
  <c r="U386" i="3"/>
  <c r="R386" i="3"/>
  <c r="L386" i="3"/>
  <c r="T385" i="3"/>
  <c r="U385" i="3"/>
  <c r="R385" i="3"/>
  <c r="L385" i="3"/>
  <c r="T384" i="3"/>
  <c r="U384" i="3"/>
  <c r="R384" i="3"/>
  <c r="L384" i="3"/>
  <c r="T383" i="3"/>
  <c r="U383" i="3"/>
  <c r="R383" i="3"/>
  <c r="L383" i="3"/>
  <c r="T382" i="3"/>
  <c r="U382" i="3"/>
  <c r="R382" i="3"/>
  <c r="L382" i="3"/>
  <c r="T381" i="3"/>
  <c r="U381" i="3"/>
  <c r="R381" i="3"/>
  <c r="L381" i="3"/>
  <c r="T380" i="3"/>
  <c r="U380" i="3"/>
  <c r="R380" i="3"/>
  <c r="L380" i="3"/>
  <c r="T379" i="3"/>
  <c r="U379" i="3"/>
  <c r="R379" i="3"/>
  <c r="L379" i="3"/>
  <c r="T378" i="3"/>
  <c r="U378" i="3"/>
  <c r="R378" i="3"/>
  <c r="L378" i="3"/>
  <c r="T377" i="3"/>
  <c r="U377" i="3"/>
  <c r="R377" i="3"/>
  <c r="L377" i="3"/>
  <c r="T376" i="3"/>
  <c r="U376" i="3"/>
  <c r="R376" i="3"/>
  <c r="L376" i="3"/>
  <c r="T375" i="3"/>
  <c r="U375" i="3"/>
  <c r="R375" i="3"/>
  <c r="L375" i="3"/>
  <c r="T374" i="3"/>
  <c r="U374" i="3"/>
  <c r="R374" i="3"/>
  <c r="L374" i="3"/>
  <c r="T373" i="3"/>
  <c r="U373" i="3"/>
  <c r="R373" i="3"/>
  <c r="L373" i="3"/>
  <c r="T372" i="3"/>
  <c r="U372" i="3"/>
  <c r="R372" i="3"/>
  <c r="L372" i="3"/>
  <c r="T371" i="3"/>
  <c r="U371" i="3"/>
  <c r="R371" i="3"/>
  <c r="L371" i="3"/>
  <c r="T370" i="3"/>
  <c r="U370" i="3"/>
  <c r="R370" i="3"/>
  <c r="L370" i="3"/>
  <c r="T369" i="3"/>
  <c r="U369" i="3"/>
  <c r="R369" i="3"/>
  <c r="L369" i="3"/>
  <c r="T368" i="3"/>
  <c r="U368" i="3"/>
  <c r="R368" i="3"/>
  <c r="L368" i="3"/>
  <c r="T367" i="3"/>
  <c r="U367" i="3"/>
  <c r="R367" i="3"/>
  <c r="L367" i="3"/>
  <c r="T366" i="3"/>
  <c r="U366" i="3"/>
  <c r="R366" i="3"/>
  <c r="L366" i="3"/>
  <c r="T365" i="3"/>
  <c r="U365" i="3"/>
  <c r="R365" i="3"/>
  <c r="L365" i="3"/>
  <c r="T364" i="3"/>
  <c r="U364" i="3"/>
  <c r="R364" i="3"/>
  <c r="L364" i="3"/>
  <c r="T363" i="3"/>
  <c r="U363" i="3"/>
  <c r="R363" i="3"/>
  <c r="L363" i="3"/>
  <c r="T362" i="3"/>
  <c r="U362" i="3"/>
  <c r="R362" i="3"/>
  <c r="L362" i="3"/>
  <c r="T361" i="3"/>
  <c r="U361" i="3"/>
  <c r="R361" i="3"/>
  <c r="L361" i="3"/>
  <c r="T360" i="3"/>
  <c r="U360" i="3"/>
  <c r="R360" i="3"/>
  <c r="L360" i="3"/>
  <c r="T359" i="3"/>
  <c r="U359" i="3"/>
  <c r="R359" i="3"/>
  <c r="L359" i="3"/>
  <c r="T358" i="3"/>
  <c r="U358" i="3"/>
  <c r="R358" i="3"/>
  <c r="L358" i="3"/>
  <c r="T357" i="3"/>
  <c r="U357" i="3"/>
  <c r="R357" i="3"/>
  <c r="L357" i="3"/>
  <c r="T356" i="3"/>
  <c r="U356" i="3"/>
  <c r="R356" i="3"/>
  <c r="L356" i="3"/>
  <c r="T355" i="3"/>
  <c r="U355" i="3"/>
  <c r="R355" i="3"/>
  <c r="L355" i="3"/>
  <c r="T354" i="3"/>
  <c r="U354" i="3"/>
  <c r="R354" i="3"/>
  <c r="L354" i="3"/>
  <c r="T353" i="3"/>
  <c r="U353" i="3"/>
  <c r="R353" i="3"/>
  <c r="L353" i="3"/>
  <c r="T352" i="3"/>
  <c r="U352" i="3"/>
  <c r="R352" i="3"/>
  <c r="L352" i="3"/>
  <c r="T351" i="3"/>
  <c r="U351" i="3"/>
  <c r="R351" i="3"/>
  <c r="L351" i="3"/>
  <c r="T350" i="3"/>
  <c r="U350" i="3"/>
  <c r="R350" i="3"/>
  <c r="L350" i="3"/>
  <c r="T349" i="3"/>
  <c r="U349" i="3"/>
  <c r="R349" i="3"/>
  <c r="L349" i="3"/>
  <c r="T348" i="3"/>
  <c r="U348" i="3"/>
  <c r="R348" i="3"/>
  <c r="L348" i="3"/>
  <c r="T347" i="3"/>
  <c r="U347" i="3"/>
  <c r="R347" i="3"/>
  <c r="L347" i="3"/>
  <c r="T346" i="3"/>
  <c r="U346" i="3"/>
  <c r="R346" i="3"/>
  <c r="L346" i="3"/>
  <c r="T345" i="3"/>
  <c r="U345" i="3"/>
  <c r="R345" i="3"/>
  <c r="L345" i="3"/>
  <c r="T344" i="3"/>
  <c r="U344" i="3"/>
  <c r="R344" i="3"/>
  <c r="L344" i="3"/>
  <c r="T343" i="3"/>
  <c r="U343" i="3"/>
  <c r="R343" i="3"/>
  <c r="L343" i="3"/>
  <c r="T342" i="3"/>
  <c r="U342" i="3"/>
  <c r="R342" i="3"/>
  <c r="L342" i="3"/>
  <c r="T341" i="3"/>
  <c r="U341" i="3"/>
  <c r="R341" i="3"/>
  <c r="L341" i="3"/>
  <c r="T340" i="3"/>
  <c r="U340" i="3"/>
  <c r="R340" i="3"/>
  <c r="L340" i="3"/>
  <c r="T339" i="3"/>
  <c r="U339" i="3"/>
  <c r="R339" i="3"/>
  <c r="L339" i="3"/>
  <c r="T338" i="3"/>
  <c r="U338" i="3"/>
  <c r="R338" i="3"/>
  <c r="L338" i="3"/>
  <c r="T337" i="3"/>
  <c r="U337" i="3"/>
  <c r="R337" i="3"/>
  <c r="L337" i="3"/>
  <c r="T336" i="3"/>
  <c r="U336" i="3"/>
  <c r="R336" i="3"/>
  <c r="L336" i="3"/>
  <c r="T335" i="3"/>
  <c r="U335" i="3"/>
  <c r="R335" i="3"/>
  <c r="L335" i="3"/>
  <c r="T334" i="3"/>
  <c r="U334" i="3"/>
  <c r="R334" i="3"/>
  <c r="L334" i="3"/>
  <c r="T333" i="3"/>
  <c r="U333" i="3"/>
  <c r="R333" i="3"/>
  <c r="L333" i="3"/>
  <c r="T332" i="3"/>
  <c r="U332" i="3"/>
  <c r="R332" i="3"/>
  <c r="L332" i="3"/>
  <c r="T331" i="3"/>
  <c r="U331" i="3"/>
  <c r="R331" i="3"/>
  <c r="L331" i="3"/>
  <c r="T330" i="3"/>
  <c r="U330" i="3"/>
  <c r="R330" i="3"/>
  <c r="L330" i="3"/>
  <c r="T329" i="3"/>
  <c r="U329" i="3"/>
  <c r="R329" i="3"/>
  <c r="L329" i="3"/>
  <c r="T328" i="3"/>
  <c r="U328" i="3"/>
  <c r="R328" i="3"/>
  <c r="L328" i="3"/>
  <c r="T327" i="3"/>
  <c r="U327" i="3"/>
  <c r="R327" i="3"/>
  <c r="L327" i="3"/>
  <c r="T326" i="3"/>
  <c r="U326" i="3"/>
  <c r="R326" i="3"/>
  <c r="L326" i="3"/>
  <c r="T325" i="3"/>
  <c r="U325" i="3"/>
  <c r="R325" i="3"/>
  <c r="L325" i="3"/>
  <c r="T324" i="3"/>
  <c r="U324" i="3"/>
  <c r="R324" i="3"/>
  <c r="L324" i="3"/>
  <c r="T323" i="3"/>
  <c r="U323" i="3"/>
  <c r="R323" i="3"/>
  <c r="L323" i="3"/>
  <c r="T322" i="3"/>
  <c r="U322" i="3"/>
  <c r="R322" i="3"/>
  <c r="L322" i="3"/>
  <c r="T321" i="3"/>
  <c r="U321" i="3"/>
  <c r="R321" i="3"/>
  <c r="L321" i="3"/>
  <c r="T320" i="3"/>
  <c r="U320" i="3"/>
  <c r="R320" i="3"/>
  <c r="L320" i="3"/>
  <c r="T319" i="3"/>
  <c r="U319" i="3"/>
  <c r="R319" i="3"/>
  <c r="L319" i="3"/>
  <c r="T318" i="3"/>
  <c r="U318" i="3"/>
  <c r="R318" i="3"/>
  <c r="L318" i="3"/>
  <c r="T317" i="3"/>
  <c r="U317" i="3"/>
  <c r="R317" i="3"/>
  <c r="L317" i="3"/>
  <c r="T316" i="3"/>
  <c r="U316" i="3"/>
  <c r="R316" i="3"/>
  <c r="L316" i="3"/>
  <c r="T315" i="3"/>
  <c r="U315" i="3"/>
  <c r="R315" i="3"/>
  <c r="L315" i="3"/>
  <c r="T314" i="3"/>
  <c r="U314" i="3"/>
  <c r="R314" i="3"/>
  <c r="L314" i="3"/>
  <c r="T313" i="3"/>
  <c r="U313" i="3"/>
  <c r="R313" i="3"/>
  <c r="L313" i="3"/>
  <c r="T312" i="3"/>
  <c r="U312" i="3"/>
  <c r="R312" i="3"/>
  <c r="L312" i="3"/>
  <c r="T311" i="3"/>
  <c r="U311" i="3"/>
  <c r="R311" i="3"/>
  <c r="L311" i="3"/>
  <c r="T310" i="3"/>
  <c r="U310" i="3"/>
  <c r="R310" i="3"/>
  <c r="L310" i="3"/>
  <c r="T309" i="3"/>
  <c r="U309" i="3"/>
  <c r="R309" i="3"/>
  <c r="L309" i="3"/>
  <c r="T308" i="3"/>
  <c r="U308" i="3"/>
  <c r="R308" i="3"/>
  <c r="L308" i="3"/>
  <c r="T307" i="3"/>
  <c r="U307" i="3"/>
  <c r="R307" i="3"/>
  <c r="L307" i="3"/>
  <c r="T306" i="3"/>
  <c r="U306" i="3"/>
  <c r="R306" i="3"/>
  <c r="L306" i="3"/>
  <c r="T305" i="3"/>
  <c r="U305" i="3"/>
  <c r="R305" i="3"/>
  <c r="L305" i="3"/>
  <c r="T304" i="3"/>
  <c r="U304" i="3"/>
  <c r="R304" i="3"/>
  <c r="L304" i="3"/>
  <c r="T303" i="3"/>
  <c r="U303" i="3"/>
  <c r="R303" i="3"/>
  <c r="L303" i="3"/>
  <c r="T302" i="3"/>
  <c r="U302" i="3"/>
  <c r="R302" i="3"/>
  <c r="L302" i="3"/>
  <c r="T301" i="3"/>
  <c r="U301" i="3"/>
  <c r="R301" i="3"/>
  <c r="L301" i="3"/>
  <c r="T300" i="3"/>
  <c r="U300" i="3"/>
  <c r="R300" i="3"/>
  <c r="L300" i="3"/>
  <c r="T299" i="3"/>
  <c r="U299" i="3"/>
  <c r="R299" i="3"/>
  <c r="L299" i="3"/>
  <c r="T298" i="3"/>
  <c r="U298" i="3"/>
  <c r="R298" i="3"/>
  <c r="L298" i="3"/>
  <c r="T297" i="3"/>
  <c r="U297" i="3"/>
  <c r="R297" i="3"/>
  <c r="L297" i="3"/>
  <c r="T296" i="3"/>
  <c r="U296" i="3"/>
  <c r="R296" i="3"/>
  <c r="L296" i="3"/>
  <c r="T295" i="3"/>
  <c r="U295" i="3"/>
  <c r="R295" i="3"/>
  <c r="L295" i="3"/>
  <c r="T294" i="3"/>
  <c r="U294" i="3"/>
  <c r="R294" i="3"/>
  <c r="L294" i="3"/>
  <c r="T293" i="3"/>
  <c r="U293" i="3"/>
  <c r="R293" i="3"/>
  <c r="L293" i="3"/>
  <c r="T292" i="3"/>
  <c r="U292" i="3"/>
  <c r="R292" i="3"/>
  <c r="L292" i="3"/>
  <c r="T291" i="3"/>
  <c r="U291" i="3"/>
  <c r="R291" i="3"/>
  <c r="L291" i="3"/>
  <c r="T290" i="3"/>
  <c r="U290" i="3"/>
  <c r="R290" i="3"/>
  <c r="L290" i="3"/>
  <c r="T289" i="3"/>
  <c r="U289" i="3"/>
  <c r="R289" i="3"/>
  <c r="L289" i="3"/>
  <c r="T288" i="3"/>
  <c r="U288" i="3"/>
  <c r="R288" i="3"/>
  <c r="L288" i="3"/>
  <c r="T287" i="3"/>
  <c r="U287" i="3"/>
  <c r="R287" i="3"/>
  <c r="L287" i="3"/>
  <c r="T286" i="3"/>
  <c r="U286" i="3"/>
  <c r="R286" i="3"/>
  <c r="L286" i="3"/>
  <c r="T285" i="3"/>
  <c r="U285" i="3"/>
  <c r="R285" i="3"/>
  <c r="L285" i="3"/>
  <c r="T284" i="3"/>
  <c r="U284" i="3"/>
  <c r="R284" i="3"/>
  <c r="L284" i="3"/>
  <c r="T283" i="3"/>
  <c r="U283" i="3"/>
  <c r="R283" i="3"/>
  <c r="L283" i="3"/>
  <c r="T282" i="3"/>
  <c r="U282" i="3"/>
  <c r="R282" i="3"/>
  <c r="L282" i="3"/>
  <c r="T281" i="3"/>
  <c r="U281" i="3"/>
  <c r="R281" i="3"/>
  <c r="L281" i="3"/>
  <c r="T280" i="3"/>
  <c r="U280" i="3"/>
  <c r="R280" i="3"/>
  <c r="L280" i="3"/>
  <c r="T279" i="3"/>
  <c r="U279" i="3"/>
  <c r="R279" i="3"/>
  <c r="L279" i="3"/>
  <c r="T278" i="3"/>
  <c r="U278" i="3"/>
  <c r="R278" i="3"/>
  <c r="L278" i="3"/>
  <c r="T277" i="3"/>
  <c r="U277" i="3"/>
  <c r="R277" i="3"/>
  <c r="L277" i="3"/>
  <c r="T276" i="3"/>
  <c r="U276" i="3"/>
  <c r="R276" i="3"/>
  <c r="L276" i="3"/>
  <c r="T275" i="3"/>
  <c r="U275" i="3"/>
  <c r="R275" i="3"/>
  <c r="L275" i="3"/>
  <c r="T274" i="3"/>
  <c r="U274" i="3"/>
  <c r="R274" i="3"/>
  <c r="L274" i="3"/>
  <c r="T273" i="3"/>
  <c r="U273" i="3"/>
  <c r="R273" i="3"/>
  <c r="L273" i="3"/>
  <c r="T272" i="3"/>
  <c r="U272" i="3"/>
  <c r="R272" i="3"/>
  <c r="L272" i="3"/>
  <c r="T271" i="3"/>
  <c r="U271" i="3"/>
  <c r="R271" i="3"/>
  <c r="L271" i="3"/>
  <c r="T270" i="3"/>
  <c r="U270" i="3"/>
  <c r="R270" i="3"/>
  <c r="L270" i="3"/>
  <c r="T269" i="3"/>
  <c r="U269" i="3"/>
  <c r="R269" i="3"/>
  <c r="L269" i="3"/>
  <c r="T268" i="3"/>
  <c r="U268" i="3"/>
  <c r="R268" i="3"/>
  <c r="L268" i="3"/>
  <c r="T267" i="3"/>
  <c r="U267" i="3"/>
  <c r="R267" i="3"/>
  <c r="L267" i="3"/>
  <c r="T266" i="3"/>
  <c r="U266" i="3"/>
  <c r="R266" i="3"/>
  <c r="L266" i="3"/>
  <c r="T265" i="3"/>
  <c r="U265" i="3"/>
  <c r="R265" i="3"/>
  <c r="L265" i="3"/>
  <c r="T264" i="3"/>
  <c r="U264" i="3"/>
  <c r="R264" i="3"/>
  <c r="L264" i="3"/>
  <c r="T263" i="3"/>
  <c r="U263" i="3"/>
  <c r="R263" i="3"/>
  <c r="L263" i="3"/>
  <c r="T262" i="3"/>
  <c r="U262" i="3"/>
  <c r="R262" i="3"/>
  <c r="L262" i="3"/>
  <c r="T261" i="3"/>
  <c r="U261" i="3"/>
  <c r="R261" i="3"/>
  <c r="L261" i="3"/>
  <c r="T260" i="3"/>
  <c r="U260" i="3"/>
  <c r="R260" i="3"/>
  <c r="L260" i="3"/>
  <c r="T259" i="3"/>
  <c r="U259" i="3"/>
  <c r="R259" i="3"/>
  <c r="L259" i="3"/>
  <c r="T258" i="3"/>
  <c r="U258" i="3"/>
  <c r="R258" i="3"/>
  <c r="L258" i="3"/>
  <c r="T257" i="3"/>
  <c r="U257" i="3"/>
  <c r="R257" i="3"/>
  <c r="L257" i="3"/>
  <c r="T256" i="3"/>
  <c r="U256" i="3"/>
  <c r="R256" i="3"/>
  <c r="L256" i="3"/>
  <c r="T255" i="3"/>
  <c r="U255" i="3"/>
  <c r="R255" i="3"/>
  <c r="L255" i="3"/>
  <c r="T254" i="3"/>
  <c r="U254" i="3"/>
  <c r="R254" i="3"/>
  <c r="L254" i="3"/>
  <c r="T253" i="3"/>
  <c r="U253" i="3"/>
  <c r="R253" i="3"/>
  <c r="L253" i="3"/>
  <c r="T252" i="3"/>
  <c r="U252" i="3"/>
  <c r="R252" i="3"/>
  <c r="L252" i="3"/>
  <c r="T251" i="3"/>
  <c r="U251" i="3"/>
  <c r="R251" i="3"/>
  <c r="L251" i="3"/>
  <c r="T250" i="3"/>
  <c r="U250" i="3"/>
  <c r="R250" i="3"/>
  <c r="L250" i="3"/>
  <c r="T249" i="3"/>
  <c r="U249" i="3"/>
  <c r="R249" i="3"/>
  <c r="L249" i="3"/>
  <c r="T248" i="3"/>
  <c r="U248" i="3"/>
  <c r="R248" i="3"/>
  <c r="L248" i="3"/>
  <c r="T247" i="3"/>
  <c r="U247" i="3"/>
  <c r="R247" i="3"/>
  <c r="L247" i="3"/>
  <c r="T246" i="3"/>
  <c r="U246" i="3"/>
  <c r="R246" i="3"/>
  <c r="L246" i="3"/>
  <c r="T245" i="3"/>
  <c r="U245" i="3"/>
  <c r="R245" i="3"/>
  <c r="L245" i="3"/>
  <c r="T244" i="3"/>
  <c r="U244" i="3"/>
  <c r="R244" i="3"/>
  <c r="L244" i="3"/>
  <c r="T243" i="3"/>
  <c r="U243" i="3"/>
  <c r="R243" i="3"/>
  <c r="L243" i="3"/>
  <c r="T242" i="3"/>
  <c r="U242" i="3"/>
  <c r="R242" i="3"/>
  <c r="L242" i="3"/>
  <c r="T241" i="3"/>
  <c r="U241" i="3"/>
  <c r="R241" i="3"/>
  <c r="L241" i="3"/>
  <c r="T240" i="3"/>
  <c r="U240" i="3"/>
  <c r="R240" i="3"/>
  <c r="L240" i="3"/>
  <c r="T239" i="3"/>
  <c r="U239" i="3"/>
  <c r="R239" i="3"/>
  <c r="L239" i="3"/>
  <c r="T238" i="3"/>
  <c r="U238" i="3"/>
  <c r="R238" i="3"/>
  <c r="L238" i="3"/>
  <c r="T237" i="3"/>
  <c r="U237" i="3"/>
  <c r="R237" i="3"/>
  <c r="L237" i="3"/>
  <c r="T236" i="3"/>
  <c r="U236" i="3"/>
  <c r="R236" i="3"/>
  <c r="L236" i="3"/>
  <c r="T235" i="3"/>
  <c r="U235" i="3"/>
  <c r="R235" i="3"/>
  <c r="L235" i="3"/>
  <c r="T234" i="3"/>
  <c r="U234" i="3"/>
  <c r="R234" i="3"/>
  <c r="L234" i="3"/>
  <c r="T233" i="3"/>
  <c r="U233" i="3"/>
  <c r="R233" i="3"/>
  <c r="L233" i="3"/>
  <c r="T232" i="3"/>
  <c r="U232" i="3"/>
  <c r="R232" i="3"/>
  <c r="L232" i="3"/>
  <c r="T231" i="3"/>
  <c r="U231" i="3"/>
  <c r="R231" i="3"/>
  <c r="L231" i="3"/>
  <c r="T230" i="3"/>
  <c r="U230" i="3"/>
  <c r="R230" i="3"/>
  <c r="L230" i="3"/>
  <c r="T229" i="3"/>
  <c r="U229" i="3"/>
  <c r="R229" i="3"/>
  <c r="L229" i="3"/>
  <c r="T228" i="3"/>
  <c r="U228" i="3"/>
  <c r="R228" i="3"/>
  <c r="L228" i="3"/>
  <c r="T227" i="3"/>
  <c r="U227" i="3"/>
  <c r="R227" i="3"/>
  <c r="L227" i="3"/>
  <c r="T226" i="3"/>
  <c r="U226" i="3"/>
  <c r="R226" i="3"/>
  <c r="L226" i="3"/>
  <c r="T225" i="3"/>
  <c r="U225" i="3"/>
  <c r="R225" i="3"/>
  <c r="L225" i="3"/>
  <c r="T224" i="3"/>
  <c r="U224" i="3"/>
  <c r="R224" i="3"/>
  <c r="L224" i="3"/>
  <c r="T223" i="3"/>
  <c r="U223" i="3"/>
  <c r="R223" i="3"/>
  <c r="L223" i="3"/>
  <c r="T222" i="3"/>
  <c r="U222" i="3"/>
  <c r="R222" i="3"/>
  <c r="L222" i="3"/>
  <c r="T221" i="3"/>
  <c r="U221" i="3"/>
  <c r="R221" i="3"/>
  <c r="L221" i="3"/>
  <c r="T220" i="3"/>
  <c r="U220" i="3"/>
  <c r="R220" i="3"/>
  <c r="L220" i="3"/>
  <c r="T219" i="3"/>
  <c r="U219" i="3"/>
  <c r="R219" i="3"/>
  <c r="L219" i="3"/>
  <c r="T218" i="3"/>
  <c r="U218" i="3"/>
  <c r="R218" i="3"/>
  <c r="L218" i="3"/>
  <c r="T217" i="3"/>
  <c r="U217" i="3"/>
  <c r="R217" i="3"/>
  <c r="L217" i="3"/>
  <c r="T216" i="3"/>
  <c r="U216" i="3"/>
  <c r="R216" i="3"/>
  <c r="L216" i="3"/>
  <c r="T215" i="3"/>
  <c r="U215" i="3"/>
  <c r="R215" i="3"/>
  <c r="L215" i="3"/>
  <c r="T214" i="3"/>
  <c r="U214" i="3"/>
  <c r="R214" i="3"/>
  <c r="L214" i="3"/>
  <c r="T213" i="3"/>
  <c r="U213" i="3"/>
  <c r="R213" i="3"/>
  <c r="L213" i="3"/>
  <c r="T212" i="3"/>
  <c r="U212" i="3"/>
  <c r="R212" i="3"/>
  <c r="L212" i="3"/>
  <c r="T211" i="3"/>
  <c r="U211" i="3"/>
  <c r="R211" i="3"/>
  <c r="L211" i="3"/>
  <c r="T210" i="3"/>
  <c r="U210" i="3"/>
  <c r="R210" i="3"/>
  <c r="L210" i="3"/>
  <c r="T209" i="3"/>
  <c r="U209" i="3"/>
  <c r="R209" i="3"/>
  <c r="L209" i="3"/>
  <c r="T208" i="3"/>
  <c r="U208" i="3"/>
  <c r="R208" i="3"/>
  <c r="L208" i="3"/>
  <c r="T207" i="3"/>
  <c r="U207" i="3"/>
  <c r="R207" i="3"/>
  <c r="L207" i="3"/>
  <c r="T206" i="3"/>
  <c r="U206" i="3"/>
  <c r="R206" i="3"/>
  <c r="L206" i="3"/>
  <c r="T205" i="3"/>
  <c r="U205" i="3"/>
  <c r="R205" i="3"/>
  <c r="L205" i="3"/>
  <c r="T204" i="3"/>
  <c r="U204" i="3"/>
  <c r="R204" i="3"/>
  <c r="L204" i="3"/>
  <c r="T203" i="3"/>
  <c r="U203" i="3"/>
  <c r="R203" i="3"/>
  <c r="L203" i="3"/>
  <c r="T202" i="3"/>
  <c r="U202" i="3"/>
  <c r="R202" i="3"/>
  <c r="L202" i="3"/>
  <c r="T201" i="3"/>
  <c r="U201" i="3"/>
  <c r="R201" i="3"/>
  <c r="L201" i="3"/>
  <c r="T200" i="3"/>
  <c r="U200" i="3"/>
  <c r="R200" i="3"/>
  <c r="L200" i="3"/>
  <c r="T199" i="3"/>
  <c r="U199" i="3"/>
  <c r="R199" i="3"/>
  <c r="L199" i="3"/>
  <c r="T198" i="3"/>
  <c r="U198" i="3"/>
  <c r="R198" i="3"/>
  <c r="L198" i="3"/>
  <c r="T197" i="3"/>
  <c r="U197" i="3"/>
  <c r="R197" i="3"/>
  <c r="L197" i="3"/>
  <c r="T196" i="3"/>
  <c r="U196" i="3"/>
  <c r="R196" i="3"/>
  <c r="L196" i="3"/>
  <c r="T195" i="3"/>
  <c r="U195" i="3"/>
  <c r="R195" i="3"/>
  <c r="L195" i="3"/>
  <c r="T194" i="3"/>
  <c r="U194" i="3"/>
  <c r="R194" i="3"/>
  <c r="L194" i="3"/>
  <c r="T193" i="3"/>
  <c r="U193" i="3"/>
  <c r="R193" i="3"/>
  <c r="L193" i="3"/>
  <c r="T192" i="3"/>
  <c r="U192" i="3"/>
  <c r="R192" i="3"/>
  <c r="L192" i="3"/>
  <c r="T191" i="3"/>
  <c r="U191" i="3"/>
  <c r="R191" i="3"/>
  <c r="L191" i="3"/>
  <c r="T190" i="3"/>
  <c r="U190" i="3"/>
  <c r="R190" i="3"/>
  <c r="L190" i="3"/>
  <c r="T189" i="3"/>
  <c r="U189" i="3"/>
  <c r="R189" i="3"/>
  <c r="L189" i="3"/>
  <c r="T188" i="3"/>
  <c r="U188" i="3"/>
  <c r="R188" i="3"/>
  <c r="L188" i="3"/>
  <c r="T187" i="3"/>
  <c r="U187" i="3"/>
  <c r="R187" i="3"/>
  <c r="L187" i="3"/>
  <c r="T186" i="3"/>
  <c r="U186" i="3"/>
  <c r="R186" i="3"/>
  <c r="L186" i="3"/>
  <c r="T185" i="3"/>
  <c r="U185" i="3"/>
  <c r="R185" i="3"/>
  <c r="L185" i="3"/>
  <c r="T184" i="3"/>
  <c r="U184" i="3"/>
  <c r="R184" i="3"/>
  <c r="L184" i="3"/>
  <c r="T183" i="3"/>
  <c r="U183" i="3"/>
  <c r="R183" i="3"/>
  <c r="L183" i="3"/>
  <c r="T182" i="3"/>
  <c r="U182" i="3"/>
  <c r="R182" i="3"/>
  <c r="L182" i="3"/>
  <c r="T181" i="3"/>
  <c r="U181" i="3"/>
  <c r="R181" i="3"/>
  <c r="L181" i="3"/>
  <c r="T180" i="3"/>
  <c r="U180" i="3"/>
  <c r="R180" i="3"/>
  <c r="L180" i="3"/>
  <c r="T179" i="3"/>
  <c r="U179" i="3"/>
  <c r="R179" i="3"/>
  <c r="L179" i="3"/>
  <c r="T178" i="3"/>
  <c r="U178" i="3"/>
  <c r="R178" i="3"/>
  <c r="L178" i="3"/>
  <c r="T177" i="3"/>
  <c r="U177" i="3"/>
  <c r="R177" i="3"/>
  <c r="L177" i="3"/>
  <c r="T176" i="3"/>
  <c r="U176" i="3"/>
  <c r="R176" i="3"/>
  <c r="L176" i="3"/>
  <c r="T175" i="3"/>
  <c r="U175" i="3"/>
  <c r="R175" i="3"/>
  <c r="L175" i="3"/>
  <c r="T174" i="3"/>
  <c r="U174" i="3"/>
  <c r="R174" i="3"/>
  <c r="L174" i="3"/>
  <c r="T173" i="3"/>
  <c r="U173" i="3"/>
  <c r="R173" i="3"/>
  <c r="L173" i="3"/>
  <c r="T172" i="3"/>
  <c r="U172" i="3"/>
  <c r="R172" i="3"/>
  <c r="L172" i="3"/>
  <c r="T171" i="3"/>
  <c r="U171" i="3"/>
  <c r="R171" i="3"/>
  <c r="L171" i="3"/>
  <c r="T170" i="3"/>
  <c r="U170" i="3"/>
  <c r="R170" i="3"/>
  <c r="L170" i="3"/>
  <c r="T169" i="3"/>
  <c r="U169" i="3"/>
  <c r="R169" i="3"/>
  <c r="L169" i="3"/>
  <c r="T168" i="3"/>
  <c r="U168" i="3"/>
  <c r="R168" i="3"/>
  <c r="L168" i="3"/>
  <c r="T167" i="3"/>
  <c r="U167" i="3"/>
  <c r="R167" i="3"/>
  <c r="L167" i="3"/>
  <c r="T166" i="3"/>
  <c r="U166" i="3"/>
  <c r="R166" i="3"/>
  <c r="L166" i="3"/>
  <c r="T165" i="3"/>
  <c r="U165" i="3"/>
  <c r="R165" i="3"/>
  <c r="L165" i="3"/>
  <c r="T164" i="3"/>
  <c r="U164" i="3"/>
  <c r="R164" i="3"/>
  <c r="L164" i="3"/>
  <c r="T163" i="3"/>
  <c r="U163" i="3"/>
  <c r="R163" i="3"/>
  <c r="L163" i="3"/>
  <c r="T162" i="3"/>
  <c r="U162" i="3"/>
  <c r="R162" i="3"/>
  <c r="L162" i="3"/>
  <c r="T161" i="3"/>
  <c r="U161" i="3"/>
  <c r="R161" i="3"/>
  <c r="L161" i="3"/>
  <c r="T160" i="3"/>
  <c r="U160" i="3"/>
  <c r="R160" i="3"/>
  <c r="L160" i="3"/>
  <c r="T159" i="3"/>
  <c r="U159" i="3"/>
  <c r="R159" i="3"/>
  <c r="L159" i="3"/>
  <c r="T158" i="3"/>
  <c r="U158" i="3"/>
  <c r="R158" i="3"/>
  <c r="L158" i="3"/>
  <c r="T157" i="3"/>
  <c r="U157" i="3"/>
  <c r="R157" i="3"/>
  <c r="L157" i="3"/>
  <c r="T156" i="3"/>
  <c r="U156" i="3"/>
  <c r="R156" i="3"/>
  <c r="L156" i="3"/>
  <c r="T155" i="3"/>
  <c r="U155" i="3"/>
  <c r="R155" i="3"/>
  <c r="L155" i="3"/>
  <c r="T154" i="3"/>
  <c r="U154" i="3"/>
  <c r="R154" i="3"/>
  <c r="L154" i="3"/>
  <c r="T153" i="3"/>
  <c r="U153" i="3"/>
  <c r="R153" i="3"/>
  <c r="L153" i="3"/>
  <c r="T152" i="3"/>
  <c r="U152" i="3"/>
  <c r="R152" i="3"/>
  <c r="L152" i="3"/>
  <c r="T151" i="3"/>
  <c r="U151" i="3"/>
  <c r="R151" i="3"/>
  <c r="L151" i="3"/>
  <c r="T150" i="3"/>
  <c r="U150" i="3"/>
  <c r="R150" i="3"/>
  <c r="L150" i="3"/>
  <c r="T149" i="3"/>
  <c r="U149" i="3"/>
  <c r="R149" i="3"/>
  <c r="L149" i="3"/>
  <c r="T148" i="3"/>
  <c r="U148" i="3"/>
  <c r="R148" i="3"/>
  <c r="L148" i="3"/>
  <c r="T147" i="3"/>
  <c r="U147" i="3"/>
  <c r="R147" i="3"/>
  <c r="L147" i="3"/>
  <c r="T146" i="3"/>
  <c r="U146" i="3"/>
  <c r="R146" i="3"/>
  <c r="L146" i="3"/>
  <c r="T145" i="3"/>
  <c r="U145" i="3"/>
  <c r="R145" i="3"/>
  <c r="L145" i="3"/>
  <c r="T144" i="3"/>
  <c r="U144" i="3"/>
  <c r="R144" i="3"/>
  <c r="L144" i="3"/>
  <c r="T143" i="3"/>
  <c r="U143" i="3"/>
  <c r="R143" i="3"/>
  <c r="L143" i="3"/>
  <c r="T142" i="3"/>
  <c r="U142" i="3"/>
  <c r="R142" i="3"/>
  <c r="L142" i="3"/>
  <c r="T141" i="3"/>
  <c r="U141" i="3"/>
  <c r="R141" i="3"/>
  <c r="L141" i="3"/>
  <c r="T140" i="3"/>
  <c r="U140" i="3"/>
  <c r="R140" i="3"/>
  <c r="L140" i="3"/>
  <c r="T139" i="3"/>
  <c r="U139" i="3"/>
  <c r="R139" i="3"/>
  <c r="L139" i="3"/>
  <c r="T138" i="3"/>
  <c r="U138" i="3"/>
  <c r="R138" i="3"/>
  <c r="L138" i="3"/>
  <c r="T137" i="3"/>
  <c r="U137" i="3"/>
  <c r="R137" i="3"/>
  <c r="L137" i="3"/>
  <c r="T136" i="3"/>
  <c r="U136" i="3"/>
  <c r="R136" i="3"/>
  <c r="L136" i="3"/>
  <c r="T135" i="3"/>
  <c r="U135" i="3"/>
  <c r="R135" i="3"/>
  <c r="L135" i="3"/>
  <c r="T134" i="3"/>
  <c r="U134" i="3"/>
  <c r="R134" i="3"/>
  <c r="L134" i="3"/>
  <c r="T133" i="3"/>
  <c r="U133" i="3"/>
  <c r="R133" i="3"/>
  <c r="L133" i="3"/>
  <c r="T132" i="3"/>
  <c r="U132" i="3"/>
  <c r="R132" i="3"/>
  <c r="L132" i="3"/>
  <c r="T131" i="3"/>
  <c r="U131" i="3"/>
  <c r="R131" i="3"/>
  <c r="L131" i="3"/>
  <c r="T130" i="3"/>
  <c r="U130" i="3"/>
  <c r="R130" i="3"/>
  <c r="L130" i="3"/>
  <c r="T129" i="3"/>
  <c r="U129" i="3"/>
  <c r="R129" i="3"/>
  <c r="L129" i="3"/>
  <c r="T128" i="3"/>
  <c r="U128" i="3"/>
  <c r="R128" i="3"/>
  <c r="L128" i="3"/>
  <c r="T127" i="3"/>
  <c r="U127" i="3"/>
  <c r="R127" i="3"/>
  <c r="L127" i="3"/>
  <c r="T126" i="3"/>
  <c r="U126" i="3"/>
  <c r="R126" i="3"/>
  <c r="L126" i="3"/>
  <c r="T125" i="3"/>
  <c r="U125" i="3"/>
  <c r="R125" i="3"/>
  <c r="L125" i="3"/>
  <c r="T124" i="3"/>
  <c r="U124" i="3"/>
  <c r="R124" i="3"/>
  <c r="L124" i="3"/>
  <c r="T123" i="3"/>
  <c r="U123" i="3"/>
  <c r="R123" i="3"/>
  <c r="L123" i="3"/>
  <c r="T122" i="3"/>
  <c r="U122" i="3"/>
  <c r="R122" i="3"/>
  <c r="L122" i="3"/>
  <c r="T121" i="3"/>
  <c r="U121" i="3"/>
  <c r="R121" i="3"/>
  <c r="L121" i="3"/>
  <c r="T120" i="3"/>
  <c r="U120" i="3"/>
  <c r="R120" i="3"/>
  <c r="L120" i="3"/>
  <c r="T119" i="3"/>
  <c r="U119" i="3"/>
  <c r="R119" i="3"/>
  <c r="L119" i="3"/>
  <c r="T118" i="3"/>
  <c r="U118" i="3"/>
  <c r="R118" i="3"/>
  <c r="L118" i="3"/>
  <c r="T117" i="3"/>
  <c r="U117" i="3"/>
  <c r="R117" i="3"/>
  <c r="L117" i="3"/>
  <c r="T116" i="3"/>
  <c r="U116" i="3"/>
  <c r="R116" i="3"/>
  <c r="L116" i="3"/>
  <c r="T115" i="3"/>
  <c r="U115" i="3"/>
  <c r="R115" i="3"/>
  <c r="L115" i="3"/>
  <c r="T114" i="3"/>
  <c r="U114" i="3"/>
  <c r="R114" i="3"/>
  <c r="L114" i="3"/>
  <c r="T113" i="3"/>
  <c r="U113" i="3"/>
  <c r="R113" i="3"/>
  <c r="L113" i="3"/>
  <c r="T112" i="3"/>
  <c r="U112" i="3"/>
  <c r="R112" i="3"/>
  <c r="L112" i="3"/>
  <c r="T111" i="3"/>
  <c r="U111" i="3"/>
  <c r="R111" i="3"/>
  <c r="L111" i="3"/>
  <c r="T110" i="3"/>
  <c r="U110" i="3"/>
  <c r="R110" i="3"/>
  <c r="L110" i="3"/>
  <c r="T109" i="3"/>
  <c r="U109" i="3"/>
  <c r="R109" i="3"/>
  <c r="L109" i="3"/>
  <c r="T108" i="3"/>
  <c r="U108" i="3"/>
  <c r="R108" i="3"/>
  <c r="L108" i="3"/>
  <c r="T107" i="3"/>
  <c r="U107" i="3"/>
  <c r="R107" i="3"/>
  <c r="L107" i="3"/>
  <c r="T106" i="3"/>
  <c r="U106" i="3"/>
  <c r="R106" i="3"/>
  <c r="L106" i="3"/>
  <c r="T105" i="3"/>
  <c r="U105" i="3"/>
  <c r="R105" i="3"/>
  <c r="L105" i="3"/>
  <c r="T104" i="3"/>
  <c r="U104" i="3"/>
  <c r="R104" i="3"/>
  <c r="L104" i="3"/>
  <c r="T103" i="3"/>
  <c r="U103" i="3"/>
  <c r="R103" i="3"/>
  <c r="L103" i="3"/>
  <c r="T102" i="3"/>
  <c r="U102" i="3"/>
  <c r="R102" i="3"/>
  <c r="L102" i="3"/>
  <c r="T101" i="3"/>
  <c r="U101" i="3"/>
  <c r="R101" i="3"/>
  <c r="L101" i="3"/>
  <c r="T100" i="3"/>
  <c r="U100" i="3"/>
  <c r="R100" i="3"/>
  <c r="L100" i="3"/>
  <c r="T99" i="3"/>
  <c r="U99" i="3"/>
  <c r="R99" i="3"/>
  <c r="L99" i="3"/>
  <c r="T98" i="3"/>
  <c r="U98" i="3"/>
  <c r="R98" i="3"/>
  <c r="L98" i="3"/>
  <c r="T97" i="3"/>
  <c r="U97" i="3"/>
  <c r="R97" i="3"/>
  <c r="L97" i="3"/>
  <c r="T96" i="3"/>
  <c r="U96" i="3"/>
  <c r="R96" i="3"/>
  <c r="L96" i="3"/>
  <c r="T95" i="3"/>
  <c r="U95" i="3"/>
  <c r="R95" i="3"/>
  <c r="L95" i="3"/>
  <c r="T94" i="3"/>
  <c r="U94" i="3"/>
  <c r="R94" i="3"/>
  <c r="L94" i="3"/>
  <c r="T93" i="3"/>
  <c r="U93" i="3"/>
  <c r="R93" i="3"/>
  <c r="L93" i="3"/>
  <c r="T92" i="3"/>
  <c r="U92" i="3"/>
  <c r="R92" i="3"/>
  <c r="L92" i="3"/>
  <c r="T91" i="3"/>
  <c r="U91" i="3"/>
  <c r="R91" i="3"/>
  <c r="L91" i="3"/>
  <c r="T90" i="3"/>
  <c r="U90" i="3"/>
  <c r="R90" i="3"/>
  <c r="L90" i="3"/>
  <c r="T89" i="3"/>
  <c r="U89" i="3"/>
  <c r="R89" i="3"/>
  <c r="L89" i="3"/>
  <c r="T88" i="3"/>
  <c r="U88" i="3"/>
  <c r="R88" i="3"/>
  <c r="L88" i="3"/>
  <c r="T87" i="3"/>
  <c r="U87" i="3"/>
  <c r="R87" i="3"/>
  <c r="L87" i="3"/>
  <c r="T86" i="3"/>
  <c r="U86" i="3"/>
  <c r="R86" i="3"/>
  <c r="L86" i="3"/>
  <c r="T85" i="3"/>
  <c r="U85" i="3"/>
  <c r="R85" i="3"/>
  <c r="L85" i="3"/>
  <c r="T84" i="3"/>
  <c r="U84" i="3"/>
  <c r="R84" i="3"/>
  <c r="L84" i="3"/>
  <c r="T83" i="3"/>
  <c r="U83" i="3"/>
  <c r="R83" i="3"/>
  <c r="L83" i="3"/>
  <c r="T82" i="3"/>
  <c r="U82" i="3"/>
  <c r="R82" i="3"/>
  <c r="L82" i="3"/>
  <c r="T81" i="3"/>
  <c r="U81" i="3"/>
  <c r="R81" i="3"/>
  <c r="L81" i="3"/>
  <c r="T80" i="3"/>
  <c r="U80" i="3"/>
  <c r="R80" i="3"/>
  <c r="L80" i="3"/>
  <c r="T79" i="3"/>
  <c r="U79" i="3"/>
  <c r="R79" i="3"/>
  <c r="L79" i="3"/>
  <c r="T78" i="3"/>
  <c r="U78" i="3"/>
  <c r="R78" i="3"/>
  <c r="L78" i="3"/>
  <c r="T77" i="3"/>
  <c r="U77" i="3"/>
  <c r="R77" i="3"/>
  <c r="L77" i="3"/>
  <c r="T76" i="3"/>
  <c r="U76" i="3"/>
  <c r="R76" i="3"/>
  <c r="L76" i="3"/>
  <c r="T75" i="3"/>
  <c r="U75" i="3"/>
  <c r="R75" i="3"/>
  <c r="L75" i="3"/>
  <c r="T74" i="3"/>
  <c r="U74" i="3"/>
  <c r="R74" i="3"/>
  <c r="L74" i="3"/>
  <c r="T73" i="3"/>
  <c r="U73" i="3"/>
  <c r="R73" i="3"/>
  <c r="L73" i="3"/>
  <c r="T72" i="3"/>
  <c r="U72" i="3"/>
  <c r="R72" i="3"/>
  <c r="L72" i="3"/>
  <c r="T71" i="3"/>
  <c r="U71" i="3"/>
  <c r="R71" i="3"/>
  <c r="L71" i="3"/>
  <c r="T70" i="3"/>
  <c r="U70" i="3"/>
  <c r="R70" i="3"/>
  <c r="L70" i="3"/>
  <c r="T69" i="3"/>
  <c r="U69" i="3"/>
  <c r="R69" i="3"/>
  <c r="L69" i="3"/>
  <c r="T68" i="3"/>
  <c r="U68" i="3"/>
  <c r="R68" i="3"/>
  <c r="L68" i="3"/>
  <c r="T67" i="3"/>
  <c r="U67" i="3"/>
  <c r="R67" i="3"/>
  <c r="L67" i="3"/>
  <c r="T66" i="3"/>
  <c r="U66" i="3"/>
  <c r="R66" i="3"/>
  <c r="L66" i="3"/>
  <c r="T65" i="3"/>
  <c r="U65" i="3"/>
  <c r="R65" i="3"/>
  <c r="L65" i="3"/>
  <c r="T64" i="3"/>
  <c r="U64" i="3"/>
  <c r="R64" i="3"/>
  <c r="L64" i="3"/>
  <c r="T63" i="3"/>
  <c r="U63" i="3"/>
  <c r="R63" i="3"/>
  <c r="L63" i="3"/>
  <c r="T62" i="3"/>
  <c r="U62" i="3"/>
  <c r="R62" i="3"/>
  <c r="L62" i="3"/>
  <c r="T61" i="3"/>
  <c r="U61" i="3"/>
  <c r="R61" i="3"/>
  <c r="L61" i="3"/>
  <c r="T60" i="3"/>
  <c r="U60" i="3"/>
  <c r="R60" i="3"/>
  <c r="L60" i="3"/>
  <c r="T59" i="3"/>
  <c r="U59" i="3"/>
  <c r="R59" i="3"/>
  <c r="L59" i="3"/>
  <c r="T58" i="3"/>
  <c r="U58" i="3"/>
  <c r="R58" i="3"/>
  <c r="L58" i="3"/>
  <c r="T57" i="3"/>
  <c r="U57" i="3"/>
  <c r="R57" i="3"/>
  <c r="L57" i="3"/>
  <c r="T56" i="3"/>
  <c r="U56" i="3"/>
  <c r="R56" i="3"/>
  <c r="L56" i="3"/>
  <c r="T55" i="3"/>
  <c r="U55" i="3"/>
  <c r="R55" i="3"/>
  <c r="L55" i="3"/>
  <c r="T54" i="3"/>
  <c r="U54" i="3"/>
  <c r="R54" i="3"/>
  <c r="L54" i="3"/>
  <c r="T53" i="3"/>
  <c r="U53" i="3"/>
  <c r="R53" i="3"/>
  <c r="L53" i="3"/>
  <c r="T52" i="3"/>
  <c r="U52" i="3"/>
  <c r="R52" i="3"/>
  <c r="L52" i="3"/>
  <c r="T51" i="3"/>
  <c r="U51" i="3"/>
  <c r="R51" i="3"/>
  <c r="L51" i="3"/>
  <c r="T50" i="3"/>
  <c r="U50" i="3"/>
  <c r="R50" i="3"/>
  <c r="L50" i="3"/>
  <c r="T49" i="3"/>
  <c r="U49" i="3"/>
  <c r="R49" i="3"/>
  <c r="L49" i="3"/>
  <c r="T48" i="3"/>
  <c r="U48" i="3"/>
  <c r="R48" i="3"/>
  <c r="L48" i="3"/>
  <c r="T47" i="3"/>
  <c r="U47" i="3"/>
  <c r="R47" i="3"/>
  <c r="L47" i="3"/>
  <c r="T46" i="3"/>
  <c r="U46" i="3"/>
  <c r="R46" i="3"/>
  <c r="L46" i="3"/>
  <c r="T45" i="3"/>
  <c r="U45" i="3"/>
  <c r="R45" i="3"/>
  <c r="L45" i="3"/>
  <c r="T44" i="3"/>
  <c r="U44" i="3"/>
  <c r="R44" i="3"/>
  <c r="L44" i="3"/>
  <c r="T43" i="3"/>
  <c r="U43" i="3"/>
  <c r="R43" i="3"/>
  <c r="L43" i="3"/>
  <c r="T42" i="3"/>
  <c r="U42" i="3"/>
  <c r="R42" i="3"/>
  <c r="L42" i="3"/>
  <c r="T41" i="3"/>
  <c r="U41" i="3"/>
  <c r="R41" i="3"/>
  <c r="L41" i="3"/>
  <c r="T40" i="3"/>
  <c r="U40" i="3"/>
  <c r="R40" i="3"/>
  <c r="L40" i="3"/>
  <c r="T39" i="3"/>
  <c r="U39" i="3"/>
  <c r="R39" i="3"/>
  <c r="L39" i="3"/>
  <c r="T38" i="3"/>
  <c r="U38" i="3"/>
  <c r="R38" i="3"/>
  <c r="L38" i="3"/>
  <c r="T37" i="3"/>
  <c r="U37" i="3"/>
  <c r="R37" i="3"/>
  <c r="L37" i="3"/>
  <c r="T36" i="3"/>
  <c r="U36" i="3"/>
  <c r="R36" i="3"/>
  <c r="L36" i="3"/>
  <c r="T35" i="3"/>
  <c r="U35" i="3"/>
  <c r="R35" i="3"/>
  <c r="L35" i="3"/>
  <c r="T34" i="3"/>
  <c r="U34" i="3"/>
  <c r="R34" i="3"/>
  <c r="L34" i="3"/>
  <c r="T33" i="3"/>
  <c r="U33" i="3"/>
  <c r="R33" i="3"/>
  <c r="L33" i="3"/>
  <c r="T32" i="3"/>
  <c r="U32" i="3"/>
  <c r="R32" i="3"/>
  <c r="L32" i="3"/>
  <c r="T31" i="3"/>
  <c r="U31" i="3"/>
  <c r="R31" i="3"/>
  <c r="L31" i="3"/>
  <c r="T30" i="3"/>
  <c r="U30" i="3"/>
  <c r="R30" i="3"/>
  <c r="L30" i="3"/>
  <c r="T29" i="3"/>
  <c r="U29" i="3"/>
  <c r="R29" i="3"/>
  <c r="L29" i="3"/>
  <c r="T28" i="3"/>
  <c r="U28" i="3"/>
  <c r="R28" i="3"/>
  <c r="L28" i="3"/>
  <c r="T27" i="3"/>
  <c r="U27" i="3"/>
  <c r="R27" i="3"/>
  <c r="L27" i="3"/>
  <c r="T26" i="3"/>
  <c r="U26" i="3"/>
  <c r="R26" i="3"/>
  <c r="L26" i="3"/>
  <c r="T25" i="3"/>
  <c r="U25" i="3"/>
  <c r="R25" i="3"/>
  <c r="L25" i="3"/>
  <c r="T24" i="3"/>
  <c r="U24" i="3"/>
  <c r="R24" i="3"/>
  <c r="L24" i="3"/>
  <c r="T23" i="3"/>
  <c r="U23" i="3"/>
  <c r="R23" i="3"/>
  <c r="L23" i="3"/>
  <c r="T22" i="3"/>
  <c r="U22" i="3"/>
  <c r="R22" i="3"/>
  <c r="L22" i="3"/>
  <c r="T21" i="3"/>
  <c r="U21" i="3"/>
  <c r="R21" i="3"/>
  <c r="L21" i="3"/>
  <c r="T20" i="3"/>
  <c r="U20" i="3"/>
  <c r="R20" i="3"/>
  <c r="L20" i="3"/>
  <c r="T19" i="3"/>
  <c r="U19" i="3"/>
  <c r="R19" i="3"/>
  <c r="L19" i="3"/>
  <c r="T18" i="3"/>
  <c r="U18" i="3"/>
  <c r="R18" i="3"/>
  <c r="L18" i="3"/>
  <c r="T17" i="3"/>
  <c r="U17" i="3"/>
  <c r="R17" i="3"/>
  <c r="L17" i="3"/>
  <c r="T16" i="3"/>
  <c r="U16" i="3"/>
  <c r="R16" i="3"/>
  <c r="L16" i="3"/>
  <c r="T15" i="3"/>
  <c r="U15" i="3"/>
  <c r="R15" i="3"/>
  <c r="L15" i="3"/>
  <c r="T14" i="3"/>
  <c r="U14" i="3"/>
  <c r="R14" i="3"/>
  <c r="L14" i="3"/>
  <c r="T13" i="3"/>
  <c r="U13" i="3"/>
  <c r="R13" i="3"/>
  <c r="L13" i="3"/>
  <c r="T12" i="3"/>
  <c r="U12" i="3"/>
  <c r="R12" i="3"/>
  <c r="L12" i="3"/>
  <c r="T11" i="3"/>
  <c r="U11" i="3"/>
  <c r="R11" i="3"/>
  <c r="L11" i="3"/>
  <c r="T10" i="3"/>
  <c r="U10" i="3"/>
  <c r="R10" i="3"/>
  <c r="L10" i="3"/>
  <c r="T9" i="3"/>
  <c r="U9" i="3"/>
  <c r="R9" i="3"/>
  <c r="L9" i="3"/>
  <c r="T8" i="3"/>
  <c r="U8" i="3"/>
  <c r="R8" i="3"/>
  <c r="L8" i="3"/>
  <c r="T7" i="3"/>
  <c r="U7" i="3"/>
  <c r="R7" i="3"/>
  <c r="L7" i="3"/>
  <c r="T6" i="3"/>
  <c r="U6" i="3"/>
  <c r="R6" i="3"/>
  <c r="L6" i="3"/>
  <c r="T5" i="3"/>
  <c r="U5" i="3"/>
  <c r="R5" i="3"/>
  <c r="L5" i="3"/>
  <c r="T4" i="3"/>
  <c r="U4" i="3"/>
  <c r="R4" i="3"/>
  <c r="L4" i="3"/>
  <c r="T3" i="3"/>
  <c r="U3" i="3"/>
  <c r="R3" i="3"/>
  <c r="L3" i="3"/>
  <c r="T2" i="3"/>
  <c r="U2" i="3"/>
  <c r="R2" i="3"/>
  <c r="L2" i="3"/>
</calcChain>
</file>

<file path=xl/sharedStrings.xml><?xml version="1.0" encoding="utf-8"?>
<sst xmlns="http://schemas.openxmlformats.org/spreadsheetml/2006/main" count="2008" uniqueCount="339">
  <si>
    <t>우편번호</t>
  </si>
  <si>
    <t>도착영업소</t>
  </si>
  <si>
    <t>받는분</t>
  </si>
  <si>
    <t>전화번호</t>
  </si>
  <si>
    <t>기타전화번호</t>
  </si>
  <si>
    <t>주소</t>
  </si>
  <si>
    <t>수량</t>
    <phoneticPr fontId="4" type="noConversion"/>
  </si>
  <si>
    <t>포장상태</t>
  </si>
  <si>
    <t>개별단가(만원)</t>
  </si>
  <si>
    <t>기타운임</t>
  </si>
  <si>
    <t>받는분</t>
    <phoneticPr fontId="3" type="noConversion"/>
  </si>
  <si>
    <t>받는분 전화번호</t>
    <phoneticPr fontId="3" type="noConversion"/>
  </si>
  <si>
    <t>받는분 주소</t>
  </si>
  <si>
    <t>운임타입</t>
  </si>
  <si>
    <t>송장수량</t>
  </si>
  <si>
    <t>디자인</t>
  </si>
  <si>
    <t>배송메세지</t>
  </si>
  <si>
    <t>합포장</t>
  </si>
  <si>
    <t>운임</t>
    <phoneticPr fontId="3" type="noConversion"/>
  </si>
  <si>
    <t>메모1</t>
    <phoneticPr fontId="3" type="noConversion"/>
  </si>
  <si>
    <t>별도운임</t>
    <phoneticPr fontId="4" type="noConversion"/>
  </si>
  <si>
    <t>포장상태</t>
    <phoneticPr fontId="3" type="noConversion"/>
  </si>
  <si>
    <t>메모2</t>
    <phoneticPr fontId="3" type="noConversion"/>
  </si>
  <si>
    <t>메모3</t>
    <phoneticPr fontId="3" type="noConversion"/>
  </si>
  <si>
    <t>상세주소</t>
    <phoneticPr fontId="3" type="noConversion"/>
  </si>
  <si>
    <t>운송장번호</t>
  </si>
  <si>
    <t>고객사주문번호</t>
  </si>
  <si>
    <t>품목명</t>
  </si>
  <si>
    <t>가로</t>
  </si>
  <si>
    <t>세로</t>
  </si>
  <si>
    <t>높이</t>
  </si>
  <si>
    <t>무게</t>
  </si>
  <si>
    <t>할증운임</t>
  </si>
  <si>
    <t>도서운임</t>
  </si>
  <si>
    <t>선불후불</t>
  </si>
  <si>
    <t>선불후불</t>
    <phoneticPr fontId="3" type="noConversion"/>
  </si>
  <si>
    <t>선불</t>
    <phoneticPr fontId="3" type="noConversion"/>
  </si>
  <si>
    <t>비고</t>
    <phoneticPr fontId="3" type="noConversion"/>
  </si>
  <si>
    <t>이주현★</t>
  </si>
  <si>
    <t>전준하★</t>
  </si>
  <si>
    <t>나병준</t>
  </si>
  <si>
    <t>4-3나대남</t>
  </si>
  <si>
    <t>4-1나대남★</t>
  </si>
  <si>
    <t>4-2나대남</t>
  </si>
  <si>
    <t>4-4나대남</t>
  </si>
  <si>
    <t>최규철</t>
  </si>
  <si>
    <t>한정우</t>
  </si>
  <si>
    <t>2-1류춘렬</t>
  </si>
  <si>
    <t>2-2류춘렬</t>
  </si>
  <si>
    <t>서혜린</t>
  </si>
  <si>
    <t>최향</t>
  </si>
  <si>
    <t>2-1이규원</t>
  </si>
  <si>
    <t>2-2이규원</t>
  </si>
  <si>
    <t>2-1김예찬</t>
  </si>
  <si>
    <t>2-2김예찬</t>
  </si>
  <si>
    <t>2-1최영미</t>
  </si>
  <si>
    <t>2-2최영미</t>
  </si>
  <si>
    <t>문경은</t>
  </si>
  <si>
    <t>이영진</t>
  </si>
  <si>
    <t>권석영</t>
  </si>
  <si>
    <t>3-1고정일</t>
  </si>
  <si>
    <t>3-2고정일</t>
  </si>
  <si>
    <t>3-3고정일</t>
  </si>
  <si>
    <t>3-1지찬미</t>
  </si>
  <si>
    <t>3-2지찬미</t>
  </si>
  <si>
    <t>3-3지찬미</t>
  </si>
  <si>
    <t>정다훈</t>
  </si>
  <si>
    <t>3-1이슬</t>
  </si>
  <si>
    <t>3-2이슬</t>
  </si>
  <si>
    <t>3-3이슬</t>
  </si>
  <si>
    <t>3-1김영국</t>
  </si>
  <si>
    <t>3-2김영국</t>
  </si>
  <si>
    <t>3-3김영국★</t>
  </si>
  <si>
    <t>김득봉</t>
  </si>
  <si>
    <t>2-2김규동</t>
  </si>
  <si>
    <t>2-1김규동</t>
  </si>
  <si>
    <t>5-1이좌훈</t>
  </si>
  <si>
    <t>5-2이좌훈</t>
  </si>
  <si>
    <t>5-3이좌훈</t>
  </si>
  <si>
    <t>5-4이좌훈</t>
  </si>
  <si>
    <t>5-5이좌훈</t>
  </si>
  <si>
    <t>2-1이동하</t>
  </si>
  <si>
    <t>2-2이동하</t>
  </si>
  <si>
    <t>최형오</t>
  </si>
  <si>
    <t>권하람★</t>
  </si>
  <si>
    <t>3-1박주영</t>
  </si>
  <si>
    <t>3-2박주영</t>
  </si>
  <si>
    <t>3-3박주영</t>
  </si>
  <si>
    <t>김유진</t>
  </si>
  <si>
    <t>5-1문혜인</t>
  </si>
  <si>
    <t>5-2문혜인</t>
  </si>
  <si>
    <t>5-3문혜인</t>
  </si>
  <si>
    <t>5-4문혜인</t>
  </si>
  <si>
    <t>5-5문혜인</t>
  </si>
  <si>
    <t>3-1이민수</t>
  </si>
  <si>
    <t>3-2이민수</t>
  </si>
  <si>
    <t>기선경</t>
  </si>
  <si>
    <t>박동건</t>
  </si>
  <si>
    <t>류홍렬</t>
  </si>
  <si>
    <t>(140)17T퓨어아이보리8mx1</t>
  </si>
  <si>
    <t>★파손주의★문 앞에 놓아주세요</t>
  </si>
  <si>
    <t>★증정★테이프20mx1</t>
  </si>
  <si>
    <t>010-6412-7957</t>
  </si>
  <si>
    <t>10562</t>
  </si>
  <si>
    <t>경기도 고양시 덕양구 원흥1로 31 (원흥동, 고양삼송엘에이치10단지아파트) 1004-502</t>
  </si>
  <si>
    <t>★파손주의★물품 잘 확인해서 보내주세요. 배송시 문자주시고 문앞에 놓아주세요. 감사합니다.</t>
  </si>
  <si>
    <t>010-5153-1054</t>
  </si>
  <si>
    <t>18405</t>
  </si>
  <si>
    <t>경기도 화성시 병점3로 117 (병점동, 안화동마을주공9단지) 901동 1605호</t>
  </si>
  <si>
    <t>25T(퍼즐)아이보리(50)x6</t>
  </si>
  <si>
    <t/>
  </si>
  <si>
    <t>010-9174-1121</t>
  </si>
  <si>
    <t>16823</t>
  </si>
  <si>
    <t>경기도 용인시 수지구 손곡로 82 (동천동, 수진마을써니벨리아파트) 106동 506호</t>
  </si>
  <si>
    <t>★판매★테이프20mx1</t>
  </si>
  <si>
    <t>배송 전 미리 연락해 주세요</t>
  </si>
  <si>
    <t>합</t>
  </si>
  <si>
    <t>010-8965-2389</t>
  </si>
  <si>
    <t>0502-3214-2132</t>
  </si>
  <si>
    <t>01014</t>
  </si>
  <si>
    <t>서울특별시 강북구 4.19로13길 9 (수유동, 우이블루빌) 402호</t>
  </si>
  <si>
    <t>(110)17T마블아이보리5.5mx1</t>
  </si>
  <si>
    <t>★파손주의★</t>
  </si>
  <si>
    <t>(110)17T마블아이보리5mx1</t>
  </si>
  <si>
    <t>★증정★테이프20mx3</t>
  </si>
  <si>
    <t>(120)17T마블아이보리3mx1</t>
  </si>
  <si>
    <t>(120)17T마블아이보리2mx1</t>
  </si>
  <si>
    <t>(140)6T소프트그레이2mx1</t>
  </si>
  <si>
    <t>010-8823-9437</t>
  </si>
  <si>
    <t>37107</t>
  </si>
  <si>
    <t>경상북도 상주시 이안면 양범안룡길 80 (이안면) 양범교회</t>
  </si>
  <si>
    <t>플러스♥25T아이(100)x1</t>
  </si>
  <si>
    <t>010-9524-9234</t>
  </si>
  <si>
    <t>07520</t>
  </si>
  <si>
    <t>서울특별시 강서구 양천로 177 (마곡동, 가양하수처리장직원아파트) 2동 206호</t>
  </si>
  <si>
    <t>(110)17T퓨어아이보리5mx1</t>
  </si>
  <si>
    <t>010-8736-8737</t>
  </si>
  <si>
    <t>34049</t>
  </si>
  <si>
    <t>대전광역시 유성구 엑스포로 448 엑스포아파트 202동 1701호</t>
  </si>
  <si>
    <t>25T(퍼즐)아이보리(50)x2</t>
  </si>
  <si>
    <t>010-3959-9166</t>
  </si>
  <si>
    <t>17066</t>
  </si>
  <si>
    <t>경기도 용인시 기흥구 기흥역로58번길 56 (구갈동, 기흥역 파크 푸르지오) 301동3302호</t>
  </si>
  <si>
    <t>(120)17T소프트그레이2mx1</t>
  </si>
  <si>
    <t>010-5550-1258</t>
  </si>
  <si>
    <t>11748</t>
  </si>
  <si>
    <t>경기도 의정부시 시민로 287 (신곡동) 이편한세상 신곡파크비스타 109동301호</t>
  </si>
  <si>
    <t>25T(퍼즐)아이보리(100)x5</t>
  </si>
  <si>
    <t>부재시 문앞에 놔주세용</t>
  </si>
  <si>
    <t>010-8919-4157</t>
  </si>
  <si>
    <t>11941</t>
  </si>
  <si>
    <t>경기도 구리시 원수택로32번길 60 (수택동, 성경아파트) 3동 402호</t>
  </si>
  <si>
    <t>25T(퍼즐)아이보리(100)x3</t>
  </si>
  <si>
    <t>010-6886-3860</t>
  </si>
  <si>
    <t>34899</t>
  </si>
  <si>
    <t>대전광역시 중구 계백로1615번길 34 (유천동, 현대아파트) 113동 1407호</t>
  </si>
  <si>
    <t>25T(퍼즐)아이보리(100)x4</t>
  </si>
  <si>
    <t>010-5574-4480</t>
  </si>
  <si>
    <t>10931</t>
  </si>
  <si>
    <t>경기도 파주시 시청로 85 (아동동, 신안실크밸리2차 아파트) 206동303호</t>
  </si>
  <si>
    <t>(140)12T퓨어아이보리5mx1</t>
  </si>
  <si>
    <t>010-3537-9446</t>
  </si>
  <si>
    <t>06920</t>
  </si>
  <si>
    <t>서울특별시 동작구 만양로 19 (노량진동, 상도신동아리버파크아파트) 707동 1405호</t>
  </si>
  <si>
    <t>(110)9T도그프린트7.5mx1</t>
  </si>
  <si>
    <t>현관문 앞에다가 나둬두세요~</t>
  </si>
  <si>
    <t>010-3013-8148</t>
  </si>
  <si>
    <t>11611</t>
  </si>
  <si>
    <t>경기도 의정부시 가금로34번길 23 (가능동, 힐스테이트 녹양역) 103동2302호</t>
  </si>
  <si>
    <t>(140)9T도그프린트2.5mx1</t>
  </si>
  <si>
    <t>010-6208-9305</t>
  </si>
  <si>
    <t>41408</t>
  </si>
  <si>
    <t>대구광역시 북구 구리로 183-28 (학정동, 두산아파트) 201동 204호</t>
  </si>
  <si>
    <t>25T(퍼즐)아이보리(100)x6</t>
  </si>
  <si>
    <t>010-5436-3781</t>
  </si>
  <si>
    <t>34368</t>
  </si>
  <si>
    <t>대전광역시 대덕구 대화로 160 (대화동, 산업용재유통상가) 1동 207호</t>
  </si>
  <si>
    <t>25T(퍼즐)블루(100)x2</t>
  </si>
  <si>
    <t>25T(퍼즐)핑크(100)x2</t>
  </si>
  <si>
    <t>010-4856-8776</t>
  </si>
  <si>
    <t>0502-3513-7025</t>
  </si>
  <si>
    <t>24279</t>
  </si>
  <si>
    <t>강원도 춘천시 백령로 215 (후평동, 춘천일성트루엘더퍼스트아파트) 107-1304</t>
  </si>
  <si>
    <t>40T(퍼즐)아이보리(100)x3</t>
  </si>
  <si>
    <t>010-9490-8874</t>
  </si>
  <si>
    <t>16868</t>
  </si>
  <si>
    <t>경기도 용인시 수지구 용구대로 2720 (죽전동, 현암마을동성2차아파트) 203동 1302호</t>
  </si>
  <si>
    <t>010-5424-9068</t>
  </si>
  <si>
    <t>12603</t>
  </si>
  <si>
    <t>경기도 여주시 산북면 상품로 72 (산북면) 1층 102호</t>
  </si>
  <si>
    <t>(140)17T퓨어아이보리4mx1</t>
  </si>
  <si>
    <t>010-9080-1385</t>
  </si>
  <si>
    <t>55150</t>
  </si>
  <si>
    <t>전북특별자치도 전주시 덕진구 세병로 130 (송천동2가, 에코시티 데시앙 네스트) 802동1403호</t>
  </si>
  <si>
    <t>(140)17T퓨어아이보리2.5mx1</t>
  </si>
  <si>
    <t>(120)17T퓨어아이보리8mx1</t>
  </si>
  <si>
    <t>25T(퍼즐)그레이(100)x3</t>
  </si>
  <si>
    <t>010-4686-0482</t>
  </si>
  <si>
    <t>59002</t>
  </si>
  <si>
    <t>전라남도 해남군 화원면 금평길 54 (화원면, 궁전빌라) 404호</t>
  </si>
  <si>
    <t>문앞에 놔주세요.</t>
  </si>
  <si>
    <t>010-7220-3846</t>
  </si>
  <si>
    <t>46277</t>
  </si>
  <si>
    <t>부산광역시 금정구 중앙대로1685번길 24 (부곡동, 경남한신아파트) 101동 1201호</t>
  </si>
  <si>
    <t>(120)22T퓨어아이보리2.5mx1</t>
  </si>
  <si>
    <t>(110)22T퓨어아이보리2.5mx1</t>
  </si>
  <si>
    <t>플러스♥25T크림그레이(50)x6</t>
  </si>
  <si>
    <t>010-5023-9290</t>
  </si>
  <si>
    <t>17759</t>
  </si>
  <si>
    <t>경기도 평택시 신장로 55 (신장동) 사서함 309-25호 (공군 1887부대)</t>
  </si>
  <si>
    <t>플러스♥25T크림그레이(50)x4</t>
  </si>
  <si>
    <t>플러스♥25T크림그레이(100)x2</t>
  </si>
  <si>
    <t>플러스♥25T크림그레이(100)x6</t>
  </si>
  <si>
    <t>(120)17T마블아이보리5mx1</t>
  </si>
  <si>
    <t>010-8969-7278</t>
  </si>
  <si>
    <t>22003</t>
  </si>
  <si>
    <t>인천광역시 연수구 센트럴로 194 (송도동, 더샵 센트럴파크2) 202동 2405호</t>
  </si>
  <si>
    <t>★증정★테이프20mx2</t>
  </si>
  <si>
    <t>25T(퍼즐)아이보리(100)x2</t>
  </si>
  <si>
    <t>010-4878-5732</t>
  </si>
  <si>
    <t>44213</t>
  </si>
  <si>
    <t>울산광역시 북구 중산동로 37 (중산동, 중산 디아채아파트) 103동1201호</t>
  </si>
  <si>
    <t>25T(퍼즐)아이보리(50)x1</t>
  </si>
  <si>
    <t>(140)17T퓨어아이보리7mx1</t>
  </si>
  <si>
    <t>010-3901-6006</t>
  </si>
  <si>
    <t>42810</t>
  </si>
  <si>
    <t>대구광역시 달서구 상인서로 85 (상인동, 상인동방현대아파트) 103동 1106호</t>
  </si>
  <si>
    <t>010-2794-5247</t>
  </si>
  <si>
    <t>10522</t>
  </si>
  <si>
    <t>경기도 고양시 덕양구 소원로 47 (행신동, 무원마을6단지아파트) 611동1204호</t>
  </si>
  <si>
    <t>(120)17T퓨어아이보리4.5mx1</t>
  </si>
  <si>
    <t>010-9374-1270</t>
  </si>
  <si>
    <t>42483</t>
  </si>
  <si>
    <t>대구광역시 남구 대명로14길 60 (대명동) 102동 302호(대명역센트럴엘리프)</t>
  </si>
  <si>
    <t>40T(퍼즐)아이보리(100)x4</t>
  </si>
  <si>
    <t>010-9809-9970</t>
  </si>
  <si>
    <t>0502-2812-5266</t>
  </si>
  <si>
    <t>03768</t>
  </si>
  <si>
    <t>서울특별시 서대문구 북아현로1가길 20 (북아현동, e편한세상신촌 1단지) 106-201</t>
  </si>
  <si>
    <t>40T(퍼즐)아이보리(100)x2</t>
  </si>
  <si>
    <t>40T(퍼즐)아이보리(50)x1</t>
  </si>
  <si>
    <t>(110)17T마블아이보리4.5mx1</t>
  </si>
  <si>
    <t>010-9924-5053</t>
  </si>
  <si>
    <t>42793</t>
  </si>
  <si>
    <t>대구광역시 달서구 상화북로 159 (상인동, 산호아파트) 7동202호</t>
  </si>
  <si>
    <t>문 앞에 놓아주세요</t>
  </si>
  <si>
    <t>010-5013-8717</t>
  </si>
  <si>
    <t>03468</t>
  </si>
  <si>
    <t>서울특별시 은평구 응암로20길 22 (응암동) 3층 나호</t>
  </si>
  <si>
    <t>(140)9T테리어4mx1</t>
  </si>
  <si>
    <t>(110)9T테리어4mx1</t>
  </si>
  <si>
    <t>(110)22T마블아이보리3mx1</t>
  </si>
  <si>
    <t>현관문 앞에 놓아 주세여. 감사합니다.</t>
  </si>
  <si>
    <t>010-2631-8314</t>
  </si>
  <si>
    <t>22231</t>
  </si>
  <si>
    <t>인천광역시 미추홀구 승학길104번길 30 (주안동, 인천주안한신휴플러스) 108동 1305호</t>
  </si>
  <si>
    <t>플러스♥25T크림그레이(50)x2</t>
  </si>
  <si>
    <t>★당일배송★</t>
  </si>
  <si>
    <t>010-7411-1873</t>
  </si>
  <si>
    <t>31817</t>
  </si>
  <si>
    <t>충청남도 당진시 수청1로 51 (수청동, 호반써밋 시그니처 2차) 201동 302호</t>
  </si>
  <si>
    <t>플러스♥25T크림그레이(100)x4</t>
  </si>
  <si>
    <t xml:space="preserve"> 고양시 덕양구 원흥1로 31 (원흥동, 고양삼송엘에이치10단지아파트) 1004-502</t>
  </si>
  <si>
    <t>선불</t>
  </si>
  <si>
    <t>1</t>
  </si>
  <si>
    <t>비닐</t>
  </si>
  <si>
    <t>50</t>
  </si>
  <si>
    <t>100</t>
  </si>
  <si>
    <t>0</t>
  </si>
  <si>
    <t>(140)17T퓨어아이8mx1</t>
  </si>
  <si>
    <t xml:space="preserve"> 화성시 병점3로 117 (병점동, 안화동마을주공9단지) 901동 1605호</t>
  </si>
  <si>
    <t xml:space="preserve"> 용인시 수지구 손곡로 82 (동천동, 수진마을써니벨리아파트) 106동 506호</t>
  </si>
  <si>
    <t>따사룸</t>
  </si>
  <si>
    <t>25T아이(50)x6</t>
  </si>
  <si>
    <t>서울 강북구 4.19로13길 9 (수유동, 우이블루빌) 402호</t>
  </si>
  <si>
    <t>(110)17T마블5.5mx1</t>
  </si>
  <si>
    <t>박스</t>
  </si>
  <si>
    <t>(110)17T마블5mx1</t>
  </si>
  <si>
    <t>(120)17T마블3mx1</t>
  </si>
  <si>
    <t>(120)17T마블2mx1</t>
  </si>
  <si>
    <t>경북 상주시 이안면 양범안룡길 80 (이안면) 양범교회</t>
  </si>
  <si>
    <t>(140)6T그레이2mx1</t>
  </si>
  <si>
    <t>서울 강서구 양천로 177 (마곡동, 가양하수처리장직원아파트) 2동 206호</t>
  </si>
  <si>
    <t>대전 유성구 엑스포로 448 엑스포아파트 202동 1701호</t>
  </si>
  <si>
    <t>(110)17T퓨어아이5mx1</t>
  </si>
  <si>
    <t xml:space="preserve"> 용인시 기흥구 기흥역로58번길 56 (구갈동, 기흥역 파크 푸르지오) 301동3302호</t>
  </si>
  <si>
    <t>25T아이(50)x2</t>
  </si>
  <si>
    <t xml:space="preserve"> 의정부시 시민로 287 (신곡동) 이편한세상 신곡파크비스타 109동301호</t>
  </si>
  <si>
    <t>(120)17T그레이2mx1</t>
  </si>
  <si>
    <t xml:space="preserve"> 구리시 원수택로32번길 60 (수택동, 성경아파트) 3동 402호</t>
  </si>
  <si>
    <t>25T아이(100)x5</t>
  </si>
  <si>
    <t>25T아이(100)x3</t>
  </si>
  <si>
    <t>대전 중구 계백로1615번길 34 (유천동, 현대아파트) 113동 1407호</t>
  </si>
  <si>
    <t>25T아이(100)x4</t>
  </si>
  <si>
    <t xml:space="preserve"> 파주시 시청로 85 (아동동, 신안실크밸리2차 아파트) 206동303호</t>
  </si>
  <si>
    <t>서울 동작구 만양로 19 (노량진동, 상도신동아리버파크아파트) 707동 1405호</t>
  </si>
  <si>
    <t>(140)12T퓨어아이5mx1</t>
  </si>
  <si>
    <t xml:space="preserve"> 의정부시 가금로34번길 23 (가능동, 힐스테이트 녹양역) 103동2302호</t>
  </si>
  <si>
    <t>대구 북구 구리로 183-28 (학정동, 두산아파트) 201동 204호</t>
  </si>
  <si>
    <t>대전 대덕구 대화로 160 (대화동, 산업용재유통상가) 1동 207호</t>
  </si>
  <si>
    <t>25T아이(100)x6</t>
  </si>
  <si>
    <t>25T블루(100)x2</t>
  </si>
  <si>
    <t>25T핑크(100)x2</t>
  </si>
  <si>
    <t>강원 춘천시 백령로 215 (후평동, 춘천일성트루엘더퍼스트아파트) 107-1304</t>
  </si>
  <si>
    <t xml:space="preserve"> 용인시 수지구 용구대로 2720 (죽전동, 현암마을동성2차아파트) 203동 1302호</t>
  </si>
  <si>
    <t>40T아이(100)x3</t>
  </si>
  <si>
    <t xml:space="preserve"> 여주시 산북면 상품로 72 (산북면) 1층 102호</t>
  </si>
  <si>
    <t>전북도 전주시 덕진구 세병로 130 (송천동2가, 에코시티 데시앙 네스트) 802동1403호</t>
  </si>
  <si>
    <t>(140)17T퓨어아이4mx1</t>
  </si>
  <si>
    <t>(140)17T퓨어아이2.5mx1</t>
  </si>
  <si>
    <t>(120)17T퓨어아이8mx1</t>
  </si>
  <si>
    <t>전남 해남군 화원면 금평길 54 (화원면, 궁전빌라) 404호</t>
  </si>
  <si>
    <t>25T그레이(100)x3</t>
  </si>
  <si>
    <t>부산 금정구 중앙대로1685번길 24 (부곡동, 경남한신아파트) 101동 1201호</t>
  </si>
  <si>
    <t>(120)22T퓨어아이2.5mx1</t>
  </si>
  <si>
    <t>(110)22T퓨어아이2.5mx1</t>
  </si>
  <si>
    <t xml:space="preserve"> 평택시 신장로 55 (신장동) 사서함 309-25호 (공군 1887부대)</t>
  </si>
  <si>
    <t>인천 연수구 센트럴로 194 (송도동, 더샵 센트럴파크2) 202동 2405호</t>
  </si>
  <si>
    <t>(120)17T마블5mx1</t>
  </si>
  <si>
    <t>울산 북구 중산동로 37 (중산동, 중산 디아채아파트) 103동1201호</t>
  </si>
  <si>
    <t>25T아이(100)x2</t>
  </si>
  <si>
    <t>25T아이(50)x1</t>
  </si>
  <si>
    <t>대구 달서구 상인서로 85 (상인동, 상인동방현대아파트) 103동 1106호</t>
  </si>
  <si>
    <t>(140)17T퓨어아이7mx1</t>
  </si>
  <si>
    <t xml:space="preserve"> 고양시 덕양구 소원로 47 (행신동, 무원마을6단지아파트) 611동1204호</t>
  </si>
  <si>
    <t>(120)17T퓨어아이4.5mx1</t>
  </si>
  <si>
    <t>대구 남구 대명로14길 60 (대명동) 102동 302호(대명역센트럴엘리프)</t>
  </si>
  <si>
    <t>서울 서대문구 북아현로1가길 20 (북아현동, e편한세상신촌 1단지) 106-201</t>
  </si>
  <si>
    <t>40T아이(100)x4</t>
  </si>
  <si>
    <t>40T아이(100)x2</t>
  </si>
  <si>
    <t>40T아이(50)x1</t>
  </si>
  <si>
    <t>대구 달서구 상화북로 159 (상인동, 산호아파트) 7동202호</t>
  </si>
  <si>
    <t>(110)17T마블4.5mx1</t>
  </si>
  <si>
    <t>서울 은평구 응암로20길 22 (응암동) 3층 나호</t>
  </si>
  <si>
    <t>인천 미추홀구 승학길104번길 30 (주안동, 인천주안한신휴플러스) 108동 1305호</t>
  </si>
  <si>
    <t>(110)22T마블3mx1</t>
  </si>
  <si>
    <t>충남 당진시 수청1로 51 (수청동, 호반써밋 시그니처 2차) 201동 302호</t>
  </si>
  <si>
    <t>★판매테이프20mx1/증정테이프20mx2</t>
    <phoneticPr fontId="3" type="noConversion"/>
  </si>
  <si>
    <t>★판매테이프20mx1/증정테이프20mx1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</si>
</sst>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;\-0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1" fontId="5" fillId="5" borderId="1" xfId="2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5" fillId="7" borderId="0" xfId="2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FFFCE54B-4E65-42B3-8490-79E3097CA93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C5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8C08-E070-4109-A828-1060F3E71BCF}">
  <sheetPr>
    <tabColor theme="5" tint="0.59999389629810485"/>
    <pageSetUpPr fitToPage="1"/>
  </sheetPr>
  <dimension ref="A1:AA382"/>
  <sheetViews>
    <sheetView tabSelected="1" zoomScale="81" zoomScaleNormal="81" workbookViewId="0">
      <pane ySplit="1" topLeftCell="A54" activePane="bottomLeft" state="frozen"/>
      <selection activeCell="E12" sqref="E12"/>
      <selection pane="bottomLeft" activeCell="AA2" sqref="AA2:AA62"/>
    </sheetView>
  </sheetViews>
  <sheetFormatPr defaultColWidth="34.875" defaultRowHeight="20.25" customHeight="1" x14ac:dyDescent="0.3"/>
  <cols>
    <col min="1" max="1" width="10.375" style="2" customWidth="1"/>
    <col min="2" max="2" width="33.125" style="13" customWidth="1"/>
    <col min="3" max="3" width="27" style="30" customWidth="1"/>
    <col min="4" max="5" width="2.375" style="15" customWidth="1"/>
    <col min="6" max="6" width="8.125" style="15" customWidth="1"/>
    <col min="7" max="7" width="2.5" style="15" customWidth="1"/>
    <col min="8" max="9" width="12.5" style="2" customWidth="1"/>
    <col min="10" max="10" width="6.125" style="2" customWidth="1"/>
    <col min="11" max="11" width="17.75" style="2" customWidth="1"/>
    <col min="12" max="12" width="4.125" style="2" customWidth="1"/>
    <col min="13" max="13" width="9" style="2" bestFit="1" customWidth="1"/>
    <col min="14" max="17" width="3.125" style="15" customWidth="1"/>
    <col min="18" max="18" width="5.375" style="2" customWidth="1"/>
    <col min="19" max="19" width="7.875" style="2" customWidth="1"/>
    <col min="20" max="21" width="4.5" style="2" customWidth="1"/>
    <col min="22" max="23" width="3.875" style="15" customWidth="1"/>
    <col min="24" max="26" width="22.25" style="2" customWidth="1"/>
    <col min="27" max="27" width="47.375" style="2" customWidth="1"/>
    <col min="28" max="16384" width="34.875" style="2"/>
  </cols>
  <sheetData>
    <row r="1" spans="1:27" s="3" customFormat="1" ht="23.25" customHeight="1" x14ac:dyDescent="0.3">
      <c r="A1" s="9" t="s">
        <v>2</v>
      </c>
      <c r="B1" s="12" t="s">
        <v>5</v>
      </c>
      <c r="C1" s="29" t="s">
        <v>24</v>
      </c>
      <c r="D1" s="14" t="s">
        <v>25</v>
      </c>
      <c r="E1" s="14" t="s">
        <v>26</v>
      </c>
      <c r="F1" s="9" t="s">
        <v>0</v>
      </c>
      <c r="G1" s="14" t="s">
        <v>1</v>
      </c>
      <c r="H1" s="9" t="s">
        <v>3</v>
      </c>
      <c r="I1" s="9" t="s">
        <v>4</v>
      </c>
      <c r="J1" s="9" t="s">
        <v>35</v>
      </c>
      <c r="K1" s="9" t="s">
        <v>27</v>
      </c>
      <c r="L1" s="9" t="s">
        <v>6</v>
      </c>
      <c r="M1" s="9" t="s">
        <v>7</v>
      </c>
      <c r="N1" s="14" t="s">
        <v>28</v>
      </c>
      <c r="O1" s="14" t="s">
        <v>29</v>
      </c>
      <c r="P1" s="14" t="s">
        <v>30</v>
      </c>
      <c r="Q1" s="14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14" t="s">
        <v>32</v>
      </c>
      <c r="W1" s="14" t="s">
        <v>33</v>
      </c>
      <c r="X1" s="21" t="s">
        <v>19</v>
      </c>
      <c r="Y1" s="21" t="s">
        <v>22</v>
      </c>
      <c r="Z1" s="21" t="s">
        <v>23</v>
      </c>
      <c r="AA1" s="16" t="str">
        <f>CONCATENATE(X1,",",Y1,",",Z1)</f>
        <v>메모1,메모2,메모3</v>
      </c>
    </row>
    <row r="2" spans="1:27" ht="20.25" customHeight="1" x14ac:dyDescent="0.3">
      <c r="A2" s="2" t="s">
        <v>38</v>
      </c>
      <c r="B2" s="13" t="s">
        <v>262</v>
      </c>
      <c r="C2" s="30" t="s">
        <v>100</v>
      </c>
      <c r="F2" s="15" t="s">
        <v>103</v>
      </c>
      <c r="H2" s="2" t="s">
        <v>102</v>
      </c>
      <c r="I2" s="2" t="s">
        <v>102</v>
      </c>
      <c r="J2" s="2" t="s">
        <v>263</v>
      </c>
      <c r="K2" s="2" t="s">
        <v>101</v>
      </c>
      <c r="L2" s="2" t="s">
        <v>264</v>
      </c>
      <c r="M2" s="2" t="s">
        <v>265</v>
      </c>
      <c r="N2" s="15">
        <v>1</v>
      </c>
      <c r="O2" s="15">
        <v>1</v>
      </c>
      <c r="P2" s="15">
        <v>1</v>
      </c>
      <c r="Q2" s="15">
        <v>1</v>
      </c>
      <c r="R2" s="2" t="s">
        <v>266</v>
      </c>
      <c r="S2" s="2">
        <v>19400</v>
      </c>
      <c r="T2" s="2" t="s">
        <v>267</v>
      </c>
      <c r="U2" s="2" t="s">
        <v>268</v>
      </c>
      <c r="V2" s="15">
        <v>0</v>
      </c>
      <c r="W2" s="15">
        <v>0</v>
      </c>
      <c r="X2" s="2" t="s">
        <v>269</v>
      </c>
      <c r="AA2" s="16" t="str">
        <f t="shared" ref="AA2:AA62" si="0">CONCATENATE(X2,",",Y2,",",Z2)</f>
        <v>(140)17T퓨어아이8mx1,,</v>
      </c>
    </row>
    <row r="3" spans="1:27" ht="20.25" customHeight="1" x14ac:dyDescent="0.3">
      <c r="A3" s="2" t="s">
        <v>39</v>
      </c>
      <c r="B3" s="13" t="s">
        <v>270</v>
      </c>
      <c r="C3" s="30" t="s">
        <v>105</v>
      </c>
      <c r="F3" s="15" t="s">
        <v>107</v>
      </c>
      <c r="H3" s="2" t="s">
        <v>106</v>
      </c>
      <c r="I3" s="2" t="s">
        <v>106</v>
      </c>
      <c r="J3" s="2" t="s">
        <v>263</v>
      </c>
      <c r="K3" s="2" t="s">
        <v>101</v>
      </c>
      <c r="L3" s="2" t="s">
        <v>264</v>
      </c>
      <c r="M3" s="2" t="s">
        <v>265</v>
      </c>
      <c r="N3" s="15">
        <v>1</v>
      </c>
      <c r="O3" s="15">
        <v>1</v>
      </c>
      <c r="P3" s="15">
        <v>1</v>
      </c>
      <c r="Q3" s="15">
        <v>1</v>
      </c>
      <c r="R3" s="2" t="s">
        <v>266</v>
      </c>
      <c r="S3" s="2">
        <v>19400</v>
      </c>
      <c r="T3" s="2" t="s">
        <v>267</v>
      </c>
      <c r="U3" s="2" t="s">
        <v>268</v>
      </c>
      <c r="V3" s="15">
        <v>0</v>
      </c>
      <c r="W3" s="15">
        <v>0</v>
      </c>
      <c r="X3" s="2" t="s">
        <v>269</v>
      </c>
      <c r="AA3" s="16" t="str">
        <f t="shared" si="0"/>
        <v>(140)17T퓨어아이8mx1,,</v>
      </c>
    </row>
    <row r="4" spans="1:27" ht="20.25" customHeight="1" x14ac:dyDescent="0.3">
      <c r="A4" s="2" t="s">
        <v>40</v>
      </c>
      <c r="B4" s="13" t="s">
        <v>271</v>
      </c>
      <c r="F4" s="15" t="s">
        <v>112</v>
      </c>
      <c r="H4" s="2" t="s">
        <v>111</v>
      </c>
      <c r="I4" s="2" t="s">
        <v>111</v>
      </c>
      <c r="J4" s="2" t="s">
        <v>263</v>
      </c>
      <c r="K4" s="2" t="s">
        <v>272</v>
      </c>
      <c r="L4" s="2" t="s">
        <v>264</v>
      </c>
      <c r="M4" s="2" t="s">
        <v>265</v>
      </c>
      <c r="N4" s="15">
        <v>1</v>
      </c>
      <c r="O4" s="15">
        <v>1</v>
      </c>
      <c r="P4" s="15">
        <v>1</v>
      </c>
      <c r="Q4" s="15">
        <v>1</v>
      </c>
      <c r="R4" s="2" t="s">
        <v>266</v>
      </c>
      <c r="S4" s="2">
        <v>12700</v>
      </c>
      <c r="T4" s="2" t="s">
        <v>267</v>
      </c>
      <c r="U4" s="2" t="s">
        <v>268</v>
      </c>
      <c r="V4" s="15">
        <v>0</v>
      </c>
      <c r="W4" s="15">
        <v>0</v>
      </c>
      <c r="X4" s="2" t="s">
        <v>273</v>
      </c>
      <c r="AA4" s="16" t="str">
        <f t="shared" si="0"/>
        <v>25T아이(50)x6,,</v>
      </c>
    </row>
    <row r="5" spans="1:27" ht="20.25" customHeight="1" x14ac:dyDescent="0.3">
      <c r="A5" s="2" t="s">
        <v>42</v>
      </c>
      <c r="B5" s="13" t="s">
        <v>274</v>
      </c>
      <c r="C5" s="30" t="s">
        <v>122</v>
      </c>
      <c r="F5" s="15" t="s">
        <v>119</v>
      </c>
      <c r="H5" s="2" t="s">
        <v>117</v>
      </c>
      <c r="I5" s="2" t="s">
        <v>118</v>
      </c>
      <c r="J5" s="2" t="s">
        <v>263</v>
      </c>
      <c r="K5" s="2" t="s">
        <v>272</v>
      </c>
      <c r="L5" s="2" t="s">
        <v>264</v>
      </c>
      <c r="M5" s="2" t="s">
        <v>265</v>
      </c>
      <c r="N5" s="15">
        <v>1</v>
      </c>
      <c r="O5" s="15">
        <v>1</v>
      </c>
      <c r="P5" s="15">
        <v>1</v>
      </c>
      <c r="Q5" s="15">
        <v>1</v>
      </c>
      <c r="R5" s="2" t="s">
        <v>266</v>
      </c>
      <c r="S5" s="2">
        <v>12700</v>
      </c>
      <c r="T5" s="2" t="s">
        <v>267</v>
      </c>
      <c r="U5" s="2" t="s">
        <v>268</v>
      </c>
      <c r="V5" s="15">
        <v>0</v>
      </c>
      <c r="W5" s="15">
        <v>0</v>
      </c>
      <c r="X5" s="2" t="s">
        <v>275</v>
      </c>
      <c r="AA5" s="16" t="str">
        <f t="shared" si="0"/>
        <v>(110)17T마블5.5mx1,,</v>
      </c>
    </row>
    <row r="6" spans="1:27" ht="20.25" customHeight="1" x14ac:dyDescent="0.3">
      <c r="A6" s="2" t="s">
        <v>43</v>
      </c>
      <c r="B6" s="13" t="s">
        <v>274</v>
      </c>
      <c r="C6" s="30" t="s">
        <v>115</v>
      </c>
      <c r="F6" s="15" t="s">
        <v>119</v>
      </c>
      <c r="H6" s="2" t="s">
        <v>117</v>
      </c>
      <c r="I6" s="2" t="s">
        <v>118</v>
      </c>
      <c r="J6" s="2" t="s">
        <v>263</v>
      </c>
      <c r="K6" s="2" t="s">
        <v>124</v>
      </c>
      <c r="L6" s="2" t="s">
        <v>264</v>
      </c>
      <c r="M6" s="2" t="s">
        <v>276</v>
      </c>
      <c r="N6" s="15">
        <v>1</v>
      </c>
      <c r="O6" s="15">
        <v>1</v>
      </c>
      <c r="P6" s="15">
        <v>1</v>
      </c>
      <c r="Q6" s="15">
        <v>1</v>
      </c>
      <c r="R6" s="2" t="s">
        <v>266</v>
      </c>
      <c r="S6" s="2">
        <v>12100</v>
      </c>
      <c r="T6" s="2" t="s">
        <v>267</v>
      </c>
      <c r="U6" s="2" t="s">
        <v>268</v>
      </c>
      <c r="V6" s="15">
        <v>0</v>
      </c>
      <c r="W6" s="15">
        <v>0</v>
      </c>
      <c r="X6" s="2" t="s">
        <v>277</v>
      </c>
      <c r="AA6" s="16" t="str">
        <f t="shared" si="0"/>
        <v>(110)17T마블5mx1,,</v>
      </c>
    </row>
    <row r="7" spans="1:27" ht="20.25" customHeight="1" x14ac:dyDescent="0.3">
      <c r="A7" s="2" t="s">
        <v>41</v>
      </c>
      <c r="B7" s="13" t="s">
        <v>274</v>
      </c>
      <c r="C7" s="30" t="s">
        <v>115</v>
      </c>
      <c r="F7" s="15" t="s">
        <v>119</v>
      </c>
      <c r="H7" s="2" t="s">
        <v>117</v>
      </c>
      <c r="I7" s="2" t="s">
        <v>118</v>
      </c>
      <c r="J7" s="2" t="s">
        <v>263</v>
      </c>
      <c r="K7" s="2" t="s">
        <v>114</v>
      </c>
      <c r="L7" s="2" t="s">
        <v>264</v>
      </c>
      <c r="M7" s="2" t="s">
        <v>276</v>
      </c>
      <c r="N7" s="15">
        <v>1</v>
      </c>
      <c r="O7" s="15">
        <v>1</v>
      </c>
      <c r="P7" s="15">
        <v>1</v>
      </c>
      <c r="Q7" s="15">
        <v>1</v>
      </c>
      <c r="R7" s="2" t="s">
        <v>266</v>
      </c>
      <c r="S7" s="2">
        <v>12100</v>
      </c>
      <c r="T7" s="2" t="s">
        <v>267</v>
      </c>
      <c r="U7" s="2" t="s">
        <v>268</v>
      </c>
      <c r="V7" s="15">
        <v>0</v>
      </c>
      <c r="W7" s="15">
        <v>0</v>
      </c>
      <c r="X7" s="2" t="s">
        <v>277</v>
      </c>
      <c r="AA7" s="16" t="str">
        <f t="shared" si="0"/>
        <v>(110)17T마블5mx1,,</v>
      </c>
    </row>
    <row r="8" spans="1:27" ht="20.25" customHeight="1" x14ac:dyDescent="0.3">
      <c r="A8" s="2" t="s">
        <v>44</v>
      </c>
      <c r="B8" s="13" t="s">
        <v>274</v>
      </c>
      <c r="C8" s="30" t="s">
        <v>115</v>
      </c>
      <c r="F8" s="15" t="s">
        <v>119</v>
      </c>
      <c r="H8" s="2" t="s">
        <v>117</v>
      </c>
      <c r="I8" s="2" t="s">
        <v>118</v>
      </c>
      <c r="J8" s="2" t="s">
        <v>263</v>
      </c>
      <c r="K8" s="2" t="s">
        <v>272</v>
      </c>
      <c r="L8" s="2" t="s">
        <v>264</v>
      </c>
      <c r="M8" s="2" t="s">
        <v>276</v>
      </c>
      <c r="N8" s="15">
        <v>1</v>
      </c>
      <c r="O8" s="15">
        <v>1</v>
      </c>
      <c r="P8" s="15">
        <v>1</v>
      </c>
      <c r="Q8" s="15">
        <v>1</v>
      </c>
      <c r="R8" s="2" t="s">
        <v>266</v>
      </c>
      <c r="S8" s="2">
        <v>13800</v>
      </c>
      <c r="T8" s="2" t="s">
        <v>267</v>
      </c>
      <c r="U8" s="2" t="s">
        <v>268</v>
      </c>
      <c r="V8" s="15">
        <v>0</v>
      </c>
      <c r="W8" s="15">
        <v>0</v>
      </c>
      <c r="X8" s="2" t="s">
        <v>278</v>
      </c>
      <c r="Y8" s="2" t="s">
        <v>279</v>
      </c>
      <c r="AA8" s="16" t="str">
        <f t="shared" si="0"/>
        <v>(120)17T마블3mx1,(120)17T마블2mx1,</v>
      </c>
    </row>
    <row r="9" spans="1:27" ht="20.25" customHeight="1" x14ac:dyDescent="0.3">
      <c r="A9" s="2" t="s">
        <v>45</v>
      </c>
      <c r="B9" s="13" t="s">
        <v>280</v>
      </c>
      <c r="F9" s="15" t="s">
        <v>129</v>
      </c>
      <c r="H9" s="2" t="s">
        <v>128</v>
      </c>
      <c r="I9" s="2" t="s">
        <v>128</v>
      </c>
      <c r="J9" s="2" t="s">
        <v>263</v>
      </c>
      <c r="K9" s="2" t="s">
        <v>272</v>
      </c>
      <c r="L9" s="2" t="s">
        <v>264</v>
      </c>
      <c r="M9" s="2" t="s">
        <v>276</v>
      </c>
      <c r="N9" s="15">
        <v>1</v>
      </c>
      <c r="O9" s="15">
        <v>1</v>
      </c>
      <c r="P9" s="15">
        <v>1</v>
      </c>
      <c r="Q9" s="15">
        <v>1</v>
      </c>
      <c r="R9" s="2" t="s">
        <v>266</v>
      </c>
      <c r="S9" s="2">
        <v>8600</v>
      </c>
      <c r="T9" s="2" t="s">
        <v>267</v>
      </c>
      <c r="U9" s="2" t="s">
        <v>268</v>
      </c>
      <c r="V9" s="15">
        <v>0</v>
      </c>
      <c r="W9" s="15">
        <v>0</v>
      </c>
      <c r="X9" s="2" t="s">
        <v>281</v>
      </c>
      <c r="AA9" s="16" t="str">
        <f t="shared" si="0"/>
        <v>(140)6T그레이2mx1,,</v>
      </c>
    </row>
    <row r="10" spans="1:27" ht="20.25" customHeight="1" x14ac:dyDescent="0.3">
      <c r="A10" s="2" t="s">
        <v>46</v>
      </c>
      <c r="B10" s="13" t="s">
        <v>282</v>
      </c>
      <c r="F10" s="15" t="s">
        <v>133</v>
      </c>
      <c r="H10" s="2" t="s">
        <v>132</v>
      </c>
      <c r="I10" s="2" t="s">
        <v>132</v>
      </c>
      <c r="J10" s="2" t="s">
        <v>263</v>
      </c>
      <c r="K10" s="2" t="s">
        <v>272</v>
      </c>
      <c r="L10" s="2" t="s">
        <v>264</v>
      </c>
      <c r="M10" s="2" t="s">
        <v>265</v>
      </c>
      <c r="N10" s="15">
        <v>1</v>
      </c>
      <c r="O10" s="15">
        <v>1</v>
      </c>
      <c r="P10" s="15">
        <v>1</v>
      </c>
      <c r="Q10" s="15">
        <v>1</v>
      </c>
      <c r="R10" s="2" t="s">
        <v>266</v>
      </c>
      <c r="S10" s="2">
        <v>6900</v>
      </c>
      <c r="T10" s="2" t="s">
        <v>267</v>
      </c>
      <c r="U10" s="2" t="s">
        <v>268</v>
      </c>
      <c r="V10" s="15">
        <v>0</v>
      </c>
      <c r="W10" s="15">
        <v>0</v>
      </c>
      <c r="X10" s="2" t="s">
        <v>131</v>
      </c>
      <c r="AA10" s="16" t="str">
        <f t="shared" si="0"/>
        <v>플러스♥25T아이(100)x1,,</v>
      </c>
    </row>
    <row r="11" spans="1:27" ht="20.25" customHeight="1" x14ac:dyDescent="0.3">
      <c r="A11" s="2" t="s">
        <v>47</v>
      </c>
      <c r="B11" s="13" t="s">
        <v>283</v>
      </c>
      <c r="F11" s="15" t="s">
        <v>137</v>
      </c>
      <c r="H11" s="2" t="s">
        <v>136</v>
      </c>
      <c r="I11" s="2" t="s">
        <v>136</v>
      </c>
      <c r="J11" s="2" t="s">
        <v>263</v>
      </c>
      <c r="K11" s="2" t="s">
        <v>101</v>
      </c>
      <c r="L11" s="2" t="s">
        <v>264</v>
      </c>
      <c r="M11" s="2" t="s">
        <v>276</v>
      </c>
      <c r="N11" s="15">
        <v>1</v>
      </c>
      <c r="O11" s="15">
        <v>1</v>
      </c>
      <c r="P11" s="15">
        <v>1</v>
      </c>
      <c r="Q11" s="15">
        <v>1</v>
      </c>
      <c r="R11" s="2" t="s">
        <v>266</v>
      </c>
      <c r="S11" s="2">
        <v>12100</v>
      </c>
      <c r="T11" s="2" t="s">
        <v>267</v>
      </c>
      <c r="U11" s="2" t="s">
        <v>268</v>
      </c>
      <c r="V11" s="15">
        <v>0</v>
      </c>
      <c r="W11" s="15">
        <v>0</v>
      </c>
      <c r="X11" s="2" t="s">
        <v>284</v>
      </c>
      <c r="AA11" s="16" t="str">
        <f t="shared" si="0"/>
        <v>(110)17T퓨어아이5mx1,,</v>
      </c>
    </row>
    <row r="12" spans="1:27" ht="20.25" customHeight="1" x14ac:dyDescent="0.3">
      <c r="A12" s="2" t="s">
        <v>48</v>
      </c>
      <c r="B12" s="13" t="s">
        <v>283</v>
      </c>
      <c r="F12" s="15" t="s">
        <v>137</v>
      </c>
      <c r="H12" s="2" t="s">
        <v>136</v>
      </c>
      <c r="I12" s="2" t="s">
        <v>136</v>
      </c>
      <c r="J12" s="2" t="s">
        <v>263</v>
      </c>
      <c r="K12" s="2" t="s">
        <v>272</v>
      </c>
      <c r="L12" s="2" t="s">
        <v>264</v>
      </c>
      <c r="M12" s="2" t="s">
        <v>276</v>
      </c>
      <c r="N12" s="15">
        <v>1</v>
      </c>
      <c r="O12" s="15">
        <v>1</v>
      </c>
      <c r="P12" s="15">
        <v>1</v>
      </c>
      <c r="Q12" s="15">
        <v>1</v>
      </c>
      <c r="R12" s="2" t="s">
        <v>266</v>
      </c>
      <c r="S12" s="2">
        <v>12100</v>
      </c>
      <c r="T12" s="2" t="s">
        <v>267</v>
      </c>
      <c r="U12" s="2" t="s">
        <v>268</v>
      </c>
      <c r="V12" s="15">
        <v>0</v>
      </c>
      <c r="W12" s="15">
        <v>0</v>
      </c>
      <c r="X12" s="2" t="s">
        <v>284</v>
      </c>
      <c r="AA12" s="16" t="str">
        <f t="shared" si="0"/>
        <v>(110)17T퓨어아이5mx1,,</v>
      </c>
    </row>
    <row r="13" spans="1:27" ht="20.25" customHeight="1" x14ac:dyDescent="0.3">
      <c r="A13" s="2" t="s">
        <v>49</v>
      </c>
      <c r="B13" s="13" t="s">
        <v>285</v>
      </c>
      <c r="F13" s="15" t="s">
        <v>141</v>
      </c>
      <c r="H13" s="2" t="s">
        <v>140</v>
      </c>
      <c r="I13" s="2" t="s">
        <v>140</v>
      </c>
      <c r="J13" s="2" t="s">
        <v>263</v>
      </c>
      <c r="K13" s="2" t="s">
        <v>272</v>
      </c>
      <c r="L13" s="2" t="s">
        <v>264</v>
      </c>
      <c r="M13" s="2" t="s">
        <v>265</v>
      </c>
      <c r="N13" s="15">
        <v>1</v>
      </c>
      <c r="O13" s="15">
        <v>1</v>
      </c>
      <c r="P13" s="15">
        <v>1</v>
      </c>
      <c r="Q13" s="15">
        <v>1</v>
      </c>
      <c r="R13" s="2" t="s">
        <v>266</v>
      </c>
      <c r="S13" s="2">
        <v>6900</v>
      </c>
      <c r="T13" s="2" t="s">
        <v>267</v>
      </c>
      <c r="U13" s="2" t="s">
        <v>268</v>
      </c>
      <c r="V13" s="15">
        <v>0</v>
      </c>
      <c r="W13" s="15">
        <v>0</v>
      </c>
      <c r="X13" s="2" t="s">
        <v>286</v>
      </c>
      <c r="AA13" s="16" t="str">
        <f t="shared" si="0"/>
        <v>25T아이(50)x2,,</v>
      </c>
    </row>
    <row r="14" spans="1:27" ht="20.25" customHeight="1" x14ac:dyDescent="0.3">
      <c r="A14" s="2" t="s">
        <v>50</v>
      </c>
      <c r="B14" s="13" t="s">
        <v>287</v>
      </c>
      <c r="F14" s="15" t="s">
        <v>145</v>
      </c>
      <c r="H14" s="2" t="s">
        <v>144</v>
      </c>
      <c r="I14" s="2" t="s">
        <v>144</v>
      </c>
      <c r="J14" s="2" t="s">
        <v>263</v>
      </c>
      <c r="K14" s="2" t="s">
        <v>272</v>
      </c>
      <c r="L14" s="2" t="s">
        <v>264</v>
      </c>
      <c r="M14" s="2" t="s">
        <v>276</v>
      </c>
      <c r="N14" s="15">
        <v>1</v>
      </c>
      <c r="O14" s="15">
        <v>1</v>
      </c>
      <c r="P14" s="15">
        <v>1</v>
      </c>
      <c r="Q14" s="15">
        <v>1</v>
      </c>
      <c r="R14" s="2" t="s">
        <v>266</v>
      </c>
      <c r="S14" s="2">
        <v>8600</v>
      </c>
      <c r="T14" s="2" t="s">
        <v>267</v>
      </c>
      <c r="U14" s="2" t="s">
        <v>268</v>
      </c>
      <c r="V14" s="15">
        <v>0</v>
      </c>
      <c r="W14" s="15">
        <v>0</v>
      </c>
      <c r="X14" s="2" t="s">
        <v>288</v>
      </c>
      <c r="AA14" s="16" t="str">
        <f t="shared" si="0"/>
        <v>(120)17T그레이2mx1,,</v>
      </c>
    </row>
    <row r="15" spans="1:27" ht="20.25" customHeight="1" x14ac:dyDescent="0.3">
      <c r="A15" s="2" t="s">
        <v>51</v>
      </c>
      <c r="B15" s="13" t="s">
        <v>289</v>
      </c>
      <c r="C15" s="30" t="s">
        <v>148</v>
      </c>
      <c r="F15" s="15" t="s">
        <v>150</v>
      </c>
      <c r="H15" s="2" t="s">
        <v>149</v>
      </c>
      <c r="I15" s="2" t="s">
        <v>149</v>
      </c>
      <c r="J15" s="2" t="s">
        <v>263</v>
      </c>
      <c r="K15" s="2" t="s">
        <v>272</v>
      </c>
      <c r="L15" s="2" t="s">
        <v>264</v>
      </c>
      <c r="M15" s="2" t="s">
        <v>265</v>
      </c>
      <c r="N15" s="15">
        <v>1</v>
      </c>
      <c r="O15" s="15">
        <v>1</v>
      </c>
      <c r="P15" s="15">
        <v>1</v>
      </c>
      <c r="Q15" s="15">
        <v>1</v>
      </c>
      <c r="R15" s="2" t="s">
        <v>266</v>
      </c>
      <c r="S15" s="2">
        <v>10700</v>
      </c>
      <c r="T15" s="2" t="s">
        <v>267</v>
      </c>
      <c r="U15" s="2" t="s">
        <v>268</v>
      </c>
      <c r="V15" s="15">
        <v>0</v>
      </c>
      <c r="W15" s="15">
        <v>0</v>
      </c>
      <c r="X15" s="2" t="s">
        <v>290</v>
      </c>
      <c r="AA15" s="16" t="str">
        <f t="shared" si="0"/>
        <v>25T아이(100)x5,,</v>
      </c>
    </row>
    <row r="16" spans="1:27" ht="20.25" customHeight="1" x14ac:dyDescent="0.3">
      <c r="A16" s="2" t="s">
        <v>52</v>
      </c>
      <c r="B16" s="13" t="s">
        <v>289</v>
      </c>
      <c r="C16" s="30" t="s">
        <v>148</v>
      </c>
      <c r="F16" s="15" t="s">
        <v>150</v>
      </c>
      <c r="H16" s="2" t="s">
        <v>149</v>
      </c>
      <c r="I16" s="2" t="s">
        <v>149</v>
      </c>
      <c r="J16" s="2" t="s">
        <v>263</v>
      </c>
      <c r="K16" s="2" t="s">
        <v>272</v>
      </c>
      <c r="L16" s="2" t="s">
        <v>264</v>
      </c>
      <c r="M16" s="2" t="s">
        <v>265</v>
      </c>
      <c r="N16" s="15">
        <v>1</v>
      </c>
      <c r="O16" s="15">
        <v>1</v>
      </c>
      <c r="P16" s="15">
        <v>1</v>
      </c>
      <c r="Q16" s="15">
        <v>1</v>
      </c>
      <c r="R16" s="2" t="s">
        <v>266</v>
      </c>
      <c r="S16" s="2">
        <v>10700</v>
      </c>
      <c r="T16" s="2" t="s">
        <v>267</v>
      </c>
      <c r="U16" s="2" t="s">
        <v>268</v>
      </c>
      <c r="V16" s="15">
        <v>0</v>
      </c>
      <c r="W16" s="15">
        <v>0</v>
      </c>
      <c r="X16" s="2" t="s">
        <v>291</v>
      </c>
      <c r="Y16" s="2" t="s">
        <v>286</v>
      </c>
      <c r="AA16" s="16" t="str">
        <f t="shared" si="0"/>
        <v>25T아이(100)x3,25T아이(50)x2,</v>
      </c>
    </row>
    <row r="17" spans="1:27" ht="20.25" customHeight="1" x14ac:dyDescent="0.3">
      <c r="A17" s="2" t="s">
        <v>53</v>
      </c>
      <c r="B17" s="13" t="s">
        <v>292</v>
      </c>
      <c r="F17" s="15" t="s">
        <v>154</v>
      </c>
      <c r="H17" s="2" t="s">
        <v>153</v>
      </c>
      <c r="I17" s="2" t="s">
        <v>153</v>
      </c>
      <c r="J17" s="2" t="s">
        <v>263</v>
      </c>
      <c r="K17" s="2" t="s">
        <v>272</v>
      </c>
      <c r="L17" s="2" t="s">
        <v>264</v>
      </c>
      <c r="M17" s="2" t="s">
        <v>265</v>
      </c>
      <c r="N17" s="15">
        <v>1</v>
      </c>
      <c r="O17" s="15">
        <v>1</v>
      </c>
      <c r="P17" s="15">
        <v>1</v>
      </c>
      <c r="Q17" s="15">
        <v>1</v>
      </c>
      <c r="R17" s="2" t="s">
        <v>266</v>
      </c>
      <c r="S17" s="2">
        <v>10700</v>
      </c>
      <c r="T17" s="2" t="s">
        <v>267</v>
      </c>
      <c r="U17" s="2" t="s">
        <v>268</v>
      </c>
      <c r="V17" s="15">
        <v>0</v>
      </c>
      <c r="W17" s="15">
        <v>0</v>
      </c>
      <c r="X17" s="2" t="s">
        <v>290</v>
      </c>
      <c r="AA17" s="16" t="str">
        <f t="shared" si="0"/>
        <v>25T아이(100)x5,,</v>
      </c>
    </row>
    <row r="18" spans="1:27" ht="20.25" customHeight="1" x14ac:dyDescent="0.3">
      <c r="A18" s="2" t="s">
        <v>54</v>
      </c>
      <c r="B18" s="13" t="s">
        <v>292</v>
      </c>
      <c r="F18" s="15" t="s">
        <v>154</v>
      </c>
      <c r="H18" s="2" t="s">
        <v>153</v>
      </c>
      <c r="I18" s="2" t="s">
        <v>153</v>
      </c>
      <c r="J18" s="2" t="s">
        <v>263</v>
      </c>
      <c r="K18" s="2" t="s">
        <v>272</v>
      </c>
      <c r="L18" s="2" t="s">
        <v>264</v>
      </c>
      <c r="M18" s="2" t="s">
        <v>265</v>
      </c>
      <c r="N18" s="15">
        <v>1</v>
      </c>
      <c r="O18" s="15">
        <v>1</v>
      </c>
      <c r="P18" s="15">
        <v>1</v>
      </c>
      <c r="Q18" s="15">
        <v>1</v>
      </c>
      <c r="R18" s="2" t="s">
        <v>266</v>
      </c>
      <c r="S18" s="2">
        <v>8600</v>
      </c>
      <c r="T18" s="2" t="s">
        <v>267</v>
      </c>
      <c r="U18" s="2" t="s">
        <v>268</v>
      </c>
      <c r="V18" s="15">
        <v>0</v>
      </c>
      <c r="W18" s="15">
        <v>0</v>
      </c>
      <c r="X18" s="2" t="s">
        <v>293</v>
      </c>
      <c r="AA18" s="16" t="str">
        <f t="shared" si="0"/>
        <v>25T아이(100)x4,,</v>
      </c>
    </row>
    <row r="19" spans="1:27" ht="20.25" customHeight="1" x14ac:dyDescent="0.3">
      <c r="A19" s="2" t="s">
        <v>55</v>
      </c>
      <c r="B19" s="13" t="s">
        <v>294</v>
      </c>
      <c r="F19" s="15" t="s">
        <v>158</v>
      </c>
      <c r="H19" s="2" t="s">
        <v>157</v>
      </c>
      <c r="I19" s="2" t="s">
        <v>157</v>
      </c>
      <c r="J19" s="2" t="s">
        <v>263</v>
      </c>
      <c r="K19" s="2" t="s">
        <v>272</v>
      </c>
      <c r="L19" s="2" t="s">
        <v>264</v>
      </c>
      <c r="M19" s="2" t="s">
        <v>265</v>
      </c>
      <c r="N19" s="15">
        <v>1</v>
      </c>
      <c r="O19" s="15">
        <v>1</v>
      </c>
      <c r="P19" s="15">
        <v>1</v>
      </c>
      <c r="Q19" s="15">
        <v>1</v>
      </c>
      <c r="R19" s="2" t="s">
        <v>266</v>
      </c>
      <c r="S19" s="2">
        <v>8600</v>
      </c>
      <c r="T19" s="2" t="s">
        <v>267</v>
      </c>
      <c r="U19" s="2" t="s">
        <v>268</v>
      </c>
      <c r="V19" s="15">
        <v>0</v>
      </c>
      <c r="W19" s="15">
        <v>0</v>
      </c>
      <c r="X19" s="2" t="s">
        <v>293</v>
      </c>
      <c r="AA19" s="16" t="str">
        <f t="shared" si="0"/>
        <v>25T아이(100)x4,,</v>
      </c>
    </row>
    <row r="20" spans="1:27" ht="20.25" customHeight="1" x14ac:dyDescent="0.3">
      <c r="A20" s="2" t="s">
        <v>56</v>
      </c>
      <c r="B20" s="13" t="s">
        <v>294</v>
      </c>
      <c r="F20" s="15" t="s">
        <v>158</v>
      </c>
      <c r="H20" s="2" t="s">
        <v>157</v>
      </c>
      <c r="I20" s="2" t="s">
        <v>157</v>
      </c>
      <c r="J20" s="2" t="s">
        <v>263</v>
      </c>
      <c r="K20" s="2" t="s">
        <v>272</v>
      </c>
      <c r="L20" s="2" t="s">
        <v>264</v>
      </c>
      <c r="M20" s="2" t="s">
        <v>265</v>
      </c>
      <c r="N20" s="15">
        <v>1</v>
      </c>
      <c r="O20" s="15">
        <v>1</v>
      </c>
      <c r="P20" s="15">
        <v>1</v>
      </c>
      <c r="Q20" s="15">
        <v>1</v>
      </c>
      <c r="R20" s="2" t="s">
        <v>266</v>
      </c>
      <c r="S20" s="2">
        <v>8600</v>
      </c>
      <c r="T20" s="2" t="s">
        <v>267</v>
      </c>
      <c r="U20" s="2" t="s">
        <v>268</v>
      </c>
      <c r="V20" s="15">
        <v>0</v>
      </c>
      <c r="W20" s="15">
        <v>0</v>
      </c>
      <c r="X20" s="2" t="s">
        <v>293</v>
      </c>
      <c r="AA20" s="16" t="str">
        <f t="shared" si="0"/>
        <v>25T아이(100)x4,,</v>
      </c>
    </row>
    <row r="21" spans="1:27" ht="20.25" customHeight="1" x14ac:dyDescent="0.3">
      <c r="A21" s="2" t="s">
        <v>57</v>
      </c>
      <c r="B21" s="13" t="s">
        <v>295</v>
      </c>
      <c r="F21" s="15" t="s">
        <v>162</v>
      </c>
      <c r="H21" s="2" t="s">
        <v>161</v>
      </c>
      <c r="I21" s="2" t="s">
        <v>161</v>
      </c>
      <c r="J21" s="2" t="s">
        <v>263</v>
      </c>
      <c r="K21" s="2" t="s">
        <v>101</v>
      </c>
      <c r="L21" s="2" t="s">
        <v>264</v>
      </c>
      <c r="M21" s="2" t="s">
        <v>276</v>
      </c>
      <c r="N21" s="15">
        <v>1</v>
      </c>
      <c r="O21" s="15">
        <v>1</v>
      </c>
      <c r="P21" s="15">
        <v>1</v>
      </c>
      <c r="Q21" s="15">
        <v>1</v>
      </c>
      <c r="R21" s="2" t="s">
        <v>266</v>
      </c>
      <c r="S21" s="2">
        <v>15400</v>
      </c>
      <c r="T21" s="2" t="s">
        <v>267</v>
      </c>
      <c r="U21" s="2" t="s">
        <v>268</v>
      </c>
      <c r="V21" s="15">
        <v>0</v>
      </c>
      <c r="W21" s="15">
        <v>0</v>
      </c>
      <c r="X21" s="2" t="s">
        <v>296</v>
      </c>
      <c r="AA21" s="16" t="str">
        <f t="shared" si="0"/>
        <v>(140)12T퓨어아이5mx1,,</v>
      </c>
    </row>
    <row r="22" spans="1:27" ht="20.25" customHeight="1" x14ac:dyDescent="0.3">
      <c r="A22" s="2" t="s">
        <v>58</v>
      </c>
      <c r="B22" s="13" t="s">
        <v>297</v>
      </c>
      <c r="C22" s="30" t="s">
        <v>165</v>
      </c>
      <c r="F22" s="15" t="s">
        <v>167</v>
      </c>
      <c r="H22" s="2" t="s">
        <v>166</v>
      </c>
      <c r="I22" s="2" t="s">
        <v>166</v>
      </c>
      <c r="J22" s="2" t="s">
        <v>263</v>
      </c>
      <c r="K22" s="2" t="s">
        <v>101</v>
      </c>
      <c r="L22" s="2" t="s">
        <v>264</v>
      </c>
      <c r="M22" s="2" t="s">
        <v>276</v>
      </c>
      <c r="N22" s="15">
        <v>1</v>
      </c>
      <c r="O22" s="15">
        <v>1</v>
      </c>
      <c r="P22" s="15">
        <v>1</v>
      </c>
      <c r="Q22" s="15">
        <v>1</v>
      </c>
      <c r="R22" s="2" t="s">
        <v>266</v>
      </c>
      <c r="S22" s="2">
        <v>15400</v>
      </c>
      <c r="T22" s="2" t="s">
        <v>267</v>
      </c>
      <c r="U22" s="2" t="s">
        <v>268</v>
      </c>
      <c r="V22" s="15">
        <v>0</v>
      </c>
      <c r="W22" s="15">
        <v>0</v>
      </c>
      <c r="X22" s="2" t="s">
        <v>169</v>
      </c>
      <c r="Y22" s="2" t="s">
        <v>164</v>
      </c>
      <c r="AA22" s="16" t="str">
        <f t="shared" si="0"/>
        <v>(140)9T도그프린트2.5mx1,(110)9T도그프린트7.5mx1,</v>
      </c>
    </row>
    <row r="23" spans="1:27" ht="20.25" customHeight="1" x14ac:dyDescent="0.3">
      <c r="A23" s="2" t="s">
        <v>59</v>
      </c>
      <c r="B23" s="13" t="s">
        <v>298</v>
      </c>
      <c r="F23" s="15" t="s">
        <v>171</v>
      </c>
      <c r="H23" s="2" t="s">
        <v>170</v>
      </c>
      <c r="I23" s="2" t="s">
        <v>170</v>
      </c>
      <c r="J23" s="2" t="s">
        <v>263</v>
      </c>
      <c r="K23" s="2" t="s">
        <v>272</v>
      </c>
      <c r="L23" s="2" t="s">
        <v>264</v>
      </c>
      <c r="M23" s="2" t="s">
        <v>265</v>
      </c>
      <c r="N23" s="15">
        <v>1</v>
      </c>
      <c r="O23" s="15">
        <v>1</v>
      </c>
      <c r="P23" s="15">
        <v>1</v>
      </c>
      <c r="Q23" s="15">
        <v>1</v>
      </c>
      <c r="R23" s="2" t="s">
        <v>266</v>
      </c>
      <c r="S23" s="2">
        <v>6900</v>
      </c>
      <c r="T23" s="2" t="s">
        <v>267</v>
      </c>
      <c r="U23" s="2" t="s">
        <v>268</v>
      </c>
      <c r="V23" s="15">
        <v>0</v>
      </c>
      <c r="W23" s="15">
        <v>0</v>
      </c>
      <c r="X23" s="2" t="s">
        <v>131</v>
      </c>
      <c r="AA23" s="16" t="str">
        <f t="shared" si="0"/>
        <v>플러스♥25T아이(100)x1,,</v>
      </c>
    </row>
    <row r="24" spans="1:27" ht="20.25" customHeight="1" x14ac:dyDescent="0.3">
      <c r="A24" s="2" t="s">
        <v>60</v>
      </c>
      <c r="B24" s="13" t="s">
        <v>299</v>
      </c>
      <c r="F24" s="15" t="s">
        <v>175</v>
      </c>
      <c r="H24" s="2" t="s">
        <v>174</v>
      </c>
      <c r="I24" s="2" t="s">
        <v>174</v>
      </c>
      <c r="J24" s="2" t="s">
        <v>263</v>
      </c>
      <c r="K24" s="2" t="s">
        <v>272</v>
      </c>
      <c r="L24" s="2" t="s">
        <v>264</v>
      </c>
      <c r="M24" s="2" t="s">
        <v>265</v>
      </c>
      <c r="N24" s="15">
        <v>1</v>
      </c>
      <c r="O24" s="15">
        <v>1</v>
      </c>
      <c r="P24" s="15">
        <v>1</v>
      </c>
      <c r="Q24" s="15">
        <v>1</v>
      </c>
      <c r="R24" s="2" t="s">
        <v>266</v>
      </c>
      <c r="S24" s="2">
        <v>12700</v>
      </c>
      <c r="T24" s="2" t="s">
        <v>267</v>
      </c>
      <c r="U24" s="2" t="s">
        <v>268</v>
      </c>
      <c r="V24" s="15">
        <v>0</v>
      </c>
      <c r="W24" s="15">
        <v>0</v>
      </c>
      <c r="X24" s="2" t="s">
        <v>300</v>
      </c>
      <c r="AA24" s="16" t="str">
        <f t="shared" si="0"/>
        <v>25T아이(100)x6,,</v>
      </c>
    </row>
    <row r="25" spans="1:27" ht="20.25" customHeight="1" x14ac:dyDescent="0.3">
      <c r="A25" s="2" t="s">
        <v>61</v>
      </c>
      <c r="B25" s="13" t="s">
        <v>299</v>
      </c>
      <c r="F25" s="15" t="s">
        <v>175</v>
      </c>
      <c r="H25" s="2" t="s">
        <v>174</v>
      </c>
      <c r="I25" s="2" t="s">
        <v>174</v>
      </c>
      <c r="J25" s="2" t="s">
        <v>263</v>
      </c>
      <c r="K25" s="2" t="s">
        <v>272</v>
      </c>
      <c r="L25" s="2" t="s">
        <v>264</v>
      </c>
      <c r="M25" s="2" t="s">
        <v>265</v>
      </c>
      <c r="N25" s="15">
        <v>1</v>
      </c>
      <c r="O25" s="15">
        <v>1</v>
      </c>
      <c r="P25" s="15">
        <v>1</v>
      </c>
      <c r="Q25" s="15">
        <v>1</v>
      </c>
      <c r="R25" s="2" t="s">
        <v>266</v>
      </c>
      <c r="S25" s="2">
        <v>12700</v>
      </c>
      <c r="T25" s="2" t="s">
        <v>267</v>
      </c>
      <c r="U25" s="2" t="s">
        <v>268</v>
      </c>
      <c r="V25" s="15">
        <v>0</v>
      </c>
      <c r="W25" s="15">
        <v>0</v>
      </c>
      <c r="X25" s="2" t="s">
        <v>300</v>
      </c>
      <c r="AA25" s="16" t="str">
        <f t="shared" si="0"/>
        <v>25T아이(100)x6,,</v>
      </c>
    </row>
    <row r="26" spans="1:27" s="33" customFormat="1" ht="20.25" customHeight="1" x14ac:dyDescent="0.3">
      <c r="A26" s="33" t="s">
        <v>62</v>
      </c>
      <c r="B26" s="31" t="s">
        <v>299</v>
      </c>
      <c r="C26" s="32"/>
      <c r="D26" s="15"/>
      <c r="E26" s="15"/>
      <c r="F26" s="15" t="s">
        <v>175</v>
      </c>
      <c r="G26" s="15"/>
      <c r="H26" s="33" t="s">
        <v>174</v>
      </c>
      <c r="I26" s="33" t="s">
        <v>174</v>
      </c>
      <c r="J26" s="33" t="s">
        <v>263</v>
      </c>
      <c r="K26" s="33" t="s">
        <v>272</v>
      </c>
      <c r="L26" s="33" t="s">
        <v>264</v>
      </c>
      <c r="M26" s="33" t="s">
        <v>265</v>
      </c>
      <c r="N26" s="15">
        <v>1</v>
      </c>
      <c r="O26" s="15">
        <v>1</v>
      </c>
      <c r="P26" s="15">
        <v>1</v>
      </c>
      <c r="Q26" s="15">
        <v>1</v>
      </c>
      <c r="R26" s="33" t="s">
        <v>266</v>
      </c>
      <c r="S26" s="33">
        <v>8600</v>
      </c>
      <c r="T26" s="33" t="s">
        <v>267</v>
      </c>
      <c r="U26" s="33" t="s">
        <v>268</v>
      </c>
      <c r="V26" s="15">
        <v>0</v>
      </c>
      <c r="W26" s="15">
        <v>0</v>
      </c>
      <c r="X26" s="33" t="s">
        <v>301</v>
      </c>
      <c r="Y26" s="2" t="s">
        <v>302</v>
      </c>
      <c r="AA26" s="16" t="str">
        <f t="shared" si="0"/>
        <v>25T블루(100)x2,25T핑크(100)x2,</v>
      </c>
    </row>
    <row r="27" spans="1:27" ht="20.25" customHeight="1" x14ac:dyDescent="0.3">
      <c r="A27" s="2" t="s">
        <v>63</v>
      </c>
      <c r="B27" s="13" t="s">
        <v>303</v>
      </c>
      <c r="F27" s="15" t="s">
        <v>181</v>
      </c>
      <c r="H27" s="2" t="s">
        <v>179</v>
      </c>
      <c r="I27" s="2" t="s">
        <v>180</v>
      </c>
      <c r="J27" s="2" t="s">
        <v>263</v>
      </c>
      <c r="K27" s="2" t="s">
        <v>272</v>
      </c>
      <c r="L27" s="2" t="s">
        <v>264</v>
      </c>
      <c r="M27" s="2" t="s">
        <v>265</v>
      </c>
      <c r="N27" s="15">
        <v>1</v>
      </c>
      <c r="O27" s="15">
        <v>1</v>
      </c>
      <c r="P27" s="15">
        <v>1</v>
      </c>
      <c r="Q27" s="15">
        <v>1</v>
      </c>
      <c r="R27" s="2" t="s">
        <v>266</v>
      </c>
      <c r="S27" s="2">
        <v>10700</v>
      </c>
      <c r="T27" s="2" t="s">
        <v>267</v>
      </c>
      <c r="U27" s="2" t="s">
        <v>268</v>
      </c>
      <c r="V27" s="15">
        <v>0</v>
      </c>
      <c r="W27" s="15">
        <v>0</v>
      </c>
      <c r="X27" s="2" t="s">
        <v>290</v>
      </c>
      <c r="AA27" s="16" t="str">
        <f t="shared" si="0"/>
        <v>25T아이(100)x5,,</v>
      </c>
    </row>
    <row r="28" spans="1:27" ht="20.25" customHeight="1" x14ac:dyDescent="0.3">
      <c r="A28" s="2" t="s">
        <v>64</v>
      </c>
      <c r="B28" s="13" t="s">
        <v>303</v>
      </c>
      <c r="F28" s="15" t="s">
        <v>181</v>
      </c>
      <c r="H28" s="2" t="s">
        <v>179</v>
      </c>
      <c r="I28" s="2" t="s">
        <v>180</v>
      </c>
      <c r="J28" s="2" t="s">
        <v>263</v>
      </c>
      <c r="K28" s="2" t="s">
        <v>272</v>
      </c>
      <c r="L28" s="2" t="s">
        <v>264</v>
      </c>
      <c r="M28" s="2" t="s">
        <v>265</v>
      </c>
      <c r="N28" s="15">
        <v>1</v>
      </c>
      <c r="O28" s="15">
        <v>1</v>
      </c>
      <c r="P28" s="15">
        <v>1</v>
      </c>
      <c r="Q28" s="15">
        <v>1</v>
      </c>
      <c r="R28" s="2" t="s">
        <v>266</v>
      </c>
      <c r="S28" s="2">
        <v>10700</v>
      </c>
      <c r="T28" s="2" t="s">
        <v>267</v>
      </c>
      <c r="U28" s="2" t="s">
        <v>268</v>
      </c>
      <c r="V28" s="15">
        <v>0</v>
      </c>
      <c r="W28" s="15">
        <v>0</v>
      </c>
      <c r="X28" s="2" t="s">
        <v>290</v>
      </c>
      <c r="AA28" s="16" t="str">
        <f t="shared" si="0"/>
        <v>25T아이(100)x5,,</v>
      </c>
    </row>
    <row r="29" spans="1:27" ht="20.25" customHeight="1" x14ac:dyDescent="0.3">
      <c r="A29" s="2" t="s">
        <v>65</v>
      </c>
      <c r="B29" s="13" t="s">
        <v>303</v>
      </c>
      <c r="F29" s="15" t="s">
        <v>181</v>
      </c>
      <c r="H29" s="2" t="s">
        <v>179</v>
      </c>
      <c r="I29" s="2" t="s">
        <v>180</v>
      </c>
      <c r="J29" s="2" t="s">
        <v>263</v>
      </c>
      <c r="K29" s="2" t="s">
        <v>272</v>
      </c>
      <c r="L29" s="2" t="s">
        <v>264</v>
      </c>
      <c r="M29" s="2" t="s">
        <v>265</v>
      </c>
      <c r="N29" s="15">
        <v>1</v>
      </c>
      <c r="O29" s="15">
        <v>1</v>
      </c>
      <c r="P29" s="15">
        <v>1</v>
      </c>
      <c r="Q29" s="15">
        <v>1</v>
      </c>
      <c r="R29" s="2" t="s">
        <v>266</v>
      </c>
      <c r="S29" s="2">
        <v>10700</v>
      </c>
      <c r="T29" s="2" t="s">
        <v>267</v>
      </c>
      <c r="U29" s="2" t="s">
        <v>268</v>
      </c>
      <c r="V29" s="15">
        <v>0</v>
      </c>
      <c r="W29" s="15">
        <v>0</v>
      </c>
      <c r="X29" s="2" t="s">
        <v>290</v>
      </c>
      <c r="AA29" s="16" t="str">
        <f t="shared" si="0"/>
        <v>25T아이(100)x5,,</v>
      </c>
    </row>
    <row r="30" spans="1:27" ht="20.25" customHeight="1" x14ac:dyDescent="0.3">
      <c r="A30" s="2" t="s">
        <v>66</v>
      </c>
      <c r="B30" s="13" t="s">
        <v>304</v>
      </c>
      <c r="C30" s="30" t="s">
        <v>115</v>
      </c>
      <c r="F30" s="15" t="s">
        <v>185</v>
      </c>
      <c r="H30" s="2" t="s">
        <v>184</v>
      </c>
      <c r="I30" s="2" t="s">
        <v>184</v>
      </c>
      <c r="J30" s="2" t="s">
        <v>263</v>
      </c>
      <c r="K30" s="2" t="s">
        <v>272</v>
      </c>
      <c r="L30" s="2" t="s">
        <v>264</v>
      </c>
      <c r="M30" s="2" t="s">
        <v>265</v>
      </c>
      <c r="N30" s="15">
        <v>1</v>
      </c>
      <c r="O30" s="15">
        <v>1</v>
      </c>
      <c r="P30" s="15">
        <v>1</v>
      </c>
      <c r="Q30" s="15">
        <v>1</v>
      </c>
      <c r="R30" s="2" t="s">
        <v>266</v>
      </c>
      <c r="S30" s="2">
        <v>10700</v>
      </c>
      <c r="T30" s="2" t="s">
        <v>267</v>
      </c>
      <c r="U30" s="2" t="s">
        <v>268</v>
      </c>
      <c r="V30" s="15">
        <v>0</v>
      </c>
      <c r="W30" s="15">
        <v>0</v>
      </c>
      <c r="X30" s="2" t="s">
        <v>305</v>
      </c>
      <c r="AA30" s="16" t="str">
        <f t="shared" si="0"/>
        <v>40T아이(100)x3,,</v>
      </c>
    </row>
    <row r="31" spans="1:27" ht="20.25" customHeight="1" x14ac:dyDescent="0.3">
      <c r="A31" s="2" t="s">
        <v>67</v>
      </c>
      <c r="B31" s="13" t="s">
        <v>306</v>
      </c>
      <c r="F31" s="15" t="s">
        <v>188</v>
      </c>
      <c r="H31" s="2" t="s">
        <v>187</v>
      </c>
      <c r="I31" s="2" t="s">
        <v>187</v>
      </c>
      <c r="J31" s="2" t="s">
        <v>263</v>
      </c>
      <c r="K31" s="2" t="s">
        <v>272</v>
      </c>
      <c r="L31" s="2" t="s">
        <v>264</v>
      </c>
      <c r="M31" s="2" t="s">
        <v>265</v>
      </c>
      <c r="N31" s="15">
        <v>1</v>
      </c>
      <c r="O31" s="15">
        <v>1</v>
      </c>
      <c r="P31" s="15">
        <v>1</v>
      </c>
      <c r="Q31" s="15">
        <v>1</v>
      </c>
      <c r="R31" s="2" t="s">
        <v>266</v>
      </c>
      <c r="S31" s="2">
        <v>12700</v>
      </c>
      <c r="T31" s="2" t="s">
        <v>267</v>
      </c>
      <c r="U31" s="2" t="s">
        <v>268</v>
      </c>
      <c r="V31" s="15">
        <v>0</v>
      </c>
      <c r="W31" s="15">
        <v>0</v>
      </c>
      <c r="X31" s="2" t="s">
        <v>300</v>
      </c>
      <c r="AA31" s="16" t="str">
        <f t="shared" si="0"/>
        <v>25T아이(100)x6,,</v>
      </c>
    </row>
    <row r="32" spans="1:27" ht="20.25" customHeight="1" x14ac:dyDescent="0.3">
      <c r="A32" s="2" t="s">
        <v>68</v>
      </c>
      <c r="B32" s="13" t="s">
        <v>306</v>
      </c>
      <c r="F32" s="15" t="s">
        <v>188</v>
      </c>
      <c r="H32" s="2" t="s">
        <v>187</v>
      </c>
      <c r="I32" s="2" t="s">
        <v>187</v>
      </c>
      <c r="J32" s="2" t="s">
        <v>263</v>
      </c>
      <c r="K32" s="2" t="s">
        <v>272</v>
      </c>
      <c r="L32" s="2" t="s">
        <v>264</v>
      </c>
      <c r="M32" s="2" t="s">
        <v>265</v>
      </c>
      <c r="N32" s="15">
        <v>1</v>
      </c>
      <c r="O32" s="15">
        <v>1</v>
      </c>
      <c r="P32" s="15">
        <v>1</v>
      </c>
      <c r="Q32" s="15">
        <v>1</v>
      </c>
      <c r="R32" s="2" t="s">
        <v>266</v>
      </c>
      <c r="S32" s="2">
        <v>12700</v>
      </c>
      <c r="T32" s="2" t="s">
        <v>267</v>
      </c>
      <c r="U32" s="2" t="s">
        <v>268</v>
      </c>
      <c r="V32" s="15">
        <v>0</v>
      </c>
      <c r="W32" s="15">
        <v>0</v>
      </c>
      <c r="X32" s="2" t="s">
        <v>300</v>
      </c>
      <c r="AA32" s="16" t="str">
        <f t="shared" si="0"/>
        <v>25T아이(100)x6,,</v>
      </c>
    </row>
    <row r="33" spans="1:27" ht="20.25" customHeight="1" x14ac:dyDescent="0.3">
      <c r="A33" s="2" t="s">
        <v>69</v>
      </c>
      <c r="B33" s="13" t="s">
        <v>306</v>
      </c>
      <c r="F33" s="15" t="s">
        <v>188</v>
      </c>
      <c r="H33" s="2" t="s">
        <v>187</v>
      </c>
      <c r="I33" s="2" t="s">
        <v>187</v>
      </c>
      <c r="J33" s="2" t="s">
        <v>263</v>
      </c>
      <c r="K33" s="2" t="s">
        <v>272</v>
      </c>
      <c r="L33" s="2" t="s">
        <v>264</v>
      </c>
      <c r="M33" s="2" t="s">
        <v>265</v>
      </c>
      <c r="N33" s="15">
        <v>1</v>
      </c>
      <c r="O33" s="15">
        <v>1</v>
      </c>
      <c r="P33" s="15">
        <v>1</v>
      </c>
      <c r="Q33" s="15">
        <v>1</v>
      </c>
      <c r="R33" s="2" t="s">
        <v>266</v>
      </c>
      <c r="S33" s="2">
        <v>12700</v>
      </c>
      <c r="T33" s="2" t="s">
        <v>267</v>
      </c>
      <c r="U33" s="2" t="s">
        <v>268</v>
      </c>
      <c r="V33" s="15">
        <v>0</v>
      </c>
      <c r="W33" s="15">
        <v>0</v>
      </c>
      <c r="X33" s="2" t="s">
        <v>300</v>
      </c>
      <c r="AA33" s="16" t="str">
        <f t="shared" si="0"/>
        <v>25T아이(100)x6,,</v>
      </c>
    </row>
    <row r="34" spans="1:27" ht="20.25" customHeight="1" x14ac:dyDescent="0.3">
      <c r="A34" s="2" t="s">
        <v>70</v>
      </c>
      <c r="B34" s="13" t="s">
        <v>307</v>
      </c>
      <c r="F34" s="15" t="s">
        <v>192</v>
      </c>
      <c r="H34" s="2" t="s">
        <v>191</v>
      </c>
      <c r="I34" s="2" t="s">
        <v>191</v>
      </c>
      <c r="J34" s="2" t="s">
        <v>263</v>
      </c>
      <c r="K34" s="2" t="s">
        <v>124</v>
      </c>
      <c r="L34" s="2" t="s">
        <v>264</v>
      </c>
      <c r="M34" s="2" t="s">
        <v>276</v>
      </c>
      <c r="N34" s="15">
        <v>1</v>
      </c>
      <c r="O34" s="15">
        <v>1</v>
      </c>
      <c r="P34" s="15">
        <v>1</v>
      </c>
      <c r="Q34" s="15">
        <v>1</v>
      </c>
      <c r="R34" s="2" t="s">
        <v>266</v>
      </c>
      <c r="S34" s="2">
        <v>15400</v>
      </c>
      <c r="T34" s="2" t="s">
        <v>267</v>
      </c>
      <c r="U34" s="2" t="s">
        <v>268</v>
      </c>
      <c r="V34" s="15">
        <v>0</v>
      </c>
      <c r="W34" s="15">
        <v>0</v>
      </c>
      <c r="X34" s="2" t="s">
        <v>308</v>
      </c>
      <c r="AA34" s="16" t="str">
        <f t="shared" si="0"/>
        <v>(140)17T퓨어아이4mx1,,</v>
      </c>
    </row>
    <row r="35" spans="1:27" ht="20.25" customHeight="1" x14ac:dyDescent="0.3">
      <c r="A35" s="2" t="s">
        <v>71</v>
      </c>
      <c r="B35" s="13" t="s">
        <v>307</v>
      </c>
      <c r="F35" s="15" t="s">
        <v>192</v>
      </c>
      <c r="H35" s="2" t="s">
        <v>191</v>
      </c>
      <c r="I35" s="2" t="s">
        <v>191</v>
      </c>
      <c r="J35" s="2" t="s">
        <v>263</v>
      </c>
      <c r="K35" s="2" t="s">
        <v>272</v>
      </c>
      <c r="L35" s="2" t="s">
        <v>264</v>
      </c>
      <c r="M35" s="2" t="s">
        <v>276</v>
      </c>
      <c r="N35" s="15">
        <v>1</v>
      </c>
      <c r="O35" s="15">
        <v>1</v>
      </c>
      <c r="P35" s="15">
        <v>1</v>
      </c>
      <c r="Q35" s="15">
        <v>1</v>
      </c>
      <c r="R35" s="2" t="s">
        <v>266</v>
      </c>
      <c r="S35" s="2">
        <v>15400</v>
      </c>
      <c r="T35" s="2" t="s">
        <v>267</v>
      </c>
      <c r="U35" s="2" t="s">
        <v>268</v>
      </c>
      <c r="V35" s="15">
        <v>0</v>
      </c>
      <c r="W35" s="15">
        <v>0</v>
      </c>
      <c r="X35" s="2" t="s">
        <v>309</v>
      </c>
      <c r="AA35" s="16" t="str">
        <f t="shared" si="0"/>
        <v>(140)17T퓨어아이2.5mx1,,</v>
      </c>
    </row>
    <row r="36" spans="1:27" ht="20.25" customHeight="1" x14ac:dyDescent="0.3">
      <c r="A36" s="2" t="s">
        <v>72</v>
      </c>
      <c r="B36" s="13" t="s">
        <v>307</v>
      </c>
      <c r="C36" s="30" t="s">
        <v>122</v>
      </c>
      <c r="F36" s="15" t="s">
        <v>192</v>
      </c>
      <c r="H36" s="2" t="s">
        <v>191</v>
      </c>
      <c r="I36" s="2" t="s">
        <v>191</v>
      </c>
      <c r="J36" s="2" t="s">
        <v>263</v>
      </c>
      <c r="K36" s="2" t="s">
        <v>272</v>
      </c>
      <c r="L36" s="2" t="s">
        <v>264</v>
      </c>
      <c r="M36" s="2" t="s">
        <v>265</v>
      </c>
      <c r="N36" s="15">
        <v>1</v>
      </c>
      <c r="O36" s="15">
        <v>1</v>
      </c>
      <c r="P36" s="15">
        <v>1</v>
      </c>
      <c r="Q36" s="15">
        <v>1</v>
      </c>
      <c r="R36" s="2" t="s">
        <v>266</v>
      </c>
      <c r="S36" s="2">
        <v>16700</v>
      </c>
      <c r="T36" s="2" t="s">
        <v>267</v>
      </c>
      <c r="U36" s="2" t="s">
        <v>268</v>
      </c>
      <c r="V36" s="15">
        <v>0</v>
      </c>
      <c r="W36" s="15">
        <v>0</v>
      </c>
      <c r="X36" s="2" t="s">
        <v>310</v>
      </c>
      <c r="AA36" s="16" t="str">
        <f t="shared" si="0"/>
        <v>(120)17T퓨어아이8mx1,,</v>
      </c>
    </row>
    <row r="37" spans="1:27" ht="20.25" customHeight="1" x14ac:dyDescent="0.3">
      <c r="A37" s="2" t="s">
        <v>73</v>
      </c>
      <c r="B37" s="13" t="s">
        <v>311</v>
      </c>
      <c r="F37" s="15" t="s">
        <v>198</v>
      </c>
      <c r="H37" s="2" t="s">
        <v>197</v>
      </c>
      <c r="I37" s="2" t="s">
        <v>197</v>
      </c>
      <c r="J37" s="2" t="s">
        <v>263</v>
      </c>
      <c r="K37" s="2" t="s">
        <v>272</v>
      </c>
      <c r="L37" s="2" t="s">
        <v>264</v>
      </c>
      <c r="M37" s="2" t="s">
        <v>265</v>
      </c>
      <c r="N37" s="15">
        <v>1</v>
      </c>
      <c r="O37" s="15">
        <v>1</v>
      </c>
      <c r="P37" s="15">
        <v>1</v>
      </c>
      <c r="Q37" s="15">
        <v>1</v>
      </c>
      <c r="R37" s="2" t="s">
        <v>266</v>
      </c>
      <c r="S37" s="2">
        <v>6900</v>
      </c>
      <c r="T37" s="2" t="s">
        <v>267</v>
      </c>
      <c r="U37" s="2" t="s">
        <v>268</v>
      </c>
      <c r="V37" s="15">
        <v>0</v>
      </c>
      <c r="W37" s="15">
        <v>0</v>
      </c>
      <c r="X37" s="2" t="s">
        <v>312</v>
      </c>
      <c r="AA37" s="16" t="str">
        <f t="shared" si="0"/>
        <v>25T그레이(100)x3,,</v>
      </c>
    </row>
    <row r="38" spans="1:27" ht="20.25" customHeight="1" x14ac:dyDescent="0.3">
      <c r="A38" s="2" t="s">
        <v>75</v>
      </c>
      <c r="B38" s="13" t="s">
        <v>313</v>
      </c>
      <c r="C38" s="30" t="s">
        <v>200</v>
      </c>
      <c r="F38" s="15" t="s">
        <v>202</v>
      </c>
      <c r="H38" s="2" t="s">
        <v>201</v>
      </c>
      <c r="I38" s="2" t="s">
        <v>201</v>
      </c>
      <c r="J38" s="2" t="s">
        <v>263</v>
      </c>
      <c r="K38" s="2" t="s">
        <v>272</v>
      </c>
      <c r="L38" s="2" t="s">
        <v>264</v>
      </c>
      <c r="M38" s="2" t="s">
        <v>276</v>
      </c>
      <c r="N38" s="15">
        <v>1</v>
      </c>
      <c r="O38" s="15">
        <v>1</v>
      </c>
      <c r="P38" s="15">
        <v>1</v>
      </c>
      <c r="Q38" s="15">
        <v>1</v>
      </c>
      <c r="R38" s="2" t="s">
        <v>266</v>
      </c>
      <c r="S38" s="2">
        <v>13800</v>
      </c>
      <c r="T38" s="2" t="s">
        <v>267</v>
      </c>
      <c r="U38" s="2" t="s">
        <v>268</v>
      </c>
      <c r="V38" s="15">
        <v>0</v>
      </c>
      <c r="W38" s="15">
        <v>0</v>
      </c>
      <c r="X38" s="2" t="s">
        <v>314</v>
      </c>
      <c r="AA38" s="16" t="str">
        <f t="shared" si="0"/>
        <v>(120)22T퓨어아이2.5mx1,,</v>
      </c>
    </row>
    <row r="39" spans="1:27" ht="20.25" customHeight="1" x14ac:dyDescent="0.3">
      <c r="A39" s="2" t="s">
        <v>74</v>
      </c>
      <c r="B39" s="13" t="s">
        <v>313</v>
      </c>
      <c r="C39" s="30" t="s">
        <v>200</v>
      </c>
      <c r="F39" s="15" t="s">
        <v>202</v>
      </c>
      <c r="H39" s="2" t="s">
        <v>201</v>
      </c>
      <c r="I39" s="2" t="s">
        <v>201</v>
      </c>
      <c r="J39" s="2" t="s">
        <v>263</v>
      </c>
      <c r="K39" s="2" t="s">
        <v>114</v>
      </c>
      <c r="L39" s="2" t="s">
        <v>264</v>
      </c>
      <c r="M39" s="2" t="s">
        <v>276</v>
      </c>
      <c r="N39" s="15">
        <v>1</v>
      </c>
      <c r="O39" s="15">
        <v>1</v>
      </c>
      <c r="P39" s="15">
        <v>1</v>
      </c>
      <c r="Q39" s="15">
        <v>1</v>
      </c>
      <c r="R39" s="2" t="s">
        <v>266</v>
      </c>
      <c r="S39" s="2">
        <v>12100</v>
      </c>
      <c r="T39" s="2" t="s">
        <v>267</v>
      </c>
      <c r="U39" s="2" t="s">
        <v>268</v>
      </c>
      <c r="V39" s="15">
        <v>0</v>
      </c>
      <c r="W39" s="15">
        <v>0</v>
      </c>
      <c r="X39" s="2" t="s">
        <v>315</v>
      </c>
      <c r="AA39" s="16" t="str">
        <f t="shared" si="0"/>
        <v>(110)22T퓨어아이2.5mx1,,</v>
      </c>
    </row>
    <row r="40" spans="1:27" ht="20.25" customHeight="1" x14ac:dyDescent="0.3">
      <c r="A40" s="2" t="s">
        <v>76</v>
      </c>
      <c r="B40" s="13" t="s">
        <v>316</v>
      </c>
      <c r="F40" s="15" t="s">
        <v>208</v>
      </c>
      <c r="H40" s="2" t="s">
        <v>207</v>
      </c>
      <c r="I40" s="2" t="s">
        <v>207</v>
      </c>
      <c r="J40" s="2" t="s">
        <v>263</v>
      </c>
      <c r="K40" s="2" t="s">
        <v>272</v>
      </c>
      <c r="L40" s="2" t="s">
        <v>264</v>
      </c>
      <c r="M40" s="2" t="s">
        <v>265</v>
      </c>
      <c r="N40" s="15">
        <v>1</v>
      </c>
      <c r="O40" s="15">
        <v>1</v>
      </c>
      <c r="P40" s="15">
        <v>1</v>
      </c>
      <c r="Q40" s="15">
        <v>1</v>
      </c>
      <c r="R40" s="2" t="s">
        <v>266</v>
      </c>
      <c r="S40" s="2">
        <v>12700</v>
      </c>
      <c r="T40" s="2" t="s">
        <v>267</v>
      </c>
      <c r="U40" s="2" t="s">
        <v>268</v>
      </c>
      <c r="V40" s="15">
        <v>0</v>
      </c>
      <c r="W40" s="15">
        <v>0</v>
      </c>
      <c r="X40" s="2" t="s">
        <v>206</v>
      </c>
      <c r="AA40" s="16" t="str">
        <f t="shared" si="0"/>
        <v>플러스♥25T크림그레이(50)x6,,</v>
      </c>
    </row>
    <row r="41" spans="1:27" ht="20.25" customHeight="1" x14ac:dyDescent="0.3">
      <c r="A41" s="2" t="s">
        <v>77</v>
      </c>
      <c r="B41" s="13" t="s">
        <v>316</v>
      </c>
      <c r="F41" s="15" t="s">
        <v>208</v>
      </c>
      <c r="H41" s="2" t="s">
        <v>207</v>
      </c>
      <c r="I41" s="2" t="s">
        <v>207</v>
      </c>
      <c r="J41" s="2" t="s">
        <v>263</v>
      </c>
      <c r="K41" s="2" t="s">
        <v>272</v>
      </c>
      <c r="L41" s="2" t="s">
        <v>264</v>
      </c>
      <c r="M41" s="2" t="s">
        <v>265</v>
      </c>
      <c r="N41" s="15">
        <v>1</v>
      </c>
      <c r="O41" s="15">
        <v>1</v>
      </c>
      <c r="P41" s="15">
        <v>1</v>
      </c>
      <c r="Q41" s="15">
        <v>1</v>
      </c>
      <c r="R41" s="2" t="s">
        <v>266</v>
      </c>
      <c r="S41" s="2">
        <v>12700</v>
      </c>
      <c r="T41" s="2" t="s">
        <v>267</v>
      </c>
      <c r="U41" s="2" t="s">
        <v>268</v>
      </c>
      <c r="V41" s="15">
        <v>0</v>
      </c>
      <c r="W41" s="15">
        <v>0</v>
      </c>
      <c r="X41" s="2" t="s">
        <v>210</v>
      </c>
      <c r="Y41" s="2" t="s">
        <v>211</v>
      </c>
      <c r="AA41" s="16" t="str">
        <f t="shared" si="0"/>
        <v>플러스♥25T크림그레이(50)x4,플러스♥25T크림그레이(100)x2,</v>
      </c>
    </row>
    <row r="42" spans="1:27" ht="20.25" customHeight="1" x14ac:dyDescent="0.3">
      <c r="A42" s="2" t="s">
        <v>78</v>
      </c>
      <c r="B42" s="13" t="s">
        <v>316</v>
      </c>
      <c r="F42" s="15" t="s">
        <v>208</v>
      </c>
      <c r="H42" s="2" t="s">
        <v>207</v>
      </c>
      <c r="I42" s="2" t="s">
        <v>207</v>
      </c>
      <c r="J42" s="2" t="s">
        <v>263</v>
      </c>
      <c r="K42" s="2" t="s">
        <v>272</v>
      </c>
      <c r="L42" s="2" t="s">
        <v>264</v>
      </c>
      <c r="M42" s="2" t="s">
        <v>265</v>
      </c>
      <c r="N42" s="15">
        <v>1</v>
      </c>
      <c r="O42" s="15">
        <v>1</v>
      </c>
      <c r="P42" s="15">
        <v>1</v>
      </c>
      <c r="Q42" s="15">
        <v>1</v>
      </c>
      <c r="R42" s="2" t="s">
        <v>266</v>
      </c>
      <c r="S42" s="2">
        <v>12700</v>
      </c>
      <c r="T42" s="2" t="s">
        <v>267</v>
      </c>
      <c r="U42" s="2" t="s">
        <v>268</v>
      </c>
      <c r="V42" s="15">
        <v>0</v>
      </c>
      <c r="W42" s="15">
        <v>0</v>
      </c>
      <c r="X42" s="2" t="s">
        <v>212</v>
      </c>
      <c r="AA42" s="16" t="str">
        <f t="shared" si="0"/>
        <v>플러스♥25T크림그레이(100)x6,,</v>
      </c>
    </row>
    <row r="43" spans="1:27" ht="20.25" customHeight="1" x14ac:dyDescent="0.3">
      <c r="A43" s="2" t="s">
        <v>79</v>
      </c>
      <c r="B43" s="13" t="s">
        <v>316</v>
      </c>
      <c r="F43" s="15" t="s">
        <v>208</v>
      </c>
      <c r="H43" s="2" t="s">
        <v>207</v>
      </c>
      <c r="I43" s="2" t="s">
        <v>207</v>
      </c>
      <c r="J43" s="2" t="s">
        <v>263</v>
      </c>
      <c r="K43" s="2" t="s">
        <v>272</v>
      </c>
      <c r="L43" s="2" t="s">
        <v>264</v>
      </c>
      <c r="M43" s="2" t="s">
        <v>265</v>
      </c>
      <c r="N43" s="15">
        <v>1</v>
      </c>
      <c r="O43" s="15">
        <v>1</v>
      </c>
      <c r="P43" s="15">
        <v>1</v>
      </c>
      <c r="Q43" s="15">
        <v>1</v>
      </c>
      <c r="R43" s="2" t="s">
        <v>266</v>
      </c>
      <c r="S43" s="2">
        <v>12700</v>
      </c>
      <c r="T43" s="2" t="s">
        <v>267</v>
      </c>
      <c r="U43" s="2" t="s">
        <v>268</v>
      </c>
      <c r="V43" s="15">
        <v>0</v>
      </c>
      <c r="W43" s="15">
        <v>0</v>
      </c>
      <c r="X43" s="2" t="s">
        <v>212</v>
      </c>
      <c r="AA43" s="16" t="str">
        <f t="shared" si="0"/>
        <v>플러스♥25T크림그레이(100)x6,,</v>
      </c>
    </row>
    <row r="44" spans="1:27" ht="20.25" customHeight="1" x14ac:dyDescent="0.3">
      <c r="A44" s="2" t="s">
        <v>80</v>
      </c>
      <c r="B44" s="13" t="s">
        <v>316</v>
      </c>
      <c r="F44" s="15" t="s">
        <v>208</v>
      </c>
      <c r="H44" s="2" t="s">
        <v>207</v>
      </c>
      <c r="I44" s="2" t="s">
        <v>207</v>
      </c>
      <c r="J44" s="2" t="s">
        <v>263</v>
      </c>
      <c r="K44" s="2" t="s">
        <v>272</v>
      </c>
      <c r="L44" s="2" t="s">
        <v>264</v>
      </c>
      <c r="M44" s="2" t="s">
        <v>265</v>
      </c>
      <c r="N44" s="15">
        <v>1</v>
      </c>
      <c r="O44" s="15">
        <v>1</v>
      </c>
      <c r="P44" s="15">
        <v>1</v>
      </c>
      <c r="Q44" s="15">
        <v>1</v>
      </c>
      <c r="R44" s="2" t="s">
        <v>266</v>
      </c>
      <c r="S44" s="2">
        <v>12700</v>
      </c>
      <c r="T44" s="2" t="s">
        <v>267</v>
      </c>
      <c r="U44" s="2" t="s">
        <v>268</v>
      </c>
      <c r="V44" s="15">
        <v>0</v>
      </c>
      <c r="W44" s="15">
        <v>0</v>
      </c>
      <c r="X44" s="2" t="s">
        <v>212</v>
      </c>
      <c r="AA44" s="16" t="str">
        <f t="shared" si="0"/>
        <v>플러스♥25T크림그레이(100)x6,,</v>
      </c>
    </row>
    <row r="45" spans="1:27" ht="20.25" customHeight="1" x14ac:dyDescent="0.3">
      <c r="A45" s="2" t="s">
        <v>81</v>
      </c>
      <c r="B45" s="13" t="s">
        <v>317</v>
      </c>
      <c r="F45" s="15" t="s">
        <v>215</v>
      </c>
      <c r="H45" s="2" t="s">
        <v>214</v>
      </c>
      <c r="I45" s="2" t="s">
        <v>214</v>
      </c>
      <c r="J45" s="2" t="s">
        <v>263</v>
      </c>
      <c r="K45" s="2" t="s">
        <v>272</v>
      </c>
      <c r="L45" s="2" t="s">
        <v>264</v>
      </c>
      <c r="M45" s="2" t="s">
        <v>276</v>
      </c>
      <c r="N45" s="15">
        <v>1</v>
      </c>
      <c r="O45" s="15">
        <v>1</v>
      </c>
      <c r="P45" s="15">
        <v>1</v>
      </c>
      <c r="Q45" s="15">
        <v>1</v>
      </c>
      <c r="R45" s="2" t="s">
        <v>266</v>
      </c>
      <c r="S45" s="2">
        <v>13800</v>
      </c>
      <c r="T45" s="2" t="s">
        <v>267</v>
      </c>
      <c r="U45" s="2" t="s">
        <v>268</v>
      </c>
      <c r="V45" s="15">
        <v>0</v>
      </c>
      <c r="W45" s="15">
        <v>0</v>
      </c>
      <c r="X45" s="2" t="s">
        <v>318</v>
      </c>
      <c r="AA45" s="16" t="str">
        <f t="shared" si="0"/>
        <v>(120)17T마블5mx1,,</v>
      </c>
    </row>
    <row r="46" spans="1:27" ht="20.25" customHeight="1" x14ac:dyDescent="0.3">
      <c r="A46" s="2" t="s">
        <v>82</v>
      </c>
      <c r="B46" s="13" t="s">
        <v>317</v>
      </c>
      <c r="F46" s="15" t="s">
        <v>215</v>
      </c>
      <c r="H46" s="2" t="s">
        <v>214</v>
      </c>
      <c r="I46" s="2" t="s">
        <v>214</v>
      </c>
      <c r="J46" s="2" t="s">
        <v>263</v>
      </c>
      <c r="K46" s="2" t="s">
        <v>217</v>
      </c>
      <c r="L46" s="2" t="s">
        <v>264</v>
      </c>
      <c r="M46" s="2" t="s">
        <v>276</v>
      </c>
      <c r="N46" s="15">
        <v>1</v>
      </c>
      <c r="O46" s="15">
        <v>1</v>
      </c>
      <c r="P46" s="15">
        <v>1</v>
      </c>
      <c r="Q46" s="15">
        <v>1</v>
      </c>
      <c r="R46" s="2" t="s">
        <v>266</v>
      </c>
      <c r="S46" s="2">
        <v>13800</v>
      </c>
      <c r="T46" s="2" t="s">
        <v>267</v>
      </c>
      <c r="U46" s="2" t="s">
        <v>268</v>
      </c>
      <c r="V46" s="15">
        <v>0</v>
      </c>
      <c r="W46" s="15">
        <v>0</v>
      </c>
      <c r="X46" s="2" t="s">
        <v>318</v>
      </c>
      <c r="AA46" s="16" t="str">
        <f t="shared" si="0"/>
        <v>(120)17T마블5mx1,,</v>
      </c>
    </row>
    <row r="47" spans="1:27" ht="20.25" customHeight="1" x14ac:dyDescent="0.3">
      <c r="A47" s="2" t="s">
        <v>83</v>
      </c>
      <c r="B47" s="13" t="s">
        <v>319</v>
      </c>
      <c r="F47" s="15" t="s">
        <v>220</v>
      </c>
      <c r="H47" s="2" t="s">
        <v>219</v>
      </c>
      <c r="I47" s="2" t="s">
        <v>219</v>
      </c>
      <c r="J47" s="2" t="s">
        <v>263</v>
      </c>
      <c r="K47" s="2" t="s">
        <v>272</v>
      </c>
      <c r="L47" s="2" t="s">
        <v>264</v>
      </c>
      <c r="M47" s="2" t="s">
        <v>265</v>
      </c>
      <c r="N47" s="15">
        <v>1</v>
      </c>
      <c r="O47" s="15">
        <v>1</v>
      </c>
      <c r="P47" s="15">
        <v>1</v>
      </c>
      <c r="Q47" s="15">
        <v>1</v>
      </c>
      <c r="R47" s="2" t="s">
        <v>266</v>
      </c>
      <c r="S47" s="2">
        <v>6900</v>
      </c>
      <c r="T47" s="2" t="s">
        <v>267</v>
      </c>
      <c r="U47" s="2" t="s">
        <v>268</v>
      </c>
      <c r="V47" s="15">
        <v>0</v>
      </c>
      <c r="W47" s="15">
        <v>0</v>
      </c>
      <c r="X47" s="2" t="s">
        <v>320</v>
      </c>
      <c r="Y47" s="2" t="s">
        <v>321</v>
      </c>
      <c r="AA47" s="16" t="str">
        <f t="shared" si="0"/>
        <v>25T아이(100)x2,25T아이(50)x1,</v>
      </c>
    </row>
    <row r="48" spans="1:27" ht="20.25" customHeight="1" x14ac:dyDescent="0.3">
      <c r="A48" s="2" t="s">
        <v>84</v>
      </c>
      <c r="B48" s="13" t="s">
        <v>322</v>
      </c>
      <c r="C48" s="30" t="s">
        <v>122</v>
      </c>
      <c r="F48" s="15" t="s">
        <v>225</v>
      </c>
      <c r="H48" s="2" t="s">
        <v>224</v>
      </c>
      <c r="I48" s="2" t="s">
        <v>224</v>
      </c>
      <c r="J48" s="2" t="s">
        <v>263</v>
      </c>
      <c r="K48" s="2" t="s">
        <v>101</v>
      </c>
      <c r="L48" s="2" t="s">
        <v>264</v>
      </c>
      <c r="M48" s="2" t="s">
        <v>265</v>
      </c>
      <c r="N48" s="15">
        <v>1</v>
      </c>
      <c r="O48" s="15">
        <v>1</v>
      </c>
      <c r="P48" s="15">
        <v>1</v>
      </c>
      <c r="Q48" s="15">
        <v>1</v>
      </c>
      <c r="R48" s="2" t="s">
        <v>266</v>
      </c>
      <c r="S48" s="2">
        <v>18700</v>
      </c>
      <c r="T48" s="2" t="s">
        <v>267</v>
      </c>
      <c r="U48" s="2" t="s">
        <v>268</v>
      </c>
      <c r="V48" s="15">
        <v>0</v>
      </c>
      <c r="W48" s="15">
        <v>0</v>
      </c>
      <c r="X48" s="2" t="s">
        <v>323</v>
      </c>
      <c r="AA48" s="16" t="str">
        <f t="shared" si="0"/>
        <v>(140)17T퓨어아이7mx1,,</v>
      </c>
    </row>
    <row r="49" spans="1:27" ht="20.25" customHeight="1" x14ac:dyDescent="0.3">
      <c r="A49" s="2" t="s">
        <v>85</v>
      </c>
      <c r="B49" s="13" t="s">
        <v>324</v>
      </c>
      <c r="F49" s="15" t="s">
        <v>228</v>
      </c>
      <c r="H49" s="2" t="s">
        <v>227</v>
      </c>
      <c r="I49" s="2" t="s">
        <v>227</v>
      </c>
      <c r="J49" s="2" t="s">
        <v>263</v>
      </c>
      <c r="K49" s="2" t="s">
        <v>337</v>
      </c>
      <c r="L49" s="2" t="s">
        <v>264</v>
      </c>
      <c r="M49" s="2" t="s">
        <v>276</v>
      </c>
      <c r="N49" s="15">
        <v>1</v>
      </c>
      <c r="O49" s="15">
        <v>1</v>
      </c>
      <c r="P49" s="15">
        <v>1</v>
      </c>
      <c r="Q49" s="15">
        <v>1</v>
      </c>
      <c r="R49" s="2" t="s">
        <v>266</v>
      </c>
      <c r="S49" s="2">
        <v>13800</v>
      </c>
      <c r="T49" s="2" t="s">
        <v>267</v>
      </c>
      <c r="U49" s="2" t="s">
        <v>268</v>
      </c>
      <c r="V49" s="15">
        <v>0</v>
      </c>
      <c r="W49" s="15">
        <v>0</v>
      </c>
      <c r="X49" s="2" t="s">
        <v>325</v>
      </c>
      <c r="AA49" s="16" t="str">
        <f t="shared" si="0"/>
        <v>(120)17T퓨어아이4.5mx1,,</v>
      </c>
    </row>
    <row r="50" spans="1:27" ht="20.25" customHeight="1" x14ac:dyDescent="0.3">
      <c r="A50" s="2" t="s">
        <v>86</v>
      </c>
      <c r="B50" s="13" t="s">
        <v>324</v>
      </c>
      <c r="F50" s="15" t="s">
        <v>228</v>
      </c>
      <c r="H50" s="2" t="s">
        <v>227</v>
      </c>
      <c r="I50" s="2" t="s">
        <v>227</v>
      </c>
      <c r="J50" s="2" t="s">
        <v>263</v>
      </c>
      <c r="K50" s="2" t="s">
        <v>272</v>
      </c>
      <c r="L50" s="2" t="s">
        <v>264</v>
      </c>
      <c r="M50" s="2" t="s">
        <v>276</v>
      </c>
      <c r="N50" s="15">
        <v>1</v>
      </c>
      <c r="O50" s="15">
        <v>1</v>
      </c>
      <c r="P50" s="15">
        <v>1</v>
      </c>
      <c r="Q50" s="15">
        <v>1</v>
      </c>
      <c r="R50" s="2" t="s">
        <v>266</v>
      </c>
      <c r="S50" s="2">
        <v>13800</v>
      </c>
      <c r="T50" s="2" t="s">
        <v>267</v>
      </c>
      <c r="U50" s="2" t="s">
        <v>268</v>
      </c>
      <c r="V50" s="15">
        <v>0</v>
      </c>
      <c r="W50" s="15">
        <v>0</v>
      </c>
      <c r="X50" s="2" t="s">
        <v>325</v>
      </c>
      <c r="AA50" s="16" t="str">
        <f t="shared" si="0"/>
        <v>(120)17T퓨어아이4.5mx1,,</v>
      </c>
    </row>
    <row r="51" spans="1:27" ht="20.25" customHeight="1" x14ac:dyDescent="0.3">
      <c r="A51" s="2" t="s">
        <v>87</v>
      </c>
      <c r="B51" s="13" t="s">
        <v>324</v>
      </c>
      <c r="F51" s="15" t="s">
        <v>228</v>
      </c>
      <c r="H51" s="2" t="s">
        <v>227</v>
      </c>
      <c r="I51" s="2" t="s">
        <v>227</v>
      </c>
      <c r="J51" s="2" t="s">
        <v>263</v>
      </c>
      <c r="K51" s="2" t="s">
        <v>272</v>
      </c>
      <c r="L51" s="2" t="s">
        <v>264</v>
      </c>
      <c r="M51" s="2" t="s">
        <v>276</v>
      </c>
      <c r="N51" s="15">
        <v>1</v>
      </c>
      <c r="O51" s="15">
        <v>1</v>
      </c>
      <c r="P51" s="15">
        <v>1</v>
      </c>
      <c r="Q51" s="15">
        <v>1</v>
      </c>
      <c r="R51" s="2" t="s">
        <v>266</v>
      </c>
      <c r="S51" s="2">
        <v>13800</v>
      </c>
      <c r="T51" s="2" t="s">
        <v>267</v>
      </c>
      <c r="U51" s="2" t="s">
        <v>268</v>
      </c>
      <c r="V51" s="15">
        <v>0</v>
      </c>
      <c r="W51" s="15">
        <v>0</v>
      </c>
      <c r="X51" s="2" t="s">
        <v>325</v>
      </c>
      <c r="AA51" s="16" t="str">
        <f t="shared" si="0"/>
        <v>(120)17T퓨어아이4.5mx1,,</v>
      </c>
    </row>
    <row r="52" spans="1:27" ht="20.25" customHeight="1" x14ac:dyDescent="0.3">
      <c r="A52" s="2" t="s">
        <v>88</v>
      </c>
      <c r="B52" s="13" t="s">
        <v>326</v>
      </c>
      <c r="F52" s="15" t="s">
        <v>232</v>
      </c>
      <c r="H52" s="2" t="s">
        <v>231</v>
      </c>
      <c r="I52" s="2" t="s">
        <v>231</v>
      </c>
      <c r="J52" s="2" t="s">
        <v>263</v>
      </c>
      <c r="K52" s="2" t="s">
        <v>272</v>
      </c>
      <c r="L52" s="2" t="s">
        <v>264</v>
      </c>
      <c r="M52" s="2" t="s">
        <v>265</v>
      </c>
      <c r="N52" s="15">
        <v>1</v>
      </c>
      <c r="O52" s="15">
        <v>1</v>
      </c>
      <c r="P52" s="15">
        <v>1</v>
      </c>
      <c r="Q52" s="15">
        <v>1</v>
      </c>
      <c r="R52" s="2" t="s">
        <v>266</v>
      </c>
      <c r="S52" s="2">
        <v>10700</v>
      </c>
      <c r="T52" s="2" t="s">
        <v>267</v>
      </c>
      <c r="U52" s="2" t="s">
        <v>268</v>
      </c>
      <c r="V52" s="15">
        <v>0</v>
      </c>
      <c r="W52" s="15">
        <v>0</v>
      </c>
      <c r="X52" s="2" t="s">
        <v>290</v>
      </c>
      <c r="AA52" s="16" t="str">
        <f t="shared" si="0"/>
        <v>25T아이(100)x5,,</v>
      </c>
    </row>
    <row r="53" spans="1:27" ht="20.25" customHeight="1" x14ac:dyDescent="0.3">
      <c r="A53" s="2" t="s">
        <v>89</v>
      </c>
      <c r="B53" s="13" t="s">
        <v>327</v>
      </c>
      <c r="F53" s="15" t="s">
        <v>237</v>
      </c>
      <c r="H53" s="2" t="s">
        <v>235</v>
      </c>
      <c r="I53" s="2" t="s">
        <v>236</v>
      </c>
      <c r="J53" s="2" t="s">
        <v>263</v>
      </c>
      <c r="K53" s="2" t="s">
        <v>272</v>
      </c>
      <c r="L53" s="2" t="s">
        <v>264</v>
      </c>
      <c r="M53" s="2" t="s">
        <v>265</v>
      </c>
      <c r="N53" s="15">
        <v>1</v>
      </c>
      <c r="O53" s="15">
        <v>1</v>
      </c>
      <c r="P53" s="15">
        <v>1</v>
      </c>
      <c r="Q53" s="15">
        <v>1</v>
      </c>
      <c r="R53" s="2" t="s">
        <v>266</v>
      </c>
      <c r="S53" s="2">
        <v>14000</v>
      </c>
      <c r="T53" s="2" t="s">
        <v>267</v>
      </c>
      <c r="U53" s="2" t="s">
        <v>268</v>
      </c>
      <c r="V53" s="15">
        <v>0</v>
      </c>
      <c r="W53" s="15">
        <v>0</v>
      </c>
      <c r="X53" s="2" t="s">
        <v>328</v>
      </c>
      <c r="AA53" s="16" t="str">
        <f t="shared" si="0"/>
        <v>40T아이(100)x4,,</v>
      </c>
    </row>
    <row r="54" spans="1:27" ht="20.25" customHeight="1" x14ac:dyDescent="0.3">
      <c r="A54" s="2" t="s">
        <v>90</v>
      </c>
      <c r="B54" s="13" t="s">
        <v>327</v>
      </c>
      <c r="F54" s="15" t="s">
        <v>237</v>
      </c>
      <c r="H54" s="2" t="s">
        <v>235</v>
      </c>
      <c r="I54" s="2" t="s">
        <v>236</v>
      </c>
      <c r="J54" s="2" t="s">
        <v>263</v>
      </c>
      <c r="K54" s="2" t="s">
        <v>272</v>
      </c>
      <c r="L54" s="2" t="s">
        <v>264</v>
      </c>
      <c r="M54" s="2" t="s">
        <v>265</v>
      </c>
      <c r="N54" s="15">
        <v>1</v>
      </c>
      <c r="O54" s="15">
        <v>1</v>
      </c>
      <c r="P54" s="15">
        <v>1</v>
      </c>
      <c r="Q54" s="15">
        <v>1</v>
      </c>
      <c r="R54" s="2" t="s">
        <v>266</v>
      </c>
      <c r="S54" s="2">
        <v>14000</v>
      </c>
      <c r="T54" s="2" t="s">
        <v>267</v>
      </c>
      <c r="U54" s="2" t="s">
        <v>268</v>
      </c>
      <c r="V54" s="15">
        <v>0</v>
      </c>
      <c r="W54" s="15">
        <v>0</v>
      </c>
      <c r="X54" s="2" t="s">
        <v>328</v>
      </c>
      <c r="AA54" s="16" t="str">
        <f t="shared" si="0"/>
        <v>40T아이(100)x4,,</v>
      </c>
    </row>
    <row r="55" spans="1:27" ht="20.25" customHeight="1" x14ac:dyDescent="0.3">
      <c r="A55" s="2" t="s">
        <v>91</v>
      </c>
      <c r="B55" s="13" t="s">
        <v>327</v>
      </c>
      <c r="F55" s="15" t="s">
        <v>237</v>
      </c>
      <c r="H55" s="2" t="s">
        <v>235</v>
      </c>
      <c r="I55" s="2" t="s">
        <v>236</v>
      </c>
      <c r="J55" s="2" t="s">
        <v>263</v>
      </c>
      <c r="K55" s="2" t="s">
        <v>272</v>
      </c>
      <c r="L55" s="2" t="s">
        <v>264</v>
      </c>
      <c r="M55" s="2" t="s">
        <v>265</v>
      </c>
      <c r="N55" s="15">
        <v>1</v>
      </c>
      <c r="O55" s="15">
        <v>1</v>
      </c>
      <c r="P55" s="15">
        <v>1</v>
      </c>
      <c r="Q55" s="15">
        <v>1</v>
      </c>
      <c r="R55" s="2" t="s">
        <v>266</v>
      </c>
      <c r="S55" s="2">
        <v>14000</v>
      </c>
      <c r="T55" s="2" t="s">
        <v>267</v>
      </c>
      <c r="U55" s="2" t="s">
        <v>268</v>
      </c>
      <c r="V55" s="15">
        <v>0</v>
      </c>
      <c r="W55" s="15">
        <v>0</v>
      </c>
      <c r="X55" s="2" t="s">
        <v>328</v>
      </c>
      <c r="AA55" s="16" t="str">
        <f t="shared" si="0"/>
        <v>40T아이(100)x4,,</v>
      </c>
    </row>
    <row r="56" spans="1:27" ht="20.25" customHeight="1" x14ac:dyDescent="0.3">
      <c r="A56" s="2" t="s">
        <v>92</v>
      </c>
      <c r="B56" s="13" t="s">
        <v>327</v>
      </c>
      <c r="F56" s="15" t="s">
        <v>237</v>
      </c>
      <c r="H56" s="2" t="s">
        <v>235</v>
      </c>
      <c r="I56" s="2" t="s">
        <v>236</v>
      </c>
      <c r="J56" s="2" t="s">
        <v>263</v>
      </c>
      <c r="K56" s="2" t="s">
        <v>272</v>
      </c>
      <c r="L56" s="2" t="s">
        <v>264</v>
      </c>
      <c r="M56" s="2" t="s">
        <v>265</v>
      </c>
      <c r="N56" s="15">
        <v>1</v>
      </c>
      <c r="O56" s="15">
        <v>1</v>
      </c>
      <c r="P56" s="15">
        <v>1</v>
      </c>
      <c r="Q56" s="15">
        <v>1</v>
      </c>
      <c r="R56" s="2" t="s">
        <v>266</v>
      </c>
      <c r="S56" s="2">
        <v>14000</v>
      </c>
      <c r="T56" s="2" t="s">
        <v>267</v>
      </c>
      <c r="U56" s="2" t="s">
        <v>268</v>
      </c>
      <c r="V56" s="15">
        <v>0</v>
      </c>
      <c r="W56" s="15">
        <v>0</v>
      </c>
      <c r="X56" s="2" t="s">
        <v>328</v>
      </c>
      <c r="AA56" s="16" t="str">
        <f t="shared" si="0"/>
        <v>40T아이(100)x4,,</v>
      </c>
    </row>
    <row r="57" spans="1:27" ht="20.25" customHeight="1" x14ac:dyDescent="0.3">
      <c r="A57" s="2" t="s">
        <v>93</v>
      </c>
      <c r="B57" s="13" t="s">
        <v>327</v>
      </c>
      <c r="F57" s="15" t="s">
        <v>237</v>
      </c>
      <c r="H57" s="2" t="s">
        <v>235</v>
      </c>
      <c r="I57" s="2" t="s">
        <v>236</v>
      </c>
      <c r="J57" s="2" t="s">
        <v>263</v>
      </c>
      <c r="K57" s="2" t="s">
        <v>272</v>
      </c>
      <c r="L57" s="2" t="s">
        <v>264</v>
      </c>
      <c r="M57" s="2" t="s">
        <v>265</v>
      </c>
      <c r="N57" s="15">
        <v>1</v>
      </c>
      <c r="O57" s="15">
        <v>1</v>
      </c>
      <c r="P57" s="15">
        <v>1</v>
      </c>
      <c r="Q57" s="15">
        <v>1</v>
      </c>
      <c r="R57" s="2" t="s">
        <v>266</v>
      </c>
      <c r="S57" s="2">
        <v>10700</v>
      </c>
      <c r="T57" s="2" t="s">
        <v>267</v>
      </c>
      <c r="U57" s="2" t="s">
        <v>268</v>
      </c>
      <c r="V57" s="15">
        <v>0</v>
      </c>
      <c r="W57" s="15">
        <v>0</v>
      </c>
      <c r="X57" s="2" t="s">
        <v>329</v>
      </c>
      <c r="Y57" s="2" t="s">
        <v>330</v>
      </c>
      <c r="AA57" s="16" t="str">
        <f t="shared" si="0"/>
        <v>40T아이(100)x2,40T아이(50)x1,</v>
      </c>
    </row>
    <row r="58" spans="1:27" ht="20.25" customHeight="1" x14ac:dyDescent="0.3">
      <c r="A58" s="2" t="s">
        <v>94</v>
      </c>
      <c r="B58" s="13" t="s">
        <v>331</v>
      </c>
      <c r="F58" s="15" t="s">
        <v>243</v>
      </c>
      <c r="H58" s="2" t="s">
        <v>242</v>
      </c>
      <c r="I58" s="2" t="s">
        <v>242</v>
      </c>
      <c r="J58" s="2" t="s">
        <v>263</v>
      </c>
      <c r="K58" s="2" t="s">
        <v>217</v>
      </c>
      <c r="L58" s="2" t="s">
        <v>264</v>
      </c>
      <c r="M58" s="2" t="s">
        <v>276</v>
      </c>
      <c r="N58" s="15">
        <v>1</v>
      </c>
      <c r="O58" s="15">
        <v>1</v>
      </c>
      <c r="P58" s="15">
        <v>1</v>
      </c>
      <c r="Q58" s="15">
        <v>1</v>
      </c>
      <c r="R58" s="2" t="s">
        <v>266</v>
      </c>
      <c r="S58" s="2">
        <v>12100</v>
      </c>
      <c r="T58" s="2" t="s">
        <v>267</v>
      </c>
      <c r="U58" s="2" t="s">
        <v>268</v>
      </c>
      <c r="V58" s="15">
        <v>0</v>
      </c>
      <c r="W58" s="15">
        <v>0</v>
      </c>
      <c r="X58" s="2" t="s">
        <v>332</v>
      </c>
      <c r="AA58" s="16" t="str">
        <f t="shared" si="0"/>
        <v>(110)17T마블4.5mx1,,</v>
      </c>
    </row>
    <row r="59" spans="1:27" ht="20.25" customHeight="1" x14ac:dyDescent="0.3">
      <c r="A59" s="2" t="s">
        <v>95</v>
      </c>
      <c r="B59" s="13" t="s">
        <v>331</v>
      </c>
      <c r="F59" s="15" t="s">
        <v>243</v>
      </c>
      <c r="H59" s="2" t="s">
        <v>242</v>
      </c>
      <c r="I59" s="2" t="s">
        <v>242</v>
      </c>
      <c r="J59" s="2" t="s">
        <v>263</v>
      </c>
      <c r="K59" s="2" t="s">
        <v>272</v>
      </c>
      <c r="L59" s="2" t="s">
        <v>264</v>
      </c>
      <c r="M59" s="2" t="s">
        <v>276</v>
      </c>
      <c r="N59" s="15">
        <v>1</v>
      </c>
      <c r="O59" s="15">
        <v>1</v>
      </c>
      <c r="P59" s="15">
        <v>1</v>
      </c>
      <c r="Q59" s="15">
        <v>1</v>
      </c>
      <c r="R59" s="2" t="s">
        <v>266</v>
      </c>
      <c r="S59" s="2">
        <v>12100</v>
      </c>
      <c r="T59" s="2" t="s">
        <v>267</v>
      </c>
      <c r="U59" s="2" t="s">
        <v>268</v>
      </c>
      <c r="V59" s="15">
        <v>0</v>
      </c>
      <c r="W59" s="15">
        <v>0</v>
      </c>
      <c r="X59" s="2" t="s">
        <v>332</v>
      </c>
      <c r="AA59" s="16" t="str">
        <f t="shared" si="0"/>
        <v>(110)17T마블4.5mx1,,</v>
      </c>
    </row>
    <row r="60" spans="1:27" ht="20.25" customHeight="1" x14ac:dyDescent="0.3">
      <c r="A60" s="2" t="s">
        <v>96</v>
      </c>
      <c r="B60" s="13" t="s">
        <v>333</v>
      </c>
      <c r="C60" s="30" t="s">
        <v>245</v>
      </c>
      <c r="F60" s="15" t="s">
        <v>247</v>
      </c>
      <c r="H60" s="2" t="s">
        <v>246</v>
      </c>
      <c r="I60" s="2" t="s">
        <v>246</v>
      </c>
      <c r="J60" s="2" t="s">
        <v>263</v>
      </c>
      <c r="K60" s="2" t="s">
        <v>338</v>
      </c>
      <c r="L60" s="2" t="s">
        <v>264</v>
      </c>
      <c r="M60" s="2" t="s">
        <v>276</v>
      </c>
      <c r="N60" s="15">
        <v>1</v>
      </c>
      <c r="O60" s="15">
        <v>1</v>
      </c>
      <c r="P60" s="15">
        <v>1</v>
      </c>
      <c r="Q60" s="15">
        <v>1</v>
      </c>
      <c r="R60" s="2" t="s">
        <v>266</v>
      </c>
      <c r="S60" s="2">
        <v>15400</v>
      </c>
      <c r="T60" s="2" t="s">
        <v>267</v>
      </c>
      <c r="U60" s="2" t="s">
        <v>268</v>
      </c>
      <c r="V60" s="15">
        <v>0</v>
      </c>
      <c r="W60" s="15">
        <v>0</v>
      </c>
      <c r="X60" s="2" t="s">
        <v>249</v>
      </c>
      <c r="Y60" s="2" t="s">
        <v>250</v>
      </c>
      <c r="AA60" s="16" t="str">
        <f t="shared" si="0"/>
        <v>(140)9T테리어4mx1,(110)9T테리어4mx1,</v>
      </c>
    </row>
    <row r="61" spans="1:27" ht="20.25" customHeight="1" x14ac:dyDescent="0.3">
      <c r="A61" s="2" t="s">
        <v>97</v>
      </c>
      <c r="B61" s="13" t="s">
        <v>334</v>
      </c>
      <c r="C61" s="30" t="s">
        <v>252</v>
      </c>
      <c r="F61" s="15" t="s">
        <v>254</v>
      </c>
      <c r="H61" s="2" t="s">
        <v>253</v>
      </c>
      <c r="I61" s="2" t="s">
        <v>253</v>
      </c>
      <c r="J61" s="2" t="s">
        <v>263</v>
      </c>
      <c r="K61" s="2" t="s">
        <v>101</v>
      </c>
      <c r="L61" s="2" t="s">
        <v>264</v>
      </c>
      <c r="M61" s="2" t="s">
        <v>276</v>
      </c>
      <c r="N61" s="15">
        <v>1</v>
      </c>
      <c r="O61" s="15">
        <v>1</v>
      </c>
      <c r="P61" s="15">
        <v>1</v>
      </c>
      <c r="Q61" s="15">
        <v>1</v>
      </c>
      <c r="R61" s="2" t="s">
        <v>266</v>
      </c>
      <c r="S61" s="2">
        <v>12100</v>
      </c>
      <c r="T61" s="2" t="s">
        <v>267</v>
      </c>
      <c r="U61" s="2" t="s">
        <v>268</v>
      </c>
      <c r="V61" s="15">
        <v>0</v>
      </c>
      <c r="W61" s="15">
        <v>0</v>
      </c>
      <c r="X61" s="2" t="s">
        <v>335</v>
      </c>
      <c r="AA61" s="16" t="str">
        <f t="shared" si="0"/>
        <v>(110)22T마블3mx1,,</v>
      </c>
    </row>
    <row r="62" spans="1:27" ht="20.25" customHeight="1" x14ac:dyDescent="0.3">
      <c r="A62" s="2" t="s">
        <v>98</v>
      </c>
      <c r="B62" s="13" t="s">
        <v>336</v>
      </c>
      <c r="C62" s="30" t="s">
        <v>257</v>
      </c>
      <c r="F62" s="15" t="s">
        <v>259</v>
      </c>
      <c r="H62" s="2" t="s">
        <v>258</v>
      </c>
      <c r="I62" s="2" t="s">
        <v>258</v>
      </c>
      <c r="J62" s="2" t="s">
        <v>263</v>
      </c>
      <c r="K62" s="2" t="s">
        <v>272</v>
      </c>
      <c r="L62" s="2" t="s">
        <v>264</v>
      </c>
      <c r="M62" s="2" t="s">
        <v>265</v>
      </c>
      <c r="N62" s="15">
        <v>1</v>
      </c>
      <c r="O62" s="15">
        <v>1</v>
      </c>
      <c r="P62" s="15">
        <v>1</v>
      </c>
      <c r="Q62" s="15">
        <v>1</v>
      </c>
      <c r="R62" s="2" t="s">
        <v>266</v>
      </c>
      <c r="S62" s="2">
        <v>12700</v>
      </c>
      <c r="T62" s="2" t="s">
        <v>267</v>
      </c>
      <c r="U62" s="2" t="s">
        <v>268</v>
      </c>
      <c r="V62" s="15">
        <v>0</v>
      </c>
      <c r="W62" s="15">
        <v>0</v>
      </c>
      <c r="X62" s="2" t="s">
        <v>256</v>
      </c>
      <c r="Y62" s="2" t="s">
        <v>261</v>
      </c>
      <c r="AA62" s="16" t="str">
        <f t="shared" si="0"/>
        <v>플러스♥25T크림그레이(50)x2,플러스♥25T크림그레이(100)x4,</v>
      </c>
    </row>
    <row r="63" spans="1:27" ht="20.25" customHeight="1" x14ac:dyDescent="0.3">
      <c r="AA63" s="16" t="str">
        <f t="shared" ref="AA63:AA113" si="1">CONCATENATE(X63,",",Y63,",",Z63)</f>
        <v>,,</v>
      </c>
    </row>
    <row r="64" spans="1:27" ht="20.25" customHeight="1" x14ac:dyDescent="0.3">
      <c r="AA64" s="16" t="str">
        <f t="shared" si="1"/>
        <v>,,</v>
      </c>
    </row>
    <row r="65" spans="27:27" ht="20.25" customHeight="1" x14ac:dyDescent="0.3">
      <c r="AA65" s="16" t="str">
        <f t="shared" si="1"/>
        <v>,,</v>
      </c>
    </row>
    <row r="66" spans="27:27" ht="20.25" customHeight="1" x14ac:dyDescent="0.3">
      <c r="AA66" s="16" t="str">
        <f t="shared" si="1"/>
        <v>,,</v>
      </c>
    </row>
    <row r="67" spans="27:27" ht="20.25" customHeight="1" x14ac:dyDescent="0.3">
      <c r="AA67" s="16" t="str">
        <f t="shared" si="1"/>
        <v>,,</v>
      </c>
    </row>
    <row r="68" spans="27:27" ht="20.25" customHeight="1" x14ac:dyDescent="0.3">
      <c r="AA68" s="16" t="str">
        <f t="shared" si="1"/>
        <v>,,</v>
      </c>
    </row>
    <row r="69" spans="27:27" ht="20.25" customHeight="1" x14ac:dyDescent="0.3">
      <c r="AA69" s="16" t="str">
        <f t="shared" si="1"/>
        <v>,,</v>
      </c>
    </row>
    <row r="70" spans="27:27" ht="20.25" customHeight="1" x14ac:dyDescent="0.3">
      <c r="AA70" s="16" t="str">
        <f t="shared" si="1"/>
        <v>,,</v>
      </c>
    </row>
    <row r="71" spans="27:27" ht="20.25" customHeight="1" x14ac:dyDescent="0.3">
      <c r="AA71" s="16" t="str">
        <f t="shared" si="1"/>
        <v>,,</v>
      </c>
    </row>
    <row r="72" spans="27:27" ht="20.25" customHeight="1" x14ac:dyDescent="0.3">
      <c r="AA72" s="16" t="str">
        <f t="shared" si="1"/>
        <v>,,</v>
      </c>
    </row>
    <row r="73" spans="27:27" ht="20.25" customHeight="1" x14ac:dyDescent="0.3">
      <c r="AA73" s="16" t="str">
        <f t="shared" si="1"/>
        <v>,,</v>
      </c>
    </row>
    <row r="74" spans="27:27" ht="20.25" customHeight="1" x14ac:dyDescent="0.3">
      <c r="AA74" s="16" t="str">
        <f t="shared" si="1"/>
        <v>,,</v>
      </c>
    </row>
    <row r="75" spans="27:27" ht="20.25" customHeight="1" x14ac:dyDescent="0.3">
      <c r="AA75" s="16" t="str">
        <f t="shared" si="1"/>
        <v>,,</v>
      </c>
    </row>
    <row r="76" spans="27:27" ht="20.25" customHeight="1" x14ac:dyDescent="0.3">
      <c r="AA76" s="16" t="str">
        <f t="shared" si="1"/>
        <v>,,</v>
      </c>
    </row>
    <row r="77" spans="27:27" ht="20.25" customHeight="1" x14ac:dyDescent="0.3">
      <c r="AA77" s="16" t="str">
        <f t="shared" si="1"/>
        <v>,,</v>
      </c>
    </row>
    <row r="78" spans="27:27" ht="20.25" customHeight="1" x14ac:dyDescent="0.3">
      <c r="AA78" s="16" t="str">
        <f t="shared" si="1"/>
        <v>,,</v>
      </c>
    </row>
    <row r="79" spans="27:27" ht="20.25" customHeight="1" x14ac:dyDescent="0.3">
      <c r="AA79" s="16" t="str">
        <f t="shared" si="1"/>
        <v>,,</v>
      </c>
    </row>
    <row r="80" spans="27:27" ht="20.25" customHeight="1" x14ac:dyDescent="0.3">
      <c r="AA80" s="16" t="str">
        <f t="shared" si="1"/>
        <v>,,</v>
      </c>
    </row>
    <row r="81" spans="27:27" ht="20.25" customHeight="1" x14ac:dyDescent="0.3">
      <c r="AA81" s="16" t="str">
        <f t="shared" si="1"/>
        <v>,,</v>
      </c>
    </row>
    <row r="82" spans="27:27" ht="20.25" customHeight="1" x14ac:dyDescent="0.3">
      <c r="AA82" s="16" t="str">
        <f t="shared" si="1"/>
        <v>,,</v>
      </c>
    </row>
    <row r="83" spans="27:27" ht="20.25" customHeight="1" x14ac:dyDescent="0.3">
      <c r="AA83" s="16" t="str">
        <f t="shared" si="1"/>
        <v>,,</v>
      </c>
    </row>
    <row r="84" spans="27:27" ht="20.25" customHeight="1" x14ac:dyDescent="0.3">
      <c r="AA84" s="16" t="str">
        <f t="shared" si="1"/>
        <v>,,</v>
      </c>
    </row>
    <row r="85" spans="27:27" ht="20.25" customHeight="1" x14ac:dyDescent="0.3">
      <c r="AA85" s="16" t="str">
        <f t="shared" si="1"/>
        <v>,,</v>
      </c>
    </row>
    <row r="86" spans="27:27" ht="20.25" customHeight="1" x14ac:dyDescent="0.3">
      <c r="AA86" s="16" t="str">
        <f t="shared" si="1"/>
        <v>,,</v>
      </c>
    </row>
    <row r="87" spans="27:27" ht="20.25" customHeight="1" x14ac:dyDescent="0.3">
      <c r="AA87" s="16" t="str">
        <f t="shared" si="1"/>
        <v>,,</v>
      </c>
    </row>
    <row r="88" spans="27:27" ht="20.25" customHeight="1" x14ac:dyDescent="0.3">
      <c r="AA88" s="16" t="str">
        <f t="shared" si="1"/>
        <v>,,</v>
      </c>
    </row>
    <row r="89" spans="27:27" ht="20.25" customHeight="1" x14ac:dyDescent="0.3">
      <c r="AA89" s="16" t="str">
        <f t="shared" si="1"/>
        <v>,,</v>
      </c>
    </row>
    <row r="90" spans="27:27" ht="20.25" customHeight="1" x14ac:dyDescent="0.3">
      <c r="AA90" s="16" t="str">
        <f t="shared" si="1"/>
        <v>,,</v>
      </c>
    </row>
    <row r="91" spans="27:27" ht="20.25" customHeight="1" x14ac:dyDescent="0.3">
      <c r="AA91" s="16" t="str">
        <f t="shared" si="1"/>
        <v>,,</v>
      </c>
    </row>
    <row r="92" spans="27:27" ht="20.25" customHeight="1" x14ac:dyDescent="0.3">
      <c r="AA92" s="16" t="str">
        <f t="shared" si="1"/>
        <v>,,</v>
      </c>
    </row>
    <row r="93" spans="27:27" ht="20.25" customHeight="1" x14ac:dyDescent="0.3">
      <c r="AA93" s="16" t="str">
        <f t="shared" si="1"/>
        <v>,,</v>
      </c>
    </row>
    <row r="94" spans="27:27" ht="20.25" customHeight="1" x14ac:dyDescent="0.3">
      <c r="AA94" s="16" t="str">
        <f t="shared" si="1"/>
        <v>,,</v>
      </c>
    </row>
    <row r="95" spans="27:27" ht="20.25" customHeight="1" x14ac:dyDescent="0.3">
      <c r="AA95" s="16" t="str">
        <f t="shared" si="1"/>
        <v>,,</v>
      </c>
    </row>
    <row r="96" spans="27:27" ht="20.25" customHeight="1" x14ac:dyDescent="0.3">
      <c r="AA96" s="16" t="str">
        <f t="shared" si="1"/>
        <v>,,</v>
      </c>
    </row>
    <row r="97" spans="27:27" ht="20.25" customHeight="1" x14ac:dyDescent="0.3">
      <c r="AA97" s="16" t="str">
        <f t="shared" si="1"/>
        <v>,,</v>
      </c>
    </row>
    <row r="98" spans="27:27" ht="20.25" customHeight="1" x14ac:dyDescent="0.3">
      <c r="AA98" s="16" t="str">
        <f t="shared" si="1"/>
        <v>,,</v>
      </c>
    </row>
    <row r="99" spans="27:27" ht="20.25" customHeight="1" x14ac:dyDescent="0.3">
      <c r="AA99" s="16" t="str">
        <f t="shared" si="1"/>
        <v>,,</v>
      </c>
    </row>
    <row r="100" spans="27:27" ht="20.25" customHeight="1" x14ac:dyDescent="0.3">
      <c r="AA100" s="16" t="str">
        <f t="shared" si="1"/>
        <v>,,</v>
      </c>
    </row>
    <row r="101" spans="27:27" ht="20.25" customHeight="1" x14ac:dyDescent="0.3">
      <c r="AA101" s="16" t="str">
        <f t="shared" si="1"/>
        <v>,,</v>
      </c>
    </row>
    <row r="102" spans="27:27" ht="20.25" customHeight="1" x14ac:dyDescent="0.3">
      <c r="AA102" s="16" t="str">
        <f t="shared" si="1"/>
        <v>,,</v>
      </c>
    </row>
    <row r="103" spans="27:27" ht="20.25" customHeight="1" x14ac:dyDescent="0.3">
      <c r="AA103" s="16" t="str">
        <f t="shared" si="1"/>
        <v>,,</v>
      </c>
    </row>
    <row r="104" spans="27:27" ht="20.25" customHeight="1" x14ac:dyDescent="0.3">
      <c r="AA104" s="16" t="str">
        <f t="shared" si="1"/>
        <v>,,</v>
      </c>
    </row>
    <row r="105" spans="27:27" ht="20.25" customHeight="1" x14ac:dyDescent="0.3">
      <c r="AA105" s="16" t="str">
        <f t="shared" si="1"/>
        <v>,,</v>
      </c>
    </row>
    <row r="106" spans="27:27" ht="20.25" customHeight="1" x14ac:dyDescent="0.3">
      <c r="AA106" s="16" t="str">
        <f t="shared" si="1"/>
        <v>,,</v>
      </c>
    </row>
    <row r="107" spans="27:27" ht="20.25" customHeight="1" x14ac:dyDescent="0.3">
      <c r="AA107" s="16" t="str">
        <f t="shared" si="1"/>
        <v>,,</v>
      </c>
    </row>
    <row r="108" spans="27:27" ht="20.25" customHeight="1" x14ac:dyDescent="0.3">
      <c r="AA108" s="16" t="str">
        <f t="shared" si="1"/>
        <v>,,</v>
      </c>
    </row>
    <row r="109" spans="27:27" ht="20.25" customHeight="1" x14ac:dyDescent="0.3">
      <c r="AA109" s="16" t="str">
        <f t="shared" si="1"/>
        <v>,,</v>
      </c>
    </row>
    <row r="110" spans="27:27" ht="20.25" customHeight="1" x14ac:dyDescent="0.3">
      <c r="AA110" s="16" t="str">
        <f t="shared" si="1"/>
        <v>,,</v>
      </c>
    </row>
    <row r="111" spans="27:27" ht="20.25" customHeight="1" x14ac:dyDescent="0.3">
      <c r="AA111" s="16" t="str">
        <f t="shared" si="1"/>
        <v>,,</v>
      </c>
    </row>
    <row r="112" spans="27:27" ht="20.25" customHeight="1" x14ac:dyDescent="0.3">
      <c r="AA112" s="16" t="str">
        <f t="shared" si="1"/>
        <v>,,</v>
      </c>
    </row>
    <row r="113" spans="27:27" ht="20.25" customHeight="1" x14ac:dyDescent="0.3">
      <c r="AA113" s="16" t="str">
        <f t="shared" si="1"/>
        <v>,,</v>
      </c>
    </row>
    <row r="114" spans="27:27" ht="20.25" customHeight="1" x14ac:dyDescent="0.3">
      <c r="AA114" s="16" t="str">
        <f t="shared" ref="AA114:AA115" si="2">CONCATENATE(X114,",",Y114,",",Z114)</f>
        <v>,,</v>
      </c>
    </row>
    <row r="115" spans="27:27" ht="20.25" customHeight="1" x14ac:dyDescent="0.3">
      <c r="AA115" s="16" t="str">
        <f t="shared" si="2"/>
        <v>,,</v>
      </c>
    </row>
    <row r="116" spans="27:27" ht="20.25" customHeight="1" x14ac:dyDescent="0.3">
      <c r="AA116" s="16"/>
    </row>
    <row r="117" spans="27:27" ht="20.25" customHeight="1" x14ac:dyDescent="0.3">
      <c r="AA117" s="16"/>
    </row>
    <row r="118" spans="27:27" ht="20.25" customHeight="1" x14ac:dyDescent="0.3">
      <c r="AA118" s="16"/>
    </row>
    <row r="119" spans="27:27" ht="20.25" customHeight="1" x14ac:dyDescent="0.3">
      <c r="AA119" s="16"/>
    </row>
    <row r="120" spans="27:27" ht="20.25" customHeight="1" x14ac:dyDescent="0.3">
      <c r="AA120" s="16"/>
    </row>
    <row r="121" spans="27:27" ht="20.25" customHeight="1" x14ac:dyDescent="0.3">
      <c r="AA121" s="16"/>
    </row>
    <row r="122" spans="27:27" ht="20.25" customHeight="1" x14ac:dyDescent="0.3">
      <c r="AA122" s="16"/>
    </row>
    <row r="123" spans="27:27" ht="20.25" customHeight="1" x14ac:dyDescent="0.3">
      <c r="AA123" s="16"/>
    </row>
    <row r="124" spans="27:27" ht="20.25" customHeight="1" x14ac:dyDescent="0.3">
      <c r="AA124" s="16"/>
    </row>
    <row r="125" spans="27:27" ht="20.25" customHeight="1" x14ac:dyDescent="0.3">
      <c r="AA125" s="16"/>
    </row>
    <row r="126" spans="27:27" ht="20.25" customHeight="1" x14ac:dyDescent="0.3">
      <c r="AA126" s="16"/>
    </row>
    <row r="127" spans="27:27" ht="20.25" customHeight="1" x14ac:dyDescent="0.3">
      <c r="AA127" s="16"/>
    </row>
    <row r="128" spans="27:27" ht="20.25" customHeight="1" x14ac:dyDescent="0.3">
      <c r="AA128" s="16"/>
    </row>
    <row r="129" spans="27:27" ht="20.25" customHeight="1" x14ac:dyDescent="0.3">
      <c r="AA129" s="16"/>
    </row>
    <row r="130" spans="27:27" ht="20.25" customHeight="1" x14ac:dyDescent="0.3">
      <c r="AA130" s="16"/>
    </row>
    <row r="131" spans="27:27" ht="20.25" customHeight="1" x14ac:dyDescent="0.3">
      <c r="AA131" s="16"/>
    </row>
    <row r="132" spans="27:27" ht="20.25" customHeight="1" x14ac:dyDescent="0.3">
      <c r="AA132" s="16"/>
    </row>
    <row r="133" spans="27:27" ht="20.25" customHeight="1" x14ac:dyDescent="0.3">
      <c r="AA133" s="16"/>
    </row>
    <row r="134" spans="27:27" ht="20.25" customHeight="1" x14ac:dyDescent="0.3">
      <c r="AA134" s="16"/>
    </row>
    <row r="135" spans="27:27" ht="20.25" customHeight="1" x14ac:dyDescent="0.3">
      <c r="AA135" s="16"/>
    </row>
    <row r="136" spans="27:27" ht="20.25" customHeight="1" x14ac:dyDescent="0.3">
      <c r="AA136" s="16"/>
    </row>
    <row r="137" spans="27:27" ht="20.25" customHeight="1" x14ac:dyDescent="0.3">
      <c r="AA137" s="16"/>
    </row>
    <row r="138" spans="27:27" ht="20.25" customHeight="1" x14ac:dyDescent="0.3">
      <c r="AA138" s="16"/>
    </row>
    <row r="139" spans="27:27" ht="20.25" customHeight="1" x14ac:dyDescent="0.3">
      <c r="AA139" s="16"/>
    </row>
    <row r="140" spans="27:27" ht="20.25" customHeight="1" x14ac:dyDescent="0.3">
      <c r="AA140" s="16"/>
    </row>
    <row r="141" spans="27:27" ht="20.25" customHeight="1" x14ac:dyDescent="0.3">
      <c r="AA141" s="16"/>
    </row>
    <row r="142" spans="27:27" ht="20.25" customHeight="1" x14ac:dyDescent="0.3">
      <c r="AA142" s="16"/>
    </row>
    <row r="143" spans="27:27" ht="20.25" customHeight="1" x14ac:dyDescent="0.3">
      <c r="AA143" s="16"/>
    </row>
    <row r="144" spans="27:27" ht="20.25" customHeight="1" x14ac:dyDescent="0.3">
      <c r="AA144" s="16"/>
    </row>
    <row r="145" spans="27:27" ht="20.25" customHeight="1" x14ac:dyDescent="0.3">
      <c r="AA145" s="16"/>
    </row>
    <row r="146" spans="27:27" ht="20.25" customHeight="1" x14ac:dyDescent="0.3">
      <c r="AA146" s="16"/>
    </row>
    <row r="147" spans="27:27" ht="20.25" customHeight="1" x14ac:dyDescent="0.3">
      <c r="AA147" s="16"/>
    </row>
    <row r="148" spans="27:27" ht="20.25" customHeight="1" x14ac:dyDescent="0.3">
      <c r="AA148" s="16"/>
    </row>
    <row r="149" spans="27:27" ht="20.25" customHeight="1" x14ac:dyDescent="0.3">
      <c r="AA149" s="16"/>
    </row>
    <row r="150" spans="27:27" ht="20.25" customHeight="1" x14ac:dyDescent="0.3">
      <c r="AA150" s="16"/>
    </row>
    <row r="151" spans="27:27" ht="20.25" customHeight="1" x14ac:dyDescent="0.3">
      <c r="AA151" s="16"/>
    </row>
    <row r="152" spans="27:27" ht="20.25" customHeight="1" x14ac:dyDescent="0.3">
      <c r="AA152" s="16"/>
    </row>
    <row r="153" spans="27:27" ht="20.25" customHeight="1" x14ac:dyDescent="0.3">
      <c r="AA153" s="16"/>
    </row>
    <row r="154" spans="27:27" ht="20.25" customHeight="1" x14ac:dyDescent="0.3">
      <c r="AA154" s="16"/>
    </row>
    <row r="155" spans="27:27" ht="20.25" customHeight="1" x14ac:dyDescent="0.3">
      <c r="AA155" s="16"/>
    </row>
    <row r="156" spans="27:27" ht="20.25" customHeight="1" x14ac:dyDescent="0.3">
      <c r="AA156" s="16"/>
    </row>
    <row r="157" spans="27:27" ht="20.25" customHeight="1" x14ac:dyDescent="0.3">
      <c r="AA157" s="16"/>
    </row>
    <row r="158" spans="27:27" ht="20.25" customHeight="1" x14ac:dyDescent="0.3">
      <c r="AA158" s="16"/>
    </row>
    <row r="159" spans="27:27" ht="20.25" customHeight="1" x14ac:dyDescent="0.3">
      <c r="AA159" s="16"/>
    </row>
    <row r="160" spans="27:27" ht="20.25" customHeight="1" x14ac:dyDescent="0.3">
      <c r="AA160" s="16"/>
    </row>
    <row r="161" spans="27:27" ht="20.25" customHeight="1" x14ac:dyDescent="0.3">
      <c r="AA161" s="16"/>
    </row>
    <row r="162" spans="27:27" ht="20.25" customHeight="1" x14ac:dyDescent="0.3">
      <c r="AA162" s="16"/>
    </row>
    <row r="163" spans="27:27" ht="20.25" customHeight="1" x14ac:dyDescent="0.3">
      <c r="AA163" s="16"/>
    </row>
    <row r="164" spans="27:27" ht="20.25" customHeight="1" x14ac:dyDescent="0.3">
      <c r="AA164" s="16"/>
    </row>
    <row r="165" spans="27:27" ht="20.25" customHeight="1" x14ac:dyDescent="0.3">
      <c r="AA165" s="16"/>
    </row>
    <row r="166" spans="27:27" ht="20.25" customHeight="1" x14ac:dyDescent="0.3">
      <c r="AA166" s="16"/>
    </row>
    <row r="167" spans="27:27" ht="20.25" customHeight="1" x14ac:dyDescent="0.3">
      <c r="AA167" s="16"/>
    </row>
    <row r="168" spans="27:27" ht="20.25" customHeight="1" x14ac:dyDescent="0.3">
      <c r="AA168" s="16"/>
    </row>
    <row r="169" spans="27:27" ht="20.25" customHeight="1" x14ac:dyDescent="0.3">
      <c r="AA169" s="16"/>
    </row>
    <row r="170" spans="27:27" ht="20.25" customHeight="1" x14ac:dyDescent="0.3">
      <c r="AA170" s="16"/>
    </row>
    <row r="171" spans="27:27" ht="20.25" customHeight="1" x14ac:dyDescent="0.3">
      <c r="AA171" s="16"/>
    </row>
    <row r="172" spans="27:27" ht="20.25" customHeight="1" x14ac:dyDescent="0.3">
      <c r="AA172" s="16"/>
    </row>
    <row r="173" spans="27:27" ht="20.25" customHeight="1" x14ac:dyDescent="0.3">
      <c r="AA173" s="16"/>
    </row>
    <row r="174" spans="27:27" ht="20.25" customHeight="1" x14ac:dyDescent="0.3">
      <c r="AA174" s="16"/>
    </row>
    <row r="175" spans="27:27" ht="20.25" customHeight="1" x14ac:dyDescent="0.3">
      <c r="AA175" s="16"/>
    </row>
    <row r="176" spans="27:27" ht="20.25" customHeight="1" x14ac:dyDescent="0.3">
      <c r="AA176" s="16"/>
    </row>
    <row r="177" spans="27:27" ht="20.25" customHeight="1" x14ac:dyDescent="0.3">
      <c r="AA177" s="16"/>
    </row>
    <row r="178" spans="27:27" ht="20.25" customHeight="1" x14ac:dyDescent="0.3">
      <c r="AA178" s="16"/>
    </row>
    <row r="179" spans="27:27" ht="20.25" customHeight="1" x14ac:dyDescent="0.3">
      <c r="AA179" s="16"/>
    </row>
    <row r="180" spans="27:27" ht="20.25" customHeight="1" x14ac:dyDescent="0.3">
      <c r="AA180" s="16"/>
    </row>
    <row r="181" spans="27:27" ht="20.25" customHeight="1" x14ac:dyDescent="0.3">
      <c r="AA181" s="16"/>
    </row>
    <row r="182" spans="27:27" ht="20.25" customHeight="1" x14ac:dyDescent="0.3">
      <c r="AA182" s="16"/>
    </row>
    <row r="183" spans="27:27" ht="20.25" customHeight="1" x14ac:dyDescent="0.3">
      <c r="AA183" s="16"/>
    </row>
    <row r="184" spans="27:27" ht="20.25" customHeight="1" x14ac:dyDescent="0.3">
      <c r="AA184" s="16"/>
    </row>
    <row r="185" spans="27:27" ht="20.25" customHeight="1" x14ac:dyDescent="0.3">
      <c r="AA185" s="16"/>
    </row>
    <row r="186" spans="27:27" ht="20.25" customHeight="1" x14ac:dyDescent="0.3">
      <c r="AA186" s="16"/>
    </row>
    <row r="187" spans="27:27" ht="20.25" customHeight="1" x14ac:dyDescent="0.3">
      <c r="AA187" s="16"/>
    </row>
    <row r="188" spans="27:27" ht="20.25" customHeight="1" x14ac:dyDescent="0.3">
      <c r="AA188" s="16"/>
    </row>
    <row r="189" spans="27:27" ht="20.25" customHeight="1" x14ac:dyDescent="0.3">
      <c r="AA189" s="16"/>
    </row>
    <row r="190" spans="27:27" ht="20.25" customHeight="1" x14ac:dyDescent="0.3">
      <c r="AA190" s="16"/>
    </row>
    <row r="191" spans="27:27" ht="20.25" customHeight="1" x14ac:dyDescent="0.3">
      <c r="AA191" s="16"/>
    </row>
    <row r="192" spans="27:27" ht="20.25" customHeight="1" x14ac:dyDescent="0.3">
      <c r="AA192" s="16"/>
    </row>
    <row r="193" spans="27:27" ht="20.25" customHeight="1" x14ac:dyDescent="0.3">
      <c r="AA193" s="16"/>
    </row>
    <row r="194" spans="27:27" ht="20.25" customHeight="1" x14ac:dyDescent="0.3">
      <c r="AA194" s="16"/>
    </row>
    <row r="195" spans="27:27" ht="20.25" customHeight="1" x14ac:dyDescent="0.3">
      <c r="AA195" s="16"/>
    </row>
    <row r="196" spans="27:27" ht="20.25" customHeight="1" x14ac:dyDescent="0.3">
      <c r="AA196" s="16"/>
    </row>
    <row r="197" spans="27:27" ht="20.25" customHeight="1" x14ac:dyDescent="0.3">
      <c r="AA197" s="16"/>
    </row>
    <row r="198" spans="27:27" ht="20.25" customHeight="1" x14ac:dyDescent="0.3">
      <c r="AA198" s="16"/>
    </row>
    <row r="199" spans="27:27" ht="20.25" customHeight="1" x14ac:dyDescent="0.3">
      <c r="AA199" s="16"/>
    </row>
    <row r="200" spans="27:27" ht="20.25" customHeight="1" x14ac:dyDescent="0.3">
      <c r="AA200" s="16"/>
    </row>
    <row r="201" spans="27:27" ht="20.25" customHeight="1" x14ac:dyDescent="0.3">
      <c r="AA201" s="16"/>
    </row>
    <row r="202" spans="27:27" ht="20.25" customHeight="1" x14ac:dyDescent="0.3">
      <c r="AA202" s="16"/>
    </row>
    <row r="203" spans="27:27" ht="20.25" customHeight="1" x14ac:dyDescent="0.3">
      <c r="AA203" s="16"/>
    </row>
    <row r="204" spans="27:27" ht="20.25" customHeight="1" x14ac:dyDescent="0.3">
      <c r="AA204" s="16"/>
    </row>
    <row r="205" spans="27:27" ht="20.25" customHeight="1" x14ac:dyDescent="0.3">
      <c r="AA205" s="16"/>
    </row>
    <row r="206" spans="27:27" ht="20.25" customHeight="1" x14ac:dyDescent="0.3">
      <c r="AA206" s="16"/>
    </row>
    <row r="207" spans="27:27" ht="20.25" customHeight="1" x14ac:dyDescent="0.3">
      <c r="AA207" s="16"/>
    </row>
    <row r="208" spans="27:27" ht="20.25" customHeight="1" x14ac:dyDescent="0.3">
      <c r="AA208" s="16"/>
    </row>
    <row r="209" spans="27:27" ht="20.25" customHeight="1" x14ac:dyDescent="0.3">
      <c r="AA209" s="16"/>
    </row>
    <row r="210" spans="27:27" ht="20.25" customHeight="1" x14ac:dyDescent="0.3">
      <c r="AA210" s="16"/>
    </row>
    <row r="211" spans="27:27" ht="20.25" customHeight="1" x14ac:dyDescent="0.3">
      <c r="AA211" s="16"/>
    </row>
    <row r="212" spans="27:27" ht="20.25" customHeight="1" x14ac:dyDescent="0.3">
      <c r="AA212" s="16"/>
    </row>
    <row r="213" spans="27:27" ht="20.25" customHeight="1" x14ac:dyDescent="0.3">
      <c r="AA213" s="16"/>
    </row>
    <row r="214" spans="27:27" ht="20.25" customHeight="1" x14ac:dyDescent="0.3">
      <c r="AA214" s="16"/>
    </row>
    <row r="215" spans="27:27" ht="20.25" customHeight="1" x14ac:dyDescent="0.3">
      <c r="AA215" s="16"/>
    </row>
    <row r="216" spans="27:27" ht="20.25" customHeight="1" x14ac:dyDescent="0.3">
      <c r="AA216" s="16"/>
    </row>
    <row r="217" spans="27:27" ht="20.25" customHeight="1" x14ac:dyDescent="0.3">
      <c r="AA217" s="16"/>
    </row>
    <row r="218" spans="27:27" ht="20.25" customHeight="1" x14ac:dyDescent="0.3">
      <c r="AA218" s="16"/>
    </row>
    <row r="219" spans="27:27" ht="20.25" customHeight="1" x14ac:dyDescent="0.3">
      <c r="AA219" s="16"/>
    </row>
    <row r="220" spans="27:27" ht="20.25" customHeight="1" x14ac:dyDescent="0.3">
      <c r="AA220" s="16"/>
    </row>
    <row r="221" spans="27:27" ht="20.25" customHeight="1" x14ac:dyDescent="0.3">
      <c r="AA221" s="16"/>
    </row>
    <row r="222" spans="27:27" ht="20.25" customHeight="1" x14ac:dyDescent="0.3">
      <c r="AA222" s="16"/>
    </row>
    <row r="223" spans="27:27" ht="20.25" customHeight="1" x14ac:dyDescent="0.3">
      <c r="AA223" s="16"/>
    </row>
    <row r="224" spans="27:27" ht="20.25" customHeight="1" x14ac:dyDescent="0.3">
      <c r="AA224" s="16"/>
    </row>
    <row r="225" spans="27:27" ht="20.25" customHeight="1" x14ac:dyDescent="0.3">
      <c r="AA225" s="16"/>
    </row>
    <row r="226" spans="27:27" ht="20.25" customHeight="1" x14ac:dyDescent="0.3">
      <c r="AA226" s="16"/>
    </row>
    <row r="227" spans="27:27" ht="20.25" customHeight="1" x14ac:dyDescent="0.3">
      <c r="AA227" s="16"/>
    </row>
    <row r="228" spans="27:27" ht="20.25" customHeight="1" x14ac:dyDescent="0.3">
      <c r="AA228" s="16"/>
    </row>
    <row r="229" spans="27:27" ht="20.25" customHeight="1" x14ac:dyDescent="0.3">
      <c r="AA229" s="16"/>
    </row>
    <row r="230" spans="27:27" ht="20.25" customHeight="1" x14ac:dyDescent="0.3">
      <c r="AA230" s="16"/>
    </row>
    <row r="231" spans="27:27" ht="20.25" customHeight="1" x14ac:dyDescent="0.3">
      <c r="AA231" s="16"/>
    </row>
    <row r="232" spans="27:27" ht="20.25" customHeight="1" x14ac:dyDescent="0.3">
      <c r="AA232" s="16"/>
    </row>
    <row r="233" spans="27:27" ht="20.25" customHeight="1" x14ac:dyDescent="0.3">
      <c r="AA233" s="16"/>
    </row>
    <row r="234" spans="27:27" ht="20.25" customHeight="1" x14ac:dyDescent="0.3">
      <c r="AA234" s="16"/>
    </row>
    <row r="235" spans="27:27" ht="20.25" customHeight="1" x14ac:dyDescent="0.3">
      <c r="AA235" s="16"/>
    </row>
    <row r="236" spans="27:27" ht="20.25" customHeight="1" x14ac:dyDescent="0.3">
      <c r="AA236" s="16"/>
    </row>
    <row r="237" spans="27:27" ht="20.25" customHeight="1" x14ac:dyDescent="0.3">
      <c r="AA237" s="16"/>
    </row>
    <row r="238" spans="27:27" ht="20.25" customHeight="1" x14ac:dyDescent="0.3">
      <c r="AA238" s="16"/>
    </row>
    <row r="239" spans="27:27" ht="20.25" customHeight="1" x14ac:dyDescent="0.3">
      <c r="AA239" s="16"/>
    </row>
    <row r="240" spans="27:27" ht="20.25" customHeight="1" x14ac:dyDescent="0.3">
      <c r="AA240" s="16" t="str">
        <f t="shared" ref="AA240:AA303" si="3">CONCATENATE(X240,",",Y240,",",Z240)</f>
        <v>,,</v>
      </c>
    </row>
    <row r="241" spans="27:27" ht="20.25" customHeight="1" x14ac:dyDescent="0.3">
      <c r="AA241" s="16" t="str">
        <f t="shared" si="3"/>
        <v>,,</v>
      </c>
    </row>
    <row r="242" spans="27:27" ht="20.25" customHeight="1" x14ac:dyDescent="0.3">
      <c r="AA242" s="16" t="str">
        <f t="shared" si="3"/>
        <v>,,</v>
      </c>
    </row>
    <row r="243" spans="27:27" ht="20.25" customHeight="1" x14ac:dyDescent="0.3">
      <c r="AA243" s="16" t="str">
        <f t="shared" si="3"/>
        <v>,,</v>
      </c>
    </row>
    <row r="244" spans="27:27" ht="20.25" customHeight="1" x14ac:dyDescent="0.3">
      <c r="AA244" s="16" t="str">
        <f t="shared" si="3"/>
        <v>,,</v>
      </c>
    </row>
    <row r="245" spans="27:27" ht="20.25" customHeight="1" x14ac:dyDescent="0.3">
      <c r="AA245" s="16" t="str">
        <f t="shared" si="3"/>
        <v>,,</v>
      </c>
    </row>
    <row r="246" spans="27:27" ht="20.25" customHeight="1" x14ac:dyDescent="0.3">
      <c r="AA246" s="16" t="str">
        <f t="shared" si="3"/>
        <v>,,</v>
      </c>
    </row>
    <row r="247" spans="27:27" ht="20.25" customHeight="1" x14ac:dyDescent="0.3">
      <c r="AA247" s="16" t="str">
        <f t="shared" si="3"/>
        <v>,,</v>
      </c>
    </row>
    <row r="248" spans="27:27" ht="20.25" customHeight="1" x14ac:dyDescent="0.3">
      <c r="AA248" s="16" t="str">
        <f t="shared" si="3"/>
        <v>,,</v>
      </c>
    </row>
    <row r="249" spans="27:27" ht="20.25" customHeight="1" x14ac:dyDescent="0.3">
      <c r="AA249" s="16" t="str">
        <f t="shared" si="3"/>
        <v>,,</v>
      </c>
    </row>
    <row r="250" spans="27:27" ht="20.25" customHeight="1" x14ac:dyDescent="0.3">
      <c r="AA250" s="16" t="str">
        <f t="shared" si="3"/>
        <v>,,</v>
      </c>
    </row>
    <row r="251" spans="27:27" ht="20.25" customHeight="1" x14ac:dyDescent="0.3">
      <c r="AA251" s="16" t="str">
        <f t="shared" si="3"/>
        <v>,,</v>
      </c>
    </row>
    <row r="252" spans="27:27" ht="20.25" customHeight="1" x14ac:dyDescent="0.3">
      <c r="AA252" s="16" t="str">
        <f t="shared" si="3"/>
        <v>,,</v>
      </c>
    </row>
    <row r="253" spans="27:27" ht="20.25" customHeight="1" x14ac:dyDescent="0.3">
      <c r="AA253" s="16" t="str">
        <f t="shared" si="3"/>
        <v>,,</v>
      </c>
    </row>
    <row r="254" spans="27:27" ht="20.25" customHeight="1" x14ac:dyDescent="0.3">
      <c r="AA254" s="16" t="str">
        <f t="shared" si="3"/>
        <v>,,</v>
      </c>
    </row>
    <row r="255" spans="27:27" ht="20.25" customHeight="1" x14ac:dyDescent="0.3">
      <c r="AA255" s="16" t="str">
        <f t="shared" si="3"/>
        <v>,,</v>
      </c>
    </row>
    <row r="256" spans="27:27" ht="20.25" customHeight="1" x14ac:dyDescent="0.3">
      <c r="AA256" s="16" t="str">
        <f t="shared" si="3"/>
        <v>,,</v>
      </c>
    </row>
    <row r="257" spans="27:27" ht="20.25" customHeight="1" x14ac:dyDescent="0.3">
      <c r="AA257" s="16" t="str">
        <f t="shared" si="3"/>
        <v>,,</v>
      </c>
    </row>
    <row r="258" spans="27:27" ht="20.25" customHeight="1" x14ac:dyDescent="0.3">
      <c r="AA258" s="16" t="str">
        <f t="shared" si="3"/>
        <v>,,</v>
      </c>
    </row>
    <row r="259" spans="27:27" ht="20.25" customHeight="1" x14ac:dyDescent="0.3">
      <c r="AA259" s="16" t="str">
        <f t="shared" si="3"/>
        <v>,,</v>
      </c>
    </row>
    <row r="260" spans="27:27" ht="20.25" customHeight="1" x14ac:dyDescent="0.3">
      <c r="AA260" s="16" t="str">
        <f t="shared" si="3"/>
        <v>,,</v>
      </c>
    </row>
    <row r="261" spans="27:27" ht="20.25" customHeight="1" x14ac:dyDescent="0.3">
      <c r="AA261" s="16" t="str">
        <f t="shared" si="3"/>
        <v>,,</v>
      </c>
    </row>
    <row r="262" spans="27:27" ht="20.25" customHeight="1" x14ac:dyDescent="0.3">
      <c r="AA262" s="16" t="str">
        <f t="shared" si="3"/>
        <v>,,</v>
      </c>
    </row>
    <row r="263" spans="27:27" ht="20.25" customHeight="1" x14ac:dyDescent="0.3">
      <c r="AA263" s="16" t="str">
        <f t="shared" si="3"/>
        <v>,,</v>
      </c>
    </row>
    <row r="264" spans="27:27" ht="20.25" customHeight="1" x14ac:dyDescent="0.3">
      <c r="AA264" s="16" t="str">
        <f t="shared" si="3"/>
        <v>,,</v>
      </c>
    </row>
    <row r="265" spans="27:27" ht="20.25" customHeight="1" x14ac:dyDescent="0.3">
      <c r="AA265" s="16" t="str">
        <f t="shared" si="3"/>
        <v>,,</v>
      </c>
    </row>
    <row r="266" spans="27:27" ht="20.25" customHeight="1" x14ac:dyDescent="0.3">
      <c r="AA266" s="16" t="str">
        <f t="shared" si="3"/>
        <v>,,</v>
      </c>
    </row>
    <row r="267" spans="27:27" ht="20.25" customHeight="1" x14ac:dyDescent="0.3">
      <c r="AA267" s="16" t="str">
        <f t="shared" si="3"/>
        <v>,,</v>
      </c>
    </row>
    <row r="268" spans="27:27" ht="20.25" customHeight="1" x14ac:dyDescent="0.3">
      <c r="AA268" s="16" t="str">
        <f t="shared" si="3"/>
        <v>,,</v>
      </c>
    </row>
    <row r="269" spans="27:27" ht="20.25" customHeight="1" x14ac:dyDescent="0.3">
      <c r="AA269" s="16" t="str">
        <f t="shared" si="3"/>
        <v>,,</v>
      </c>
    </row>
    <row r="270" spans="27:27" ht="20.25" customHeight="1" x14ac:dyDescent="0.3">
      <c r="AA270" s="16" t="str">
        <f t="shared" si="3"/>
        <v>,,</v>
      </c>
    </row>
    <row r="271" spans="27:27" ht="20.25" customHeight="1" x14ac:dyDescent="0.3">
      <c r="AA271" s="16" t="str">
        <f t="shared" si="3"/>
        <v>,,</v>
      </c>
    </row>
    <row r="272" spans="27:27" ht="20.25" customHeight="1" x14ac:dyDescent="0.3">
      <c r="AA272" s="16" t="str">
        <f t="shared" si="3"/>
        <v>,,</v>
      </c>
    </row>
    <row r="273" spans="27:27" ht="20.25" customHeight="1" x14ac:dyDescent="0.3">
      <c r="AA273" s="16" t="str">
        <f t="shared" si="3"/>
        <v>,,</v>
      </c>
    </row>
    <row r="274" spans="27:27" ht="20.25" customHeight="1" x14ac:dyDescent="0.3">
      <c r="AA274" s="16" t="str">
        <f t="shared" si="3"/>
        <v>,,</v>
      </c>
    </row>
    <row r="275" spans="27:27" ht="20.25" customHeight="1" x14ac:dyDescent="0.3">
      <c r="AA275" s="16" t="str">
        <f t="shared" si="3"/>
        <v>,,</v>
      </c>
    </row>
    <row r="276" spans="27:27" ht="20.25" customHeight="1" x14ac:dyDescent="0.3">
      <c r="AA276" s="16" t="str">
        <f t="shared" si="3"/>
        <v>,,</v>
      </c>
    </row>
    <row r="277" spans="27:27" ht="20.25" customHeight="1" x14ac:dyDescent="0.3">
      <c r="AA277" s="16" t="str">
        <f t="shared" si="3"/>
        <v>,,</v>
      </c>
    </row>
    <row r="278" spans="27:27" ht="20.25" customHeight="1" x14ac:dyDescent="0.3">
      <c r="AA278" s="16" t="str">
        <f t="shared" si="3"/>
        <v>,,</v>
      </c>
    </row>
    <row r="279" spans="27:27" ht="20.25" customHeight="1" x14ac:dyDescent="0.3">
      <c r="AA279" s="16" t="str">
        <f t="shared" si="3"/>
        <v>,,</v>
      </c>
    </row>
    <row r="280" spans="27:27" ht="20.25" customHeight="1" x14ac:dyDescent="0.3">
      <c r="AA280" s="16" t="str">
        <f t="shared" si="3"/>
        <v>,,</v>
      </c>
    </row>
    <row r="281" spans="27:27" ht="20.25" customHeight="1" x14ac:dyDescent="0.3">
      <c r="AA281" s="16" t="str">
        <f t="shared" si="3"/>
        <v>,,</v>
      </c>
    </row>
    <row r="282" spans="27:27" ht="20.25" customHeight="1" x14ac:dyDescent="0.3">
      <c r="AA282" s="16" t="str">
        <f t="shared" si="3"/>
        <v>,,</v>
      </c>
    </row>
    <row r="283" spans="27:27" ht="20.25" customHeight="1" x14ac:dyDescent="0.3">
      <c r="AA283" s="16" t="str">
        <f t="shared" si="3"/>
        <v>,,</v>
      </c>
    </row>
    <row r="284" spans="27:27" ht="20.25" customHeight="1" x14ac:dyDescent="0.3">
      <c r="AA284" s="16" t="str">
        <f t="shared" si="3"/>
        <v>,,</v>
      </c>
    </row>
    <row r="285" spans="27:27" ht="20.25" customHeight="1" x14ac:dyDescent="0.3">
      <c r="AA285" s="16" t="str">
        <f t="shared" si="3"/>
        <v>,,</v>
      </c>
    </row>
    <row r="286" spans="27:27" ht="20.25" customHeight="1" x14ac:dyDescent="0.3">
      <c r="AA286" s="16" t="str">
        <f t="shared" si="3"/>
        <v>,,</v>
      </c>
    </row>
    <row r="287" spans="27:27" ht="20.25" customHeight="1" x14ac:dyDescent="0.3">
      <c r="AA287" s="16" t="str">
        <f t="shared" si="3"/>
        <v>,,</v>
      </c>
    </row>
    <row r="288" spans="27:27" ht="20.25" customHeight="1" x14ac:dyDescent="0.3">
      <c r="AA288" s="16" t="str">
        <f t="shared" si="3"/>
        <v>,,</v>
      </c>
    </row>
    <row r="289" spans="27:27" ht="20.25" customHeight="1" x14ac:dyDescent="0.3">
      <c r="AA289" s="16" t="str">
        <f t="shared" si="3"/>
        <v>,,</v>
      </c>
    </row>
    <row r="290" spans="27:27" ht="20.25" customHeight="1" x14ac:dyDescent="0.3">
      <c r="AA290" s="16" t="str">
        <f t="shared" si="3"/>
        <v>,,</v>
      </c>
    </row>
    <row r="291" spans="27:27" ht="20.25" customHeight="1" x14ac:dyDescent="0.3">
      <c r="AA291" s="16" t="str">
        <f t="shared" si="3"/>
        <v>,,</v>
      </c>
    </row>
    <row r="292" spans="27:27" ht="20.25" customHeight="1" x14ac:dyDescent="0.3">
      <c r="AA292" s="16" t="str">
        <f t="shared" si="3"/>
        <v>,,</v>
      </c>
    </row>
    <row r="293" spans="27:27" ht="20.25" customHeight="1" x14ac:dyDescent="0.3">
      <c r="AA293" s="16" t="str">
        <f t="shared" si="3"/>
        <v>,,</v>
      </c>
    </row>
    <row r="294" spans="27:27" ht="20.25" customHeight="1" x14ac:dyDescent="0.3">
      <c r="AA294" s="16" t="str">
        <f t="shared" si="3"/>
        <v>,,</v>
      </c>
    </row>
    <row r="295" spans="27:27" ht="20.25" customHeight="1" x14ac:dyDescent="0.3">
      <c r="AA295" s="16" t="str">
        <f t="shared" si="3"/>
        <v>,,</v>
      </c>
    </row>
    <row r="296" spans="27:27" ht="20.25" customHeight="1" x14ac:dyDescent="0.3">
      <c r="AA296" s="16" t="str">
        <f t="shared" si="3"/>
        <v>,,</v>
      </c>
    </row>
    <row r="297" spans="27:27" ht="20.25" customHeight="1" x14ac:dyDescent="0.3">
      <c r="AA297" s="16" t="str">
        <f t="shared" si="3"/>
        <v>,,</v>
      </c>
    </row>
    <row r="298" spans="27:27" ht="20.25" customHeight="1" x14ac:dyDescent="0.3">
      <c r="AA298" s="16" t="str">
        <f t="shared" si="3"/>
        <v>,,</v>
      </c>
    </row>
    <row r="299" spans="27:27" ht="20.25" customHeight="1" x14ac:dyDescent="0.3">
      <c r="AA299" s="16" t="str">
        <f t="shared" si="3"/>
        <v>,,</v>
      </c>
    </row>
    <row r="300" spans="27:27" ht="20.25" customHeight="1" x14ac:dyDescent="0.3">
      <c r="AA300" s="16" t="str">
        <f t="shared" si="3"/>
        <v>,,</v>
      </c>
    </row>
    <row r="301" spans="27:27" ht="20.25" customHeight="1" x14ac:dyDescent="0.3">
      <c r="AA301" s="16" t="str">
        <f t="shared" si="3"/>
        <v>,,</v>
      </c>
    </row>
    <row r="302" spans="27:27" ht="20.25" customHeight="1" x14ac:dyDescent="0.3">
      <c r="AA302" s="16" t="str">
        <f t="shared" si="3"/>
        <v>,,</v>
      </c>
    </row>
    <row r="303" spans="27:27" ht="20.25" customHeight="1" x14ac:dyDescent="0.3">
      <c r="AA303" s="16" t="str">
        <f t="shared" si="3"/>
        <v>,,</v>
      </c>
    </row>
    <row r="304" spans="27:27" ht="20.25" customHeight="1" x14ac:dyDescent="0.3">
      <c r="AA304" s="16" t="str">
        <f t="shared" ref="AA304:AA367" si="4">CONCATENATE(X304,",",Y304,",",Z304)</f>
        <v>,,</v>
      </c>
    </row>
    <row r="305" spans="27:27" ht="20.25" customHeight="1" x14ac:dyDescent="0.3">
      <c r="AA305" s="16" t="str">
        <f t="shared" si="4"/>
        <v>,,</v>
      </c>
    </row>
    <row r="306" spans="27:27" ht="20.25" customHeight="1" x14ac:dyDescent="0.3">
      <c r="AA306" s="16" t="str">
        <f t="shared" si="4"/>
        <v>,,</v>
      </c>
    </row>
    <row r="307" spans="27:27" ht="20.25" customHeight="1" x14ac:dyDescent="0.3">
      <c r="AA307" s="16" t="str">
        <f t="shared" si="4"/>
        <v>,,</v>
      </c>
    </row>
    <row r="308" spans="27:27" ht="20.25" customHeight="1" x14ac:dyDescent="0.3">
      <c r="AA308" s="16" t="str">
        <f t="shared" si="4"/>
        <v>,,</v>
      </c>
    </row>
    <row r="309" spans="27:27" ht="20.25" customHeight="1" x14ac:dyDescent="0.3">
      <c r="AA309" s="16" t="str">
        <f t="shared" si="4"/>
        <v>,,</v>
      </c>
    </row>
    <row r="310" spans="27:27" ht="20.25" customHeight="1" x14ac:dyDescent="0.3">
      <c r="AA310" s="16" t="str">
        <f t="shared" si="4"/>
        <v>,,</v>
      </c>
    </row>
    <row r="311" spans="27:27" ht="20.25" customHeight="1" x14ac:dyDescent="0.3">
      <c r="AA311" s="16" t="str">
        <f t="shared" si="4"/>
        <v>,,</v>
      </c>
    </row>
    <row r="312" spans="27:27" ht="20.25" customHeight="1" x14ac:dyDescent="0.3">
      <c r="AA312" s="16" t="str">
        <f t="shared" si="4"/>
        <v>,,</v>
      </c>
    </row>
    <row r="313" spans="27:27" ht="20.25" customHeight="1" x14ac:dyDescent="0.3">
      <c r="AA313" s="16" t="str">
        <f t="shared" si="4"/>
        <v>,,</v>
      </c>
    </row>
    <row r="314" spans="27:27" ht="20.25" customHeight="1" x14ac:dyDescent="0.3">
      <c r="AA314" s="16" t="str">
        <f t="shared" si="4"/>
        <v>,,</v>
      </c>
    </row>
    <row r="315" spans="27:27" ht="20.25" customHeight="1" x14ac:dyDescent="0.3">
      <c r="AA315" s="16" t="str">
        <f t="shared" si="4"/>
        <v>,,</v>
      </c>
    </row>
    <row r="316" spans="27:27" ht="20.25" customHeight="1" x14ac:dyDescent="0.3">
      <c r="AA316" s="16" t="str">
        <f t="shared" si="4"/>
        <v>,,</v>
      </c>
    </row>
    <row r="317" spans="27:27" ht="20.25" customHeight="1" x14ac:dyDescent="0.3">
      <c r="AA317" s="16" t="str">
        <f t="shared" si="4"/>
        <v>,,</v>
      </c>
    </row>
    <row r="318" spans="27:27" ht="20.25" customHeight="1" x14ac:dyDescent="0.3">
      <c r="AA318" s="16" t="str">
        <f t="shared" si="4"/>
        <v>,,</v>
      </c>
    </row>
    <row r="319" spans="27:27" ht="20.25" customHeight="1" x14ac:dyDescent="0.3">
      <c r="AA319" s="16" t="str">
        <f t="shared" si="4"/>
        <v>,,</v>
      </c>
    </row>
    <row r="320" spans="27:27" ht="20.25" customHeight="1" x14ac:dyDescent="0.3">
      <c r="AA320" s="16" t="str">
        <f t="shared" si="4"/>
        <v>,,</v>
      </c>
    </row>
    <row r="321" spans="27:27" ht="20.25" customHeight="1" x14ac:dyDescent="0.3">
      <c r="AA321" s="16" t="str">
        <f t="shared" si="4"/>
        <v>,,</v>
      </c>
    </row>
    <row r="322" spans="27:27" ht="20.25" customHeight="1" x14ac:dyDescent="0.3">
      <c r="AA322" s="16" t="str">
        <f t="shared" si="4"/>
        <v>,,</v>
      </c>
    </row>
    <row r="323" spans="27:27" ht="20.25" customHeight="1" x14ac:dyDescent="0.3">
      <c r="AA323" s="16" t="str">
        <f t="shared" si="4"/>
        <v>,,</v>
      </c>
    </row>
    <row r="324" spans="27:27" ht="20.25" customHeight="1" x14ac:dyDescent="0.3">
      <c r="AA324" s="16" t="str">
        <f t="shared" si="4"/>
        <v>,,</v>
      </c>
    </row>
    <row r="325" spans="27:27" ht="20.25" customHeight="1" x14ac:dyDescent="0.3">
      <c r="AA325" s="16" t="str">
        <f t="shared" si="4"/>
        <v>,,</v>
      </c>
    </row>
    <row r="326" spans="27:27" ht="20.25" customHeight="1" x14ac:dyDescent="0.3">
      <c r="AA326" s="16" t="str">
        <f t="shared" si="4"/>
        <v>,,</v>
      </c>
    </row>
    <row r="327" spans="27:27" ht="20.25" customHeight="1" x14ac:dyDescent="0.3">
      <c r="AA327" s="16" t="str">
        <f t="shared" si="4"/>
        <v>,,</v>
      </c>
    </row>
    <row r="328" spans="27:27" ht="20.25" customHeight="1" x14ac:dyDescent="0.3">
      <c r="AA328" s="16" t="str">
        <f t="shared" si="4"/>
        <v>,,</v>
      </c>
    </row>
    <row r="329" spans="27:27" ht="20.25" customHeight="1" x14ac:dyDescent="0.3">
      <c r="AA329" s="16" t="str">
        <f t="shared" si="4"/>
        <v>,,</v>
      </c>
    </row>
    <row r="330" spans="27:27" ht="20.25" customHeight="1" x14ac:dyDescent="0.3">
      <c r="AA330" s="16" t="str">
        <f t="shared" si="4"/>
        <v>,,</v>
      </c>
    </row>
    <row r="331" spans="27:27" ht="20.25" customHeight="1" x14ac:dyDescent="0.3">
      <c r="AA331" s="16" t="str">
        <f t="shared" si="4"/>
        <v>,,</v>
      </c>
    </row>
    <row r="332" spans="27:27" ht="20.25" customHeight="1" x14ac:dyDescent="0.3">
      <c r="AA332" s="16" t="str">
        <f t="shared" si="4"/>
        <v>,,</v>
      </c>
    </row>
    <row r="333" spans="27:27" ht="20.25" customHeight="1" x14ac:dyDescent="0.3">
      <c r="AA333" s="16" t="str">
        <f t="shared" si="4"/>
        <v>,,</v>
      </c>
    </row>
    <row r="334" spans="27:27" ht="20.25" customHeight="1" x14ac:dyDescent="0.3">
      <c r="AA334" s="16" t="str">
        <f t="shared" si="4"/>
        <v>,,</v>
      </c>
    </row>
    <row r="335" spans="27:27" ht="20.25" customHeight="1" x14ac:dyDescent="0.3">
      <c r="AA335" s="16" t="str">
        <f t="shared" si="4"/>
        <v>,,</v>
      </c>
    </row>
    <row r="336" spans="27:27" ht="20.25" customHeight="1" x14ac:dyDescent="0.3">
      <c r="AA336" s="16" t="str">
        <f t="shared" si="4"/>
        <v>,,</v>
      </c>
    </row>
    <row r="337" spans="27:27" ht="20.25" customHeight="1" x14ac:dyDescent="0.3">
      <c r="AA337" s="16" t="str">
        <f t="shared" si="4"/>
        <v>,,</v>
      </c>
    </row>
    <row r="338" spans="27:27" ht="20.25" customHeight="1" x14ac:dyDescent="0.3">
      <c r="AA338" s="16" t="str">
        <f t="shared" si="4"/>
        <v>,,</v>
      </c>
    </row>
    <row r="339" spans="27:27" ht="20.25" customHeight="1" x14ac:dyDescent="0.3">
      <c r="AA339" s="16" t="str">
        <f t="shared" si="4"/>
        <v>,,</v>
      </c>
    </row>
    <row r="340" spans="27:27" ht="20.25" customHeight="1" x14ac:dyDescent="0.3">
      <c r="AA340" s="16" t="str">
        <f t="shared" si="4"/>
        <v>,,</v>
      </c>
    </row>
    <row r="341" spans="27:27" ht="20.25" customHeight="1" x14ac:dyDescent="0.3">
      <c r="AA341" s="16" t="str">
        <f t="shared" si="4"/>
        <v>,,</v>
      </c>
    </row>
    <row r="342" spans="27:27" ht="20.25" customHeight="1" x14ac:dyDescent="0.3">
      <c r="AA342" s="16" t="str">
        <f t="shared" si="4"/>
        <v>,,</v>
      </c>
    </row>
    <row r="343" spans="27:27" ht="20.25" customHeight="1" x14ac:dyDescent="0.3">
      <c r="AA343" s="16" t="str">
        <f t="shared" si="4"/>
        <v>,,</v>
      </c>
    </row>
    <row r="344" spans="27:27" ht="20.25" customHeight="1" x14ac:dyDescent="0.3">
      <c r="AA344" s="16" t="str">
        <f t="shared" si="4"/>
        <v>,,</v>
      </c>
    </row>
    <row r="345" spans="27:27" ht="20.25" customHeight="1" x14ac:dyDescent="0.3">
      <c r="AA345" s="16" t="str">
        <f t="shared" si="4"/>
        <v>,,</v>
      </c>
    </row>
    <row r="346" spans="27:27" ht="20.25" customHeight="1" x14ac:dyDescent="0.3">
      <c r="AA346" s="16" t="str">
        <f t="shared" si="4"/>
        <v>,,</v>
      </c>
    </row>
    <row r="347" spans="27:27" ht="20.25" customHeight="1" x14ac:dyDescent="0.3">
      <c r="AA347" s="16" t="str">
        <f t="shared" si="4"/>
        <v>,,</v>
      </c>
    </row>
    <row r="348" spans="27:27" ht="20.25" customHeight="1" x14ac:dyDescent="0.3">
      <c r="AA348" s="16" t="str">
        <f t="shared" si="4"/>
        <v>,,</v>
      </c>
    </row>
    <row r="349" spans="27:27" ht="20.25" customHeight="1" x14ac:dyDescent="0.3">
      <c r="AA349" s="16" t="str">
        <f t="shared" si="4"/>
        <v>,,</v>
      </c>
    </row>
    <row r="350" spans="27:27" ht="20.25" customHeight="1" x14ac:dyDescent="0.3">
      <c r="AA350" s="16" t="str">
        <f t="shared" si="4"/>
        <v>,,</v>
      </c>
    </row>
    <row r="351" spans="27:27" ht="20.25" customHeight="1" x14ac:dyDescent="0.3">
      <c r="AA351" s="16" t="str">
        <f t="shared" si="4"/>
        <v>,,</v>
      </c>
    </row>
    <row r="352" spans="27:27" ht="20.25" customHeight="1" x14ac:dyDescent="0.3">
      <c r="AA352" s="16" t="str">
        <f t="shared" si="4"/>
        <v>,,</v>
      </c>
    </row>
    <row r="353" spans="27:27" ht="20.25" customHeight="1" x14ac:dyDescent="0.3">
      <c r="AA353" s="16" t="str">
        <f t="shared" si="4"/>
        <v>,,</v>
      </c>
    </row>
    <row r="354" spans="27:27" ht="20.25" customHeight="1" x14ac:dyDescent="0.3">
      <c r="AA354" s="16" t="str">
        <f t="shared" si="4"/>
        <v>,,</v>
      </c>
    </row>
    <row r="355" spans="27:27" ht="20.25" customHeight="1" x14ac:dyDescent="0.3">
      <c r="AA355" s="16" t="str">
        <f t="shared" si="4"/>
        <v>,,</v>
      </c>
    </row>
    <row r="356" spans="27:27" ht="20.25" customHeight="1" x14ac:dyDescent="0.3">
      <c r="AA356" s="16" t="str">
        <f t="shared" si="4"/>
        <v>,,</v>
      </c>
    </row>
    <row r="357" spans="27:27" ht="20.25" customHeight="1" x14ac:dyDescent="0.3">
      <c r="AA357" s="16" t="str">
        <f t="shared" si="4"/>
        <v>,,</v>
      </c>
    </row>
    <row r="358" spans="27:27" ht="20.25" customHeight="1" x14ac:dyDescent="0.3">
      <c r="AA358" s="16" t="str">
        <f t="shared" si="4"/>
        <v>,,</v>
      </c>
    </row>
    <row r="359" spans="27:27" ht="20.25" customHeight="1" x14ac:dyDescent="0.3">
      <c r="AA359" s="16" t="str">
        <f t="shared" si="4"/>
        <v>,,</v>
      </c>
    </row>
    <row r="360" spans="27:27" ht="20.25" customHeight="1" x14ac:dyDescent="0.3">
      <c r="AA360" s="16" t="str">
        <f t="shared" si="4"/>
        <v>,,</v>
      </c>
    </row>
    <row r="361" spans="27:27" ht="20.25" customHeight="1" x14ac:dyDescent="0.3">
      <c r="AA361" s="16" t="str">
        <f t="shared" si="4"/>
        <v>,,</v>
      </c>
    </row>
    <row r="362" spans="27:27" ht="20.25" customHeight="1" x14ac:dyDescent="0.3">
      <c r="AA362" s="16" t="str">
        <f t="shared" si="4"/>
        <v>,,</v>
      </c>
    </row>
    <row r="363" spans="27:27" ht="20.25" customHeight="1" x14ac:dyDescent="0.3">
      <c r="AA363" s="16" t="str">
        <f t="shared" si="4"/>
        <v>,,</v>
      </c>
    </row>
    <row r="364" spans="27:27" ht="20.25" customHeight="1" x14ac:dyDescent="0.3">
      <c r="AA364" s="16" t="str">
        <f t="shared" si="4"/>
        <v>,,</v>
      </c>
    </row>
    <row r="365" spans="27:27" ht="20.25" customHeight="1" x14ac:dyDescent="0.3">
      <c r="AA365" s="16" t="str">
        <f t="shared" si="4"/>
        <v>,,</v>
      </c>
    </row>
    <row r="366" spans="27:27" ht="20.25" customHeight="1" x14ac:dyDescent="0.3">
      <c r="AA366" s="16" t="str">
        <f t="shared" si="4"/>
        <v>,,</v>
      </c>
    </row>
    <row r="367" spans="27:27" ht="20.25" customHeight="1" x14ac:dyDescent="0.3">
      <c r="AA367" s="16" t="str">
        <f t="shared" si="4"/>
        <v>,,</v>
      </c>
    </row>
    <row r="368" spans="27:27" ht="20.25" customHeight="1" x14ac:dyDescent="0.3">
      <c r="AA368" s="16" t="str">
        <f t="shared" ref="AA368:AA382" si="5">CONCATENATE(X368,",",Y368,",",Z368)</f>
        <v>,,</v>
      </c>
    </row>
    <row r="369" spans="27:27" ht="20.25" customHeight="1" x14ac:dyDescent="0.3">
      <c r="AA369" s="16" t="str">
        <f t="shared" si="5"/>
        <v>,,</v>
      </c>
    </row>
    <row r="370" spans="27:27" ht="20.25" customHeight="1" x14ac:dyDescent="0.3">
      <c r="AA370" s="16" t="str">
        <f t="shared" si="5"/>
        <v>,,</v>
      </c>
    </row>
    <row r="371" spans="27:27" ht="20.25" customHeight="1" x14ac:dyDescent="0.3">
      <c r="AA371" s="16" t="str">
        <f t="shared" si="5"/>
        <v>,,</v>
      </c>
    </row>
    <row r="372" spans="27:27" ht="20.25" customHeight="1" x14ac:dyDescent="0.3">
      <c r="AA372" s="16" t="str">
        <f t="shared" si="5"/>
        <v>,,</v>
      </c>
    </row>
    <row r="373" spans="27:27" ht="20.25" customHeight="1" x14ac:dyDescent="0.3">
      <c r="AA373" s="16" t="str">
        <f t="shared" si="5"/>
        <v>,,</v>
      </c>
    </row>
    <row r="374" spans="27:27" ht="20.25" customHeight="1" x14ac:dyDescent="0.3">
      <c r="AA374" s="16" t="str">
        <f t="shared" si="5"/>
        <v>,,</v>
      </c>
    </row>
    <row r="375" spans="27:27" ht="20.25" customHeight="1" x14ac:dyDescent="0.3">
      <c r="AA375" s="16" t="str">
        <f t="shared" si="5"/>
        <v>,,</v>
      </c>
    </row>
    <row r="376" spans="27:27" ht="20.25" customHeight="1" x14ac:dyDescent="0.3">
      <c r="AA376" s="16" t="str">
        <f t="shared" si="5"/>
        <v>,,</v>
      </c>
    </row>
    <row r="377" spans="27:27" ht="20.25" customHeight="1" x14ac:dyDescent="0.3">
      <c r="AA377" s="16" t="str">
        <f t="shared" si="5"/>
        <v>,,</v>
      </c>
    </row>
    <row r="378" spans="27:27" ht="20.25" customHeight="1" x14ac:dyDescent="0.3">
      <c r="AA378" s="16" t="str">
        <f t="shared" si="5"/>
        <v>,,</v>
      </c>
    </row>
    <row r="379" spans="27:27" ht="20.25" customHeight="1" x14ac:dyDescent="0.3">
      <c r="AA379" s="16" t="str">
        <f t="shared" si="5"/>
        <v>,,</v>
      </c>
    </row>
    <row r="380" spans="27:27" ht="20.25" customHeight="1" x14ac:dyDescent="0.3">
      <c r="AA380" s="16" t="str">
        <f t="shared" si="5"/>
        <v>,,</v>
      </c>
    </row>
    <row r="381" spans="27:27" ht="20.25" customHeight="1" x14ac:dyDescent="0.3">
      <c r="AA381" s="16" t="str">
        <f t="shared" si="5"/>
        <v>,,</v>
      </c>
    </row>
    <row r="382" spans="27:27" ht="20.25" customHeight="1" x14ac:dyDescent="0.3">
      <c r="AA382" s="16" t="str">
        <f t="shared" si="5"/>
        <v>,,</v>
      </c>
    </row>
  </sheetData>
  <autoFilter ref="A1:AA115" xr:uid="{EB7F8C08-E070-4109-A828-1060F3E71BCF}"/>
  <phoneticPr fontId="3" type="noConversion"/>
  <conditionalFormatting sqref="A1:A1048576">
    <cfRule type="duplicateValues" dxfId="20" priority="5"/>
    <cfRule type="duplicateValues" dxfId="19" priority="7"/>
  </conditionalFormatting>
  <conditionalFormatting sqref="B1:B1048576">
    <cfRule type="cellIs" dxfId="18" priority="4" operator="equal">
      <formula>"제주도"</formula>
    </cfRule>
  </conditionalFormatting>
  <conditionalFormatting sqref="S1:S1048576">
    <cfRule type="cellIs" dxfId="17" priority="1" operator="equal">
      <formula>15400</formula>
    </cfRule>
    <cfRule type="cellIs" dxfId="16" priority="6" operator="equal">
      <formula>0</formula>
    </cfRule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05FD-AA08-4DF2-8DF2-5D015EF71FF6}">
  <sheetPr>
    <tabColor theme="5" tint="0.59999389629810485"/>
    <pageSetUpPr fitToPage="1"/>
  </sheetPr>
  <dimension ref="A1:X577"/>
  <sheetViews>
    <sheetView zoomScale="85" zoomScaleNormal="85" workbookViewId="0">
      <pane ySplit="1" topLeftCell="A66" activePane="bottomLeft" state="frozen"/>
      <selection activeCell="E12" sqref="E12"/>
      <selection pane="bottomLeft" activeCell="A2" sqref="A2:XFD75"/>
    </sheetView>
  </sheetViews>
  <sheetFormatPr defaultColWidth="34.875" defaultRowHeight="20.25" customHeight="1" x14ac:dyDescent="0.3"/>
  <cols>
    <col min="1" max="1" width="8.625" style="2" bestFit="1" customWidth="1"/>
    <col min="2" max="2" width="37.875" style="13" customWidth="1"/>
    <col min="3" max="3" width="27" style="30" customWidth="1"/>
    <col min="4" max="5" width="3.25" style="24" customWidth="1"/>
    <col min="6" max="6" width="7.625" style="2" customWidth="1"/>
    <col min="7" max="7" width="3.25" style="24" customWidth="1"/>
    <col min="8" max="9" width="13.625" style="2" bestFit="1" customWidth="1"/>
    <col min="10" max="10" width="7.5" style="15" customWidth="1"/>
    <col min="11" max="11" width="19.25" style="2" customWidth="1"/>
    <col min="12" max="12" width="4.875" style="2" customWidth="1"/>
    <col min="13" max="13" width="9" style="2" bestFit="1" customWidth="1"/>
    <col min="14" max="17" width="3.125" style="24" customWidth="1"/>
    <col min="18" max="18" width="5.375" style="2" customWidth="1"/>
    <col min="19" max="19" width="7.875" style="2" customWidth="1"/>
    <col min="20" max="21" width="4.5" style="2" customWidth="1"/>
    <col min="22" max="23" width="4.5" style="24" customWidth="1"/>
    <col min="24" max="24" width="39.875" style="2" customWidth="1"/>
    <col min="25" max="16384" width="34.875" style="2"/>
  </cols>
  <sheetData>
    <row r="1" spans="1:24" s="3" customFormat="1" ht="23.25" customHeight="1" x14ac:dyDescent="0.3">
      <c r="A1" s="9" t="s">
        <v>2</v>
      </c>
      <c r="B1" s="12" t="s">
        <v>5</v>
      </c>
      <c r="C1" s="29" t="s">
        <v>24</v>
      </c>
      <c r="D1" s="22" t="s">
        <v>25</v>
      </c>
      <c r="E1" s="22" t="s">
        <v>26</v>
      </c>
      <c r="F1" s="9" t="s">
        <v>0</v>
      </c>
      <c r="G1" s="22" t="s">
        <v>1</v>
      </c>
      <c r="H1" s="9" t="s">
        <v>3</v>
      </c>
      <c r="I1" s="9" t="s">
        <v>4</v>
      </c>
      <c r="J1" s="9" t="s">
        <v>34</v>
      </c>
      <c r="K1" s="9" t="s">
        <v>27</v>
      </c>
      <c r="L1" s="9" t="s">
        <v>6</v>
      </c>
      <c r="M1" s="9" t="s">
        <v>7</v>
      </c>
      <c r="N1" s="22" t="s">
        <v>28</v>
      </c>
      <c r="O1" s="22" t="s">
        <v>29</v>
      </c>
      <c r="P1" s="22" t="s">
        <v>30</v>
      </c>
      <c r="Q1" s="22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22" t="s">
        <v>32</v>
      </c>
      <c r="W1" s="22" t="s">
        <v>33</v>
      </c>
      <c r="X1" s="9" t="s">
        <v>19</v>
      </c>
    </row>
    <row r="2" spans="1:24" ht="23.25" customHeight="1" x14ac:dyDescent="0.3">
      <c r="A2" s="2" t="str">
        <f>경동전체1!A2</f>
        <v>이주현★</v>
      </c>
      <c r="B2" s="13" t="str">
        <f>SUBSTITUTE(SUBSTITUTE(SUBSTITUTE(SUBSTITUTE(SUBSTITUTE(SUBSTITUTE(SUBSTITUTE(SUBSTITUTE(SUBSTITUTE(SUBSTITUTE(SUBSTITUTE(SUBSTITUTE(SUBSTITUTE(경동전체1!K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원흥1로 31 (원흥동, 고양삼송엘에이치10단지아파트) 1004-502</v>
      </c>
      <c r="C2" s="30" t="str">
        <f>경동전체1!E2</f>
        <v>★파손주의★문 앞에 놓아주세요</v>
      </c>
      <c r="D2" s="23"/>
      <c r="E2" s="23"/>
      <c r="F2" s="4" t="str">
        <f>경동전체1!J2</f>
        <v>10562</v>
      </c>
      <c r="G2" s="23"/>
      <c r="H2" s="2" t="str">
        <f>경동전체1!H2</f>
        <v>010-6412-7957</v>
      </c>
      <c r="I2" s="2" t="str">
        <f>경동전체1!I2&amp;""</f>
        <v>010-6412-7957</v>
      </c>
      <c r="J2" s="2" t="s">
        <v>36</v>
      </c>
      <c r="K2" s="2" t="str">
        <f>IF(LEFT(경동전체1!G2,1)="","따사룸",경동전체1!G2)</f>
        <v>★증정★테이프20mx1</v>
      </c>
      <c r="L2" s="4" t="str">
        <f t="shared" ref="L2:L66" si="0">"1"</f>
        <v>1</v>
      </c>
      <c r="M2" s="1" t="str">
        <f>IF(LEFT(경동전체1!D2,1)="2","비닐",IF(LEFT(경동전체1!O2,1)="박","박스","비닐"))</f>
        <v>비닐</v>
      </c>
      <c r="N2" s="25">
        <v>1</v>
      </c>
      <c r="O2" s="25">
        <v>1</v>
      </c>
      <c r="P2" s="25">
        <v>1</v>
      </c>
      <c r="Q2" s="25">
        <v>1</v>
      </c>
      <c r="R2" s="1" t="str">
        <f t="shared" ref="R2:R66" si="1">"50"</f>
        <v>50</v>
      </c>
      <c r="S2" s="1">
        <f>경동전체1!B2</f>
        <v>19400</v>
      </c>
      <c r="T2" s="1" t="str">
        <f t="shared" ref="T2:T66" si="2">"100"</f>
        <v>100</v>
      </c>
      <c r="U2" s="5" t="str">
        <f t="shared" ref="U2:U66" si="3">"0"</f>
        <v>0</v>
      </c>
      <c r="V2" s="26">
        <v>0</v>
      </c>
      <c r="W2" s="26">
        <v>0</v>
      </c>
      <c r="X2" s="2" t="str">
        <f>SUBSTITUTE(SUBSTITUTE(SUBSTITUTE(SUBSTITUTE(SUBSTITUTE(SUBSTITUTE(SUBSTITUTE(SUBSTITUTE(SUBSTITUTE(SUBSTITUTE(SUBSTITUTE(SUBSTITUTE(SUBSTITUTE(경동전체1!D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(140)17T퓨어아이8mx1</v>
      </c>
    </row>
    <row r="3" spans="1:24" ht="23.25" customHeight="1" x14ac:dyDescent="0.3">
      <c r="A3" s="2" t="str">
        <f>경동전체1!A3</f>
        <v>전준하★</v>
      </c>
      <c r="B3" s="13" t="str">
        <f>SUBSTITUTE(SUBSTITUTE(SUBSTITUTE(SUBSTITUTE(SUBSTITUTE(SUBSTITUTE(SUBSTITUTE(SUBSTITUTE(SUBSTITUTE(SUBSTITUTE(SUBSTITUTE(SUBSTITUTE(SUBSTITUTE(경동전체1!K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화성시 병점3로 117 (병점동, 안화동마을주공9단지) 901동 1605호</v>
      </c>
      <c r="C3" s="30" t="str">
        <f>경동전체1!E3</f>
        <v>★파손주의★물품 잘 확인해서 보내주세요. 배송시 문자주시고 문앞에 놓아주세요. 감사합니다.</v>
      </c>
      <c r="D3" s="23"/>
      <c r="E3" s="23"/>
      <c r="F3" s="4" t="str">
        <f>경동전체1!J3</f>
        <v>18405</v>
      </c>
      <c r="G3" s="23"/>
      <c r="H3" s="2" t="str">
        <f>경동전체1!H3</f>
        <v>010-5153-1054</v>
      </c>
      <c r="I3" s="2" t="str">
        <f>경동전체1!I3&amp;""</f>
        <v>010-5153-1054</v>
      </c>
      <c r="J3" s="2" t="s">
        <v>36</v>
      </c>
      <c r="K3" s="2" t="str">
        <f>IF(LEFT(경동전체1!G3,1)="","따사룸",경동전체1!G3)</f>
        <v>★증정★테이프20mx1</v>
      </c>
      <c r="L3" s="4" t="str">
        <f t="shared" si="0"/>
        <v>1</v>
      </c>
      <c r="M3" s="1" t="str">
        <f>IF(LEFT(경동전체1!D3,1)="2","비닐",IF(LEFT(경동전체1!O3,1)="박","박스","비닐"))</f>
        <v>비닐</v>
      </c>
      <c r="N3" s="25">
        <v>1</v>
      </c>
      <c r="O3" s="25">
        <v>1</v>
      </c>
      <c r="P3" s="25">
        <v>1</v>
      </c>
      <c r="Q3" s="25">
        <v>1</v>
      </c>
      <c r="R3" s="1" t="str">
        <f t="shared" si="1"/>
        <v>50</v>
      </c>
      <c r="S3" s="1">
        <f>경동전체1!B3</f>
        <v>19400</v>
      </c>
      <c r="T3" s="1" t="str">
        <f t="shared" si="2"/>
        <v>100</v>
      </c>
      <c r="U3" s="5" t="str">
        <f t="shared" si="3"/>
        <v>0</v>
      </c>
      <c r="V3" s="26">
        <v>0</v>
      </c>
      <c r="W3" s="26">
        <v>0</v>
      </c>
      <c r="X3" s="2" t="str">
        <f>SUBSTITUTE(SUBSTITUTE(SUBSTITUTE(SUBSTITUTE(SUBSTITUTE(SUBSTITUTE(SUBSTITUTE(SUBSTITUTE(SUBSTITUTE(SUBSTITUTE(SUBSTITUTE(SUBSTITUTE(SUBSTITUTE(경동전체1!D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(140)17T퓨어아이8mx1</v>
      </c>
    </row>
    <row r="4" spans="1:24" ht="23.25" customHeight="1" x14ac:dyDescent="0.3">
      <c r="A4" s="2" t="str">
        <f>경동전체1!A4</f>
        <v>나병준</v>
      </c>
      <c r="B4" s="13" t="str">
        <f>SUBSTITUTE(SUBSTITUTE(SUBSTITUTE(SUBSTITUTE(SUBSTITUTE(SUBSTITUTE(SUBSTITUTE(SUBSTITUTE(SUBSTITUTE(SUBSTITUTE(SUBSTITUTE(SUBSTITUTE(SUBSTITUTE(경동전체1!K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수지구 손곡로 82 (동천동, 수진마을써니벨리아파트) 106동 506호</v>
      </c>
      <c r="C4" s="30">
        <f>경동전체1!E4</f>
        <v>0</v>
      </c>
      <c r="D4" s="23"/>
      <c r="E4" s="23"/>
      <c r="F4" s="4" t="str">
        <f>경동전체1!J4</f>
        <v>16823</v>
      </c>
      <c r="G4" s="23"/>
      <c r="H4" s="2" t="str">
        <f>경동전체1!H4</f>
        <v>010-9174-1121</v>
      </c>
      <c r="I4" s="2" t="str">
        <f>경동전체1!I4&amp;""</f>
        <v>010-9174-1121</v>
      </c>
      <c r="J4" s="2" t="s">
        <v>36</v>
      </c>
      <c r="K4" s="2" t="str">
        <f>IF(LEFT(경동전체1!G4,1)="","따사룸",경동전체1!G4)</f>
        <v>따사룸</v>
      </c>
      <c r="L4" s="4" t="str">
        <f t="shared" si="0"/>
        <v>1</v>
      </c>
      <c r="M4" s="1" t="str">
        <f>IF(LEFT(경동전체1!D4,1)="2","비닐",IF(LEFT(경동전체1!O4,1)="박","박스","비닐"))</f>
        <v>비닐</v>
      </c>
      <c r="N4" s="25">
        <v>1</v>
      </c>
      <c r="O4" s="25">
        <v>1</v>
      </c>
      <c r="P4" s="25">
        <v>1</v>
      </c>
      <c r="Q4" s="25">
        <v>1</v>
      </c>
      <c r="R4" s="1" t="str">
        <f t="shared" si="1"/>
        <v>50</v>
      </c>
      <c r="S4" s="1">
        <f>경동전체1!B4</f>
        <v>12700</v>
      </c>
      <c r="T4" s="1" t="str">
        <f t="shared" si="2"/>
        <v>100</v>
      </c>
      <c r="U4" s="5" t="str">
        <f t="shared" si="3"/>
        <v>0</v>
      </c>
      <c r="V4" s="26">
        <v>0</v>
      </c>
      <c r="W4" s="26">
        <v>0</v>
      </c>
      <c r="X4" s="2" t="str">
        <f>SUBSTITUTE(SUBSTITUTE(SUBSTITUTE(SUBSTITUTE(SUBSTITUTE(SUBSTITUTE(SUBSTITUTE(SUBSTITUTE(SUBSTITUTE(SUBSTITUTE(SUBSTITUTE(SUBSTITUTE(SUBSTITUTE(경동전체1!D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25T아이(50)x6</v>
      </c>
    </row>
    <row r="5" spans="1:24" ht="23.25" customHeight="1" x14ac:dyDescent="0.3">
      <c r="A5" s="2" t="str">
        <f>경동전체1!A5</f>
        <v>4-3나대남</v>
      </c>
      <c r="B5" s="13" t="str">
        <f>SUBSTITUTE(SUBSTITUTE(SUBSTITUTE(SUBSTITUTE(SUBSTITUTE(SUBSTITUTE(SUBSTITUTE(SUBSTITUTE(SUBSTITUTE(SUBSTITUTE(SUBSTITUTE(SUBSTITUTE(SUBSTITUTE(경동전체1!K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5" s="30" t="str">
        <f>경동전체1!E5</f>
        <v>배송 전 미리 연락해 주세요</v>
      </c>
      <c r="D5" s="23"/>
      <c r="E5" s="23"/>
      <c r="F5" s="4" t="str">
        <f>경동전체1!J5</f>
        <v>01014</v>
      </c>
      <c r="G5" s="23"/>
      <c r="H5" s="2" t="str">
        <f>경동전체1!H5</f>
        <v>010-8965-2389</v>
      </c>
      <c r="I5" s="2" t="str">
        <f>경동전체1!I5&amp;""</f>
        <v>0502-3214-2132</v>
      </c>
      <c r="J5" s="2" t="s">
        <v>36</v>
      </c>
      <c r="K5" s="2" t="str">
        <f>IF(LEFT(경동전체1!G5,1)="","따사룸",경동전체1!G5)</f>
        <v>따사룸</v>
      </c>
      <c r="L5" s="4" t="str">
        <f t="shared" si="0"/>
        <v>1</v>
      </c>
      <c r="M5" s="1" t="str">
        <f>IF(LEFT(경동전체1!D5,1)="2","비닐",IF(LEFT(경동전체1!O5,1)="박","박스","비닐"))</f>
        <v>비닐</v>
      </c>
      <c r="N5" s="25">
        <v>1</v>
      </c>
      <c r="O5" s="25">
        <v>1</v>
      </c>
      <c r="P5" s="25">
        <v>1</v>
      </c>
      <c r="Q5" s="25">
        <v>1</v>
      </c>
      <c r="R5" s="1" t="str">
        <f t="shared" si="1"/>
        <v>50</v>
      </c>
      <c r="S5" s="1">
        <f>경동전체1!B5</f>
        <v>0</v>
      </c>
      <c r="T5" s="1" t="str">
        <f t="shared" si="2"/>
        <v>100</v>
      </c>
      <c r="U5" s="5" t="str">
        <f t="shared" si="3"/>
        <v>0</v>
      </c>
      <c r="V5" s="26">
        <v>0</v>
      </c>
      <c r="W5" s="26">
        <v>0</v>
      </c>
      <c r="X5" s="2" t="str">
        <f>SUBSTITUTE(SUBSTITUTE(SUBSTITUTE(SUBSTITUTE(SUBSTITUTE(SUBSTITUTE(SUBSTITUTE(SUBSTITUTE(SUBSTITUTE(SUBSTITUTE(SUBSTITUTE(SUBSTITUTE(SUBSTITUTE(경동전체1!D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6" spans="1:24" ht="23.25" customHeight="1" x14ac:dyDescent="0.3">
      <c r="A6" s="2" t="str">
        <f>경동전체1!A6</f>
        <v>4-1나대남★</v>
      </c>
      <c r="B6" s="13" t="str">
        <f>SUBSTITUTE(SUBSTITUTE(SUBSTITUTE(SUBSTITUTE(SUBSTITUTE(SUBSTITUTE(SUBSTITUTE(SUBSTITUTE(SUBSTITUTE(SUBSTITUTE(SUBSTITUTE(SUBSTITUTE(SUBSTITUTE(경동전체1!K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6" s="30" t="str">
        <f>경동전체1!E6</f>
        <v>★파손주의★</v>
      </c>
      <c r="D6" s="23"/>
      <c r="E6" s="23"/>
      <c r="F6" s="4" t="str">
        <f>경동전체1!J6</f>
        <v>01014</v>
      </c>
      <c r="G6" s="23"/>
      <c r="H6" s="2" t="str">
        <f>경동전체1!H6</f>
        <v>010-8965-2389</v>
      </c>
      <c r="I6" s="2" t="str">
        <f>경동전체1!I6&amp;""</f>
        <v>0502-3214-2132</v>
      </c>
      <c r="J6" s="2" t="s">
        <v>36</v>
      </c>
      <c r="K6" s="2" t="str">
        <f>IF(LEFT(경동전체1!G6,1)="","따사룸",경동전체1!G6)</f>
        <v>따사룸</v>
      </c>
      <c r="L6" s="4" t="str">
        <f t="shared" si="0"/>
        <v>1</v>
      </c>
      <c r="M6" s="1" t="str">
        <f>IF(LEFT(경동전체1!D6,1)="2","비닐",IF(LEFT(경동전체1!O6,1)="박","박스","비닐"))</f>
        <v>비닐</v>
      </c>
      <c r="N6" s="25">
        <v>1</v>
      </c>
      <c r="O6" s="25">
        <v>1</v>
      </c>
      <c r="P6" s="25">
        <v>1</v>
      </c>
      <c r="Q6" s="25">
        <v>1</v>
      </c>
      <c r="R6" s="1" t="str">
        <f t="shared" si="1"/>
        <v>50</v>
      </c>
      <c r="S6" s="1">
        <f>경동전체1!B6</f>
        <v>12700</v>
      </c>
      <c r="T6" s="1" t="str">
        <f t="shared" si="2"/>
        <v>100</v>
      </c>
      <c r="U6" s="5" t="str">
        <f t="shared" si="3"/>
        <v>0</v>
      </c>
      <c r="V6" s="26">
        <v>0</v>
      </c>
      <c r="W6" s="26">
        <v>0</v>
      </c>
      <c r="X6" s="2" t="str">
        <f>SUBSTITUTE(SUBSTITUTE(SUBSTITUTE(SUBSTITUTE(SUBSTITUTE(SUBSTITUTE(SUBSTITUTE(SUBSTITUTE(SUBSTITUTE(SUBSTITUTE(SUBSTITUTE(SUBSTITUTE(SUBSTITUTE(경동전체1!D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(110)17T마블5.5mx1</v>
      </c>
    </row>
    <row r="7" spans="1:24" ht="23.25" customHeight="1" x14ac:dyDescent="0.3">
      <c r="A7" s="2" t="str">
        <f>경동전체1!A7</f>
        <v>4-2나대남</v>
      </c>
      <c r="B7" s="13" t="str">
        <f>SUBSTITUTE(SUBSTITUTE(SUBSTITUTE(SUBSTITUTE(SUBSTITUTE(SUBSTITUTE(SUBSTITUTE(SUBSTITUTE(SUBSTITUTE(SUBSTITUTE(SUBSTITUTE(SUBSTITUTE(SUBSTITUTE(경동전체1!K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7" s="30" t="str">
        <f>경동전체1!E7</f>
        <v>배송 전 미리 연락해 주세요</v>
      </c>
      <c r="D7" s="23"/>
      <c r="E7" s="23"/>
      <c r="F7" s="4" t="str">
        <f>경동전체1!J7</f>
        <v>01014</v>
      </c>
      <c r="G7" s="23"/>
      <c r="H7" s="2" t="str">
        <f>경동전체1!H7</f>
        <v>010-8965-2389</v>
      </c>
      <c r="I7" s="2" t="str">
        <f>경동전체1!I7&amp;""</f>
        <v>0502-3214-2132</v>
      </c>
      <c r="J7" s="2" t="s">
        <v>36</v>
      </c>
      <c r="K7" s="2" t="str">
        <f>IF(LEFT(경동전체1!G7,1)="","따사룸",경동전체1!G7)</f>
        <v>★증정★테이프20mx3</v>
      </c>
      <c r="L7" s="4" t="str">
        <f t="shared" si="0"/>
        <v>1</v>
      </c>
      <c r="M7" s="1" t="str">
        <f>IF(LEFT(경동전체1!D7,1)="2","비닐",IF(LEFT(경동전체1!O7,1)="박","박스","비닐"))</f>
        <v>박스</v>
      </c>
      <c r="N7" s="25">
        <v>1</v>
      </c>
      <c r="O7" s="25">
        <v>1</v>
      </c>
      <c r="P7" s="25">
        <v>1</v>
      </c>
      <c r="Q7" s="25">
        <v>1</v>
      </c>
      <c r="R7" s="1" t="str">
        <f t="shared" si="1"/>
        <v>50</v>
      </c>
      <c r="S7" s="1">
        <f>경동전체1!B7</f>
        <v>12100</v>
      </c>
      <c r="T7" s="1" t="str">
        <f t="shared" si="2"/>
        <v>100</v>
      </c>
      <c r="U7" s="5" t="str">
        <f t="shared" si="3"/>
        <v>0</v>
      </c>
      <c r="V7" s="26">
        <v>0</v>
      </c>
      <c r="W7" s="26">
        <v>0</v>
      </c>
      <c r="X7" s="2" t="str">
        <f>SUBSTITUTE(SUBSTITUTE(SUBSTITUTE(SUBSTITUTE(SUBSTITUTE(SUBSTITUTE(SUBSTITUTE(SUBSTITUTE(SUBSTITUTE(SUBSTITUTE(SUBSTITUTE(SUBSTITUTE(SUBSTITUTE(경동전체1!D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(110)17T마블5mx1</v>
      </c>
    </row>
    <row r="8" spans="1:24" ht="23.25" customHeight="1" x14ac:dyDescent="0.3">
      <c r="A8" s="2" t="str">
        <f>경동전체1!A8</f>
        <v>4-3나대남</v>
      </c>
      <c r="B8" s="13" t="str">
        <f>SUBSTITUTE(SUBSTITUTE(SUBSTITUTE(SUBSTITUTE(SUBSTITUTE(SUBSTITUTE(SUBSTITUTE(SUBSTITUTE(SUBSTITUTE(SUBSTITUTE(SUBSTITUTE(SUBSTITUTE(SUBSTITUTE(경동전체1!K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8" s="30" t="str">
        <f>경동전체1!E8</f>
        <v>배송 전 미리 연락해 주세요</v>
      </c>
      <c r="D8" s="23"/>
      <c r="E8" s="23"/>
      <c r="F8" s="4" t="str">
        <f>경동전체1!J8</f>
        <v>01014</v>
      </c>
      <c r="G8" s="23"/>
      <c r="H8" s="2" t="str">
        <f>경동전체1!H8</f>
        <v>010-8965-2389</v>
      </c>
      <c r="I8" s="2" t="str">
        <f>경동전체1!I8&amp;""</f>
        <v>0502-3214-2132</v>
      </c>
      <c r="J8" s="2" t="s">
        <v>36</v>
      </c>
      <c r="K8" s="2" t="str">
        <f>IF(LEFT(경동전체1!G8,1)="","따사룸",경동전체1!G8)</f>
        <v>따사룸</v>
      </c>
      <c r="L8" s="4" t="str">
        <f t="shared" si="0"/>
        <v>1</v>
      </c>
      <c r="M8" s="1" t="str">
        <f>IF(LEFT(경동전체1!D8,1)="2","비닐",IF(LEFT(경동전체1!O8,1)="박","박스","비닐"))</f>
        <v>박스</v>
      </c>
      <c r="N8" s="25">
        <v>1</v>
      </c>
      <c r="O8" s="25">
        <v>1</v>
      </c>
      <c r="P8" s="25">
        <v>1</v>
      </c>
      <c r="Q8" s="25">
        <v>1</v>
      </c>
      <c r="R8" s="1" t="str">
        <f t="shared" si="1"/>
        <v>50</v>
      </c>
      <c r="S8" s="1">
        <f>경동전체1!B8</f>
        <v>12100</v>
      </c>
      <c r="T8" s="1" t="str">
        <f t="shared" si="2"/>
        <v>100</v>
      </c>
      <c r="U8" s="5" t="str">
        <f t="shared" si="3"/>
        <v>0</v>
      </c>
      <c r="V8" s="26">
        <v>0</v>
      </c>
      <c r="W8" s="26">
        <v>0</v>
      </c>
      <c r="X8" s="2" t="str">
        <f>SUBSTITUTE(SUBSTITUTE(SUBSTITUTE(SUBSTITUTE(SUBSTITUTE(SUBSTITUTE(SUBSTITUTE(SUBSTITUTE(SUBSTITUTE(SUBSTITUTE(SUBSTITUTE(SUBSTITUTE(SUBSTITUTE(경동전체1!D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(110)17T마블5mx1</v>
      </c>
    </row>
    <row r="9" spans="1:24" ht="23.25" customHeight="1" x14ac:dyDescent="0.3">
      <c r="A9" s="2" t="str">
        <f>경동전체1!A9</f>
        <v>4-4나대남</v>
      </c>
      <c r="B9" s="13" t="str">
        <f>SUBSTITUTE(SUBSTITUTE(SUBSTITUTE(SUBSTITUTE(SUBSTITUTE(SUBSTITUTE(SUBSTITUTE(SUBSTITUTE(SUBSTITUTE(SUBSTITUTE(SUBSTITUTE(SUBSTITUTE(SUBSTITUTE(경동전체1!K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9" s="30" t="str">
        <f>경동전체1!E9</f>
        <v>배송 전 미리 연락해 주세요</v>
      </c>
      <c r="D9" s="23"/>
      <c r="E9" s="23"/>
      <c r="F9" s="4" t="str">
        <f>경동전체1!J9</f>
        <v>01014</v>
      </c>
      <c r="G9" s="23"/>
      <c r="H9" s="2" t="str">
        <f>경동전체1!H9</f>
        <v>010-8965-2389</v>
      </c>
      <c r="I9" s="2" t="str">
        <f>경동전체1!I9&amp;""</f>
        <v>0502-3214-2132</v>
      </c>
      <c r="J9" s="2" t="s">
        <v>36</v>
      </c>
      <c r="K9" s="2" t="str">
        <f>IF(LEFT(경동전체1!G9,1)="","따사룸",경동전체1!G9)</f>
        <v>따사룸</v>
      </c>
      <c r="L9" s="4" t="str">
        <f t="shared" si="0"/>
        <v>1</v>
      </c>
      <c r="M9" s="1" t="str">
        <f>IF(LEFT(경동전체1!D9,1)="2","비닐",IF(LEFT(경동전체1!O9,1)="박","박스","비닐"))</f>
        <v>박스</v>
      </c>
      <c r="N9" s="25">
        <v>1</v>
      </c>
      <c r="O9" s="25">
        <v>1</v>
      </c>
      <c r="P9" s="25">
        <v>1</v>
      </c>
      <c r="Q9" s="25">
        <v>1</v>
      </c>
      <c r="R9" s="1" t="str">
        <f t="shared" si="1"/>
        <v>50</v>
      </c>
      <c r="S9" s="1">
        <f>경동전체1!B9</f>
        <v>13800</v>
      </c>
      <c r="T9" s="1" t="str">
        <f t="shared" si="2"/>
        <v>100</v>
      </c>
      <c r="U9" s="5" t="str">
        <f t="shared" si="3"/>
        <v>0</v>
      </c>
      <c r="V9" s="26">
        <v>0</v>
      </c>
      <c r="W9" s="26">
        <v>0</v>
      </c>
      <c r="X9" s="2" t="str">
        <f>SUBSTITUTE(SUBSTITUTE(SUBSTITUTE(SUBSTITUTE(SUBSTITUTE(SUBSTITUTE(SUBSTITUTE(SUBSTITUTE(SUBSTITUTE(SUBSTITUTE(SUBSTITUTE(SUBSTITUTE(SUBSTITUTE(경동전체1!D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(120)17T마블3mx1</v>
      </c>
    </row>
    <row r="10" spans="1:24" ht="23.25" customHeight="1" x14ac:dyDescent="0.3">
      <c r="A10" s="2" t="str">
        <f>경동전체1!A10</f>
        <v>4-4나대남</v>
      </c>
      <c r="B10" s="13" t="str">
        <f>SUBSTITUTE(SUBSTITUTE(SUBSTITUTE(SUBSTITUTE(SUBSTITUTE(SUBSTITUTE(SUBSTITUTE(SUBSTITUTE(SUBSTITUTE(SUBSTITUTE(SUBSTITUTE(SUBSTITUTE(SUBSTITUTE(경동전체1!K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강북구 4.19로13길 9 (수유동, 우이블루빌) 402호</v>
      </c>
      <c r="C10" s="30" t="str">
        <f>경동전체1!E10</f>
        <v>배송 전 미리 연락해 주세요</v>
      </c>
      <c r="D10" s="23"/>
      <c r="E10" s="23"/>
      <c r="F10" s="4" t="str">
        <f>경동전체1!J10</f>
        <v>01014</v>
      </c>
      <c r="G10" s="23"/>
      <c r="H10" s="2" t="str">
        <f>경동전체1!H10</f>
        <v>010-8965-2389</v>
      </c>
      <c r="I10" s="2" t="str">
        <f>경동전체1!I10&amp;""</f>
        <v>0502-3214-2132</v>
      </c>
      <c r="J10" s="2" t="s">
        <v>36</v>
      </c>
      <c r="K10" s="2" t="str">
        <f>IF(LEFT(경동전체1!G10,1)="","따사룸",경동전체1!G10)</f>
        <v>따사룸</v>
      </c>
      <c r="L10" s="4" t="str">
        <f t="shared" si="0"/>
        <v>1</v>
      </c>
      <c r="M10" s="1" t="str">
        <f>IF(LEFT(경동전체1!D10,1)="2","비닐",IF(LEFT(경동전체1!O10,1)="박","박스","비닐"))</f>
        <v>비닐</v>
      </c>
      <c r="N10" s="25">
        <v>1</v>
      </c>
      <c r="O10" s="25">
        <v>1</v>
      </c>
      <c r="P10" s="25">
        <v>1</v>
      </c>
      <c r="Q10" s="25">
        <v>1</v>
      </c>
      <c r="R10" s="1" t="str">
        <f t="shared" si="1"/>
        <v>50</v>
      </c>
      <c r="S10" s="1">
        <f>경동전체1!B10</f>
        <v>0</v>
      </c>
      <c r="T10" s="1" t="str">
        <f t="shared" si="2"/>
        <v>100</v>
      </c>
      <c r="U10" s="5" t="str">
        <f t="shared" si="3"/>
        <v>0</v>
      </c>
      <c r="V10" s="26">
        <v>0</v>
      </c>
      <c r="W10" s="26">
        <v>0</v>
      </c>
      <c r="X10" s="2" t="str">
        <f>SUBSTITUTE(SUBSTITUTE(SUBSTITUTE(SUBSTITUTE(SUBSTITUTE(SUBSTITUTE(SUBSTITUTE(SUBSTITUTE(SUBSTITUTE(SUBSTITUTE(SUBSTITUTE(SUBSTITUTE(SUBSTITUTE(경동전체1!D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(120)17T마블2mx1</v>
      </c>
    </row>
    <row r="11" spans="1:24" ht="23.25" customHeight="1" x14ac:dyDescent="0.3">
      <c r="A11" s="2" t="str">
        <f>경동전체1!A11</f>
        <v>최규철</v>
      </c>
      <c r="B11" s="13" t="str">
        <f>SUBSTITUTE(SUBSTITUTE(SUBSTITUTE(SUBSTITUTE(SUBSTITUTE(SUBSTITUTE(SUBSTITUTE(SUBSTITUTE(SUBSTITUTE(SUBSTITUTE(SUBSTITUTE(SUBSTITUTE(SUBSTITUTE(경동전체1!K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상주시 이안면 양범안룡길 80 (이안면) 양범교회</v>
      </c>
      <c r="C11" s="30">
        <f>경동전체1!E11</f>
        <v>0</v>
      </c>
      <c r="D11" s="23"/>
      <c r="E11" s="23"/>
      <c r="F11" s="4" t="str">
        <f>경동전체1!J11</f>
        <v>37107</v>
      </c>
      <c r="G11" s="23"/>
      <c r="H11" s="2" t="str">
        <f>경동전체1!H11</f>
        <v>010-8823-9437</v>
      </c>
      <c r="I11" s="2" t="str">
        <f>경동전체1!I11&amp;""</f>
        <v>010-8823-9437</v>
      </c>
      <c r="J11" s="2" t="s">
        <v>36</v>
      </c>
      <c r="K11" s="2" t="str">
        <f>IF(LEFT(경동전체1!G11,1)="","따사룸",경동전체1!G11)</f>
        <v>따사룸</v>
      </c>
      <c r="L11" s="4" t="str">
        <f t="shared" si="0"/>
        <v>1</v>
      </c>
      <c r="M11" s="1" t="str">
        <f>IF(LEFT(경동전체1!D11,1)="2","비닐",IF(LEFT(경동전체1!O11,1)="박","박스","비닐"))</f>
        <v>박스</v>
      </c>
      <c r="N11" s="25">
        <v>1</v>
      </c>
      <c r="O11" s="25">
        <v>1</v>
      </c>
      <c r="P11" s="25">
        <v>1</v>
      </c>
      <c r="Q11" s="25">
        <v>1</v>
      </c>
      <c r="R11" s="1" t="str">
        <f t="shared" si="1"/>
        <v>50</v>
      </c>
      <c r="S11" s="1">
        <f>경동전체1!B11</f>
        <v>8600</v>
      </c>
      <c r="T11" s="1" t="str">
        <f t="shared" si="2"/>
        <v>100</v>
      </c>
      <c r="U11" s="5" t="str">
        <f t="shared" si="3"/>
        <v>0</v>
      </c>
      <c r="V11" s="26">
        <v>0</v>
      </c>
      <c r="W11" s="26">
        <v>0</v>
      </c>
      <c r="X11" s="2" t="str">
        <f>SUBSTITUTE(SUBSTITUTE(SUBSTITUTE(SUBSTITUTE(SUBSTITUTE(SUBSTITUTE(SUBSTITUTE(SUBSTITUTE(SUBSTITUTE(SUBSTITUTE(SUBSTITUTE(SUBSTITUTE(SUBSTITUTE(경동전체1!D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(140)6T그레이2mx1</v>
      </c>
    </row>
    <row r="12" spans="1:24" ht="23.25" customHeight="1" x14ac:dyDescent="0.3">
      <c r="A12" s="2" t="str">
        <f>경동전체1!A12</f>
        <v>한정우</v>
      </c>
      <c r="B12" s="13" t="str">
        <f>SUBSTITUTE(SUBSTITUTE(SUBSTITUTE(SUBSTITUTE(SUBSTITUTE(SUBSTITUTE(SUBSTITUTE(SUBSTITUTE(SUBSTITUTE(SUBSTITUTE(SUBSTITUTE(SUBSTITUTE(SUBSTITUTE(경동전체1!K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강서구 양천로 177 (마곡동, 가양하수처리장직원아파트) 2동 206호</v>
      </c>
      <c r="C12" s="30">
        <f>경동전체1!E12</f>
        <v>0</v>
      </c>
      <c r="D12" s="23"/>
      <c r="E12" s="23"/>
      <c r="F12" s="4" t="str">
        <f>경동전체1!J12</f>
        <v>07520</v>
      </c>
      <c r="G12" s="23"/>
      <c r="H12" s="2" t="str">
        <f>경동전체1!H12</f>
        <v>010-9524-9234</v>
      </c>
      <c r="I12" s="2" t="str">
        <f>경동전체1!I12&amp;""</f>
        <v>010-9524-9234</v>
      </c>
      <c r="J12" s="2" t="s">
        <v>36</v>
      </c>
      <c r="K12" s="2" t="str">
        <f>IF(LEFT(경동전체1!G12,1)="","따사룸",경동전체1!G12)</f>
        <v>따사룸</v>
      </c>
      <c r="L12" s="4" t="str">
        <f t="shared" si="0"/>
        <v>1</v>
      </c>
      <c r="M12" s="1" t="str">
        <f>IF(LEFT(경동전체1!D12,1)="2","비닐",IF(LEFT(경동전체1!O12,1)="박","박스","비닐"))</f>
        <v>비닐</v>
      </c>
      <c r="N12" s="25">
        <v>1</v>
      </c>
      <c r="O12" s="25">
        <v>1</v>
      </c>
      <c r="P12" s="25">
        <v>1</v>
      </c>
      <c r="Q12" s="25">
        <v>1</v>
      </c>
      <c r="R12" s="1" t="str">
        <f t="shared" si="1"/>
        <v>50</v>
      </c>
      <c r="S12" s="1">
        <f>경동전체1!B12</f>
        <v>6900</v>
      </c>
      <c r="T12" s="1" t="str">
        <f t="shared" si="2"/>
        <v>100</v>
      </c>
      <c r="U12" s="5" t="str">
        <f t="shared" si="3"/>
        <v>0</v>
      </c>
      <c r="V12" s="26">
        <v>0</v>
      </c>
      <c r="W12" s="26">
        <v>0</v>
      </c>
      <c r="X12" s="2" t="str">
        <f>SUBSTITUTE(SUBSTITUTE(SUBSTITUTE(SUBSTITUTE(SUBSTITUTE(SUBSTITUTE(SUBSTITUTE(SUBSTITUTE(SUBSTITUTE(SUBSTITUTE(SUBSTITUTE(SUBSTITUTE(SUBSTITUTE(경동전체1!D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플러스♥25T아이(100)x1</v>
      </c>
    </row>
    <row r="13" spans="1:24" ht="23.25" customHeight="1" x14ac:dyDescent="0.3">
      <c r="A13" s="2" t="str">
        <f>경동전체1!A13</f>
        <v>2-1류춘렬</v>
      </c>
      <c r="B13" s="13" t="str">
        <f>SUBSTITUTE(SUBSTITUTE(SUBSTITUTE(SUBSTITUTE(SUBSTITUTE(SUBSTITUTE(SUBSTITUTE(SUBSTITUTE(SUBSTITUTE(SUBSTITUTE(SUBSTITUTE(SUBSTITUTE(SUBSTITUTE(경동전체1!K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유성구 엑스포로 448 엑스포아파트 202동 1701호</v>
      </c>
      <c r="C13" s="30">
        <f>경동전체1!E13</f>
        <v>0</v>
      </c>
      <c r="D13" s="23"/>
      <c r="E13" s="23"/>
      <c r="F13" s="4" t="str">
        <f>경동전체1!J13</f>
        <v>34049</v>
      </c>
      <c r="G13" s="23"/>
      <c r="H13" s="2" t="str">
        <f>경동전체1!H13</f>
        <v>010-8736-8737</v>
      </c>
      <c r="I13" s="2" t="str">
        <f>경동전체1!I13&amp;""</f>
        <v>010-8736-8737</v>
      </c>
      <c r="J13" s="2" t="s">
        <v>36</v>
      </c>
      <c r="K13" s="2" t="str">
        <f>IF(LEFT(경동전체1!G13,1)="","따사룸",경동전체1!G13)</f>
        <v>★증정★테이프20mx1</v>
      </c>
      <c r="L13" s="4" t="str">
        <f t="shared" si="0"/>
        <v>1</v>
      </c>
      <c r="M13" s="1" t="str">
        <f>IF(LEFT(경동전체1!D13,1)="2","비닐",IF(LEFT(경동전체1!O13,1)="박","박스","비닐"))</f>
        <v>박스</v>
      </c>
      <c r="N13" s="25">
        <v>1</v>
      </c>
      <c r="O13" s="25">
        <v>1</v>
      </c>
      <c r="P13" s="25">
        <v>1</v>
      </c>
      <c r="Q13" s="25">
        <v>1</v>
      </c>
      <c r="R13" s="1" t="str">
        <f t="shared" si="1"/>
        <v>50</v>
      </c>
      <c r="S13" s="1">
        <f>경동전체1!B13</f>
        <v>12100</v>
      </c>
      <c r="T13" s="1" t="str">
        <f t="shared" si="2"/>
        <v>100</v>
      </c>
      <c r="U13" s="5" t="str">
        <f t="shared" si="3"/>
        <v>0</v>
      </c>
      <c r="V13" s="26">
        <v>0</v>
      </c>
      <c r="W13" s="26">
        <v>0</v>
      </c>
      <c r="X13" s="2" t="str">
        <f>SUBSTITUTE(SUBSTITUTE(SUBSTITUTE(SUBSTITUTE(SUBSTITUTE(SUBSTITUTE(SUBSTITUTE(SUBSTITUTE(SUBSTITUTE(SUBSTITUTE(SUBSTITUTE(SUBSTITUTE(SUBSTITUTE(경동전체1!D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(110)17T퓨어아이5mx1</v>
      </c>
    </row>
    <row r="14" spans="1:24" ht="23.25" customHeight="1" x14ac:dyDescent="0.3">
      <c r="A14" s="2" t="str">
        <f>경동전체1!A14</f>
        <v>2-2류춘렬</v>
      </c>
      <c r="B14" s="13" t="str">
        <f>SUBSTITUTE(SUBSTITUTE(SUBSTITUTE(SUBSTITUTE(SUBSTITUTE(SUBSTITUTE(SUBSTITUTE(SUBSTITUTE(SUBSTITUTE(SUBSTITUTE(SUBSTITUTE(SUBSTITUTE(SUBSTITUTE(경동전체1!K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유성구 엑스포로 448 엑스포아파트 202동 1701호</v>
      </c>
      <c r="C14" s="30">
        <f>경동전체1!E14</f>
        <v>0</v>
      </c>
      <c r="D14" s="23"/>
      <c r="E14" s="23"/>
      <c r="F14" s="4" t="str">
        <f>경동전체1!J14</f>
        <v>34049</v>
      </c>
      <c r="G14" s="23"/>
      <c r="H14" s="2" t="str">
        <f>경동전체1!H14</f>
        <v>010-8736-8737</v>
      </c>
      <c r="I14" s="2" t="str">
        <f>경동전체1!I14&amp;""</f>
        <v>010-8736-8737</v>
      </c>
      <c r="J14" s="2" t="s">
        <v>36</v>
      </c>
      <c r="K14" s="2" t="str">
        <f>IF(LEFT(경동전체1!G14,1)="","따사룸",경동전체1!G14)</f>
        <v>따사룸</v>
      </c>
      <c r="L14" s="4" t="str">
        <f t="shared" si="0"/>
        <v>1</v>
      </c>
      <c r="M14" s="1" t="str">
        <f>IF(LEFT(경동전체1!D14,1)="2","비닐",IF(LEFT(경동전체1!O14,1)="박","박스","비닐"))</f>
        <v>박스</v>
      </c>
      <c r="N14" s="25">
        <v>1</v>
      </c>
      <c r="O14" s="25">
        <v>1</v>
      </c>
      <c r="P14" s="25">
        <v>1</v>
      </c>
      <c r="Q14" s="25">
        <v>1</v>
      </c>
      <c r="R14" s="1" t="str">
        <f t="shared" si="1"/>
        <v>50</v>
      </c>
      <c r="S14" s="1">
        <f>경동전체1!B14</f>
        <v>12100</v>
      </c>
      <c r="T14" s="1" t="str">
        <f t="shared" si="2"/>
        <v>100</v>
      </c>
      <c r="U14" s="5" t="str">
        <f t="shared" si="3"/>
        <v>0</v>
      </c>
      <c r="V14" s="26">
        <v>0</v>
      </c>
      <c r="W14" s="26">
        <v>0</v>
      </c>
      <c r="X14" s="2" t="str">
        <f>SUBSTITUTE(SUBSTITUTE(SUBSTITUTE(SUBSTITUTE(SUBSTITUTE(SUBSTITUTE(SUBSTITUTE(SUBSTITUTE(SUBSTITUTE(SUBSTITUTE(SUBSTITUTE(SUBSTITUTE(SUBSTITUTE(경동전체1!D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(110)17T퓨어아이5mx1</v>
      </c>
    </row>
    <row r="15" spans="1:24" ht="23.25" customHeight="1" x14ac:dyDescent="0.3">
      <c r="A15" s="2" t="str">
        <f>경동전체1!A15</f>
        <v>서혜린</v>
      </c>
      <c r="B15" s="13" t="str">
        <f>SUBSTITUTE(SUBSTITUTE(SUBSTITUTE(SUBSTITUTE(SUBSTITUTE(SUBSTITUTE(SUBSTITUTE(SUBSTITUTE(SUBSTITUTE(SUBSTITUTE(SUBSTITUTE(SUBSTITUTE(SUBSTITUTE(경동전체1!K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기흥구 기흥역로58번길 56 (구갈동, 기흥역 파크 푸르지오) 301동3302호</v>
      </c>
      <c r="C15" s="30">
        <f>경동전체1!E15</f>
        <v>0</v>
      </c>
      <c r="D15" s="23"/>
      <c r="E15" s="23"/>
      <c r="F15" s="4" t="str">
        <f>경동전체1!J15</f>
        <v>17066</v>
      </c>
      <c r="G15" s="23"/>
      <c r="H15" s="2" t="str">
        <f>경동전체1!H15</f>
        <v>010-3959-9166</v>
      </c>
      <c r="I15" s="2" t="str">
        <f>경동전체1!I15&amp;""</f>
        <v>010-3959-9166</v>
      </c>
      <c r="J15" s="2" t="s">
        <v>36</v>
      </c>
      <c r="K15" s="2" t="str">
        <f>IF(LEFT(경동전체1!G15,1)="","따사룸",경동전체1!G15)</f>
        <v>따사룸</v>
      </c>
      <c r="L15" s="4" t="str">
        <f t="shared" si="0"/>
        <v>1</v>
      </c>
      <c r="M15" s="1" t="str">
        <f>IF(LEFT(경동전체1!D15,1)="2","비닐",IF(LEFT(경동전체1!O15,1)="박","박스","비닐"))</f>
        <v>비닐</v>
      </c>
      <c r="N15" s="25">
        <v>1</v>
      </c>
      <c r="O15" s="25">
        <v>1</v>
      </c>
      <c r="P15" s="25">
        <v>1</v>
      </c>
      <c r="Q15" s="25">
        <v>1</v>
      </c>
      <c r="R15" s="1" t="str">
        <f t="shared" si="1"/>
        <v>50</v>
      </c>
      <c r="S15" s="1">
        <f>경동전체1!B15</f>
        <v>6900</v>
      </c>
      <c r="T15" s="1" t="str">
        <f t="shared" si="2"/>
        <v>100</v>
      </c>
      <c r="U15" s="5" t="str">
        <f t="shared" si="3"/>
        <v>0</v>
      </c>
      <c r="V15" s="26">
        <v>0</v>
      </c>
      <c r="W15" s="26">
        <v>0</v>
      </c>
      <c r="X15" s="2" t="str">
        <f>SUBSTITUTE(SUBSTITUTE(SUBSTITUTE(SUBSTITUTE(SUBSTITUTE(SUBSTITUTE(SUBSTITUTE(SUBSTITUTE(SUBSTITUTE(SUBSTITUTE(SUBSTITUTE(SUBSTITUTE(SUBSTITUTE(경동전체1!D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16" spans="1:24" ht="23.25" customHeight="1" x14ac:dyDescent="0.3">
      <c r="A16" s="2" t="str">
        <f>경동전체1!A16</f>
        <v>최향</v>
      </c>
      <c r="B16" s="13" t="str">
        <f>SUBSTITUTE(SUBSTITUTE(SUBSTITUTE(SUBSTITUTE(SUBSTITUTE(SUBSTITUTE(SUBSTITUTE(SUBSTITUTE(SUBSTITUTE(SUBSTITUTE(SUBSTITUTE(SUBSTITUTE(SUBSTITUTE(경동전체1!K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의정부시 시민로 287 (신곡동) 이편한세상 신곡파크비스타 109동301호</v>
      </c>
      <c r="C16" s="30">
        <f>경동전체1!E16</f>
        <v>0</v>
      </c>
      <c r="D16" s="23"/>
      <c r="E16" s="23"/>
      <c r="F16" s="4" t="str">
        <f>경동전체1!J16</f>
        <v>11748</v>
      </c>
      <c r="G16" s="23"/>
      <c r="H16" s="2" t="str">
        <f>경동전체1!H16</f>
        <v>010-5550-1258</v>
      </c>
      <c r="I16" s="2" t="str">
        <f>경동전체1!I16&amp;""</f>
        <v>010-5550-1258</v>
      </c>
      <c r="J16" s="2" t="s">
        <v>36</v>
      </c>
      <c r="K16" s="2" t="str">
        <f>IF(LEFT(경동전체1!G16,1)="","따사룸",경동전체1!G16)</f>
        <v>따사룸</v>
      </c>
      <c r="L16" s="4" t="str">
        <f t="shared" si="0"/>
        <v>1</v>
      </c>
      <c r="M16" s="1" t="str">
        <f>IF(LEFT(경동전체1!D16,1)="2","비닐",IF(LEFT(경동전체1!O16,1)="박","박스","비닐"))</f>
        <v>박스</v>
      </c>
      <c r="N16" s="25">
        <v>1</v>
      </c>
      <c r="O16" s="25">
        <v>1</v>
      </c>
      <c r="P16" s="25">
        <v>1</v>
      </c>
      <c r="Q16" s="25">
        <v>1</v>
      </c>
      <c r="R16" s="1" t="str">
        <f t="shared" si="1"/>
        <v>50</v>
      </c>
      <c r="S16" s="1">
        <f>경동전체1!B16</f>
        <v>8600</v>
      </c>
      <c r="T16" s="1" t="str">
        <f t="shared" si="2"/>
        <v>100</v>
      </c>
      <c r="U16" s="5" t="str">
        <f t="shared" si="3"/>
        <v>0</v>
      </c>
      <c r="V16" s="26">
        <v>0</v>
      </c>
      <c r="W16" s="26">
        <v>0</v>
      </c>
      <c r="X16" s="2" t="str">
        <f>SUBSTITUTE(SUBSTITUTE(SUBSTITUTE(SUBSTITUTE(SUBSTITUTE(SUBSTITUTE(SUBSTITUTE(SUBSTITUTE(SUBSTITUTE(SUBSTITUTE(SUBSTITUTE(SUBSTITUTE(SUBSTITUTE(경동전체1!D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(120)17T그레이2mx1</v>
      </c>
    </row>
    <row r="17" spans="1:24" ht="23.25" customHeight="1" x14ac:dyDescent="0.3">
      <c r="A17" s="2" t="str">
        <f>경동전체1!A17</f>
        <v>2-1이규원</v>
      </c>
      <c r="B17" s="13" t="str">
        <f>SUBSTITUTE(SUBSTITUTE(SUBSTITUTE(SUBSTITUTE(SUBSTITUTE(SUBSTITUTE(SUBSTITUTE(SUBSTITUTE(SUBSTITUTE(SUBSTITUTE(SUBSTITUTE(SUBSTITUTE(SUBSTITUTE(경동전체1!K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구리시 원수택로32번길 60 (수택동, 성경아파트) 3동 402호</v>
      </c>
      <c r="C17" s="30" t="str">
        <f>경동전체1!E17</f>
        <v>부재시 문앞에 놔주세용</v>
      </c>
      <c r="D17" s="23"/>
      <c r="E17" s="23"/>
      <c r="F17" s="4" t="str">
        <f>경동전체1!J17</f>
        <v>11941</v>
      </c>
      <c r="G17" s="23"/>
      <c r="H17" s="2" t="str">
        <f>경동전체1!H17</f>
        <v>010-8919-4157</v>
      </c>
      <c r="I17" s="2" t="str">
        <f>경동전체1!I17&amp;""</f>
        <v>010-8919-4157</v>
      </c>
      <c r="J17" s="2" t="s">
        <v>36</v>
      </c>
      <c r="K17" s="2" t="str">
        <f>IF(LEFT(경동전체1!G17,1)="","따사룸",경동전체1!G17)</f>
        <v>따사룸</v>
      </c>
      <c r="L17" s="4" t="str">
        <f t="shared" si="0"/>
        <v>1</v>
      </c>
      <c r="M17" s="1" t="str">
        <f>IF(LEFT(경동전체1!D17,1)="2","비닐",IF(LEFT(경동전체1!O17,1)="박","박스","비닐"))</f>
        <v>비닐</v>
      </c>
      <c r="N17" s="25">
        <v>1</v>
      </c>
      <c r="O17" s="25">
        <v>1</v>
      </c>
      <c r="P17" s="25">
        <v>1</v>
      </c>
      <c r="Q17" s="25">
        <v>1</v>
      </c>
      <c r="R17" s="1" t="str">
        <f t="shared" si="1"/>
        <v>50</v>
      </c>
      <c r="S17" s="1">
        <f>경동전체1!B17</f>
        <v>10700</v>
      </c>
      <c r="T17" s="1" t="str">
        <f t="shared" si="2"/>
        <v>100</v>
      </c>
      <c r="U17" s="5" t="str">
        <f t="shared" si="3"/>
        <v>0</v>
      </c>
      <c r="V17" s="26">
        <v>0</v>
      </c>
      <c r="W17" s="26">
        <v>0</v>
      </c>
      <c r="X17" s="2" t="str">
        <f>SUBSTITUTE(SUBSTITUTE(SUBSTITUTE(SUBSTITUTE(SUBSTITUTE(SUBSTITUTE(SUBSTITUTE(SUBSTITUTE(SUBSTITUTE(SUBSTITUTE(SUBSTITUTE(SUBSTITUTE(SUBSTITUTE(경동전체1!D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18" spans="1:24" ht="23.25" customHeight="1" x14ac:dyDescent="0.3">
      <c r="A18" s="2" t="str">
        <f>경동전체1!A18</f>
        <v>2-2이규원</v>
      </c>
      <c r="B18" s="13" t="str">
        <f>SUBSTITUTE(SUBSTITUTE(SUBSTITUTE(SUBSTITUTE(SUBSTITUTE(SUBSTITUTE(SUBSTITUTE(SUBSTITUTE(SUBSTITUTE(SUBSTITUTE(SUBSTITUTE(SUBSTITUTE(SUBSTITUTE(경동전체1!K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구리시 원수택로32번길 60 (수택동, 성경아파트) 3동 402호</v>
      </c>
      <c r="C18" s="30" t="str">
        <f>경동전체1!E18</f>
        <v>부재시 문앞에 놔주세용</v>
      </c>
      <c r="D18" s="23"/>
      <c r="E18" s="23"/>
      <c r="F18" s="4" t="str">
        <f>경동전체1!J18</f>
        <v>11941</v>
      </c>
      <c r="G18" s="23"/>
      <c r="H18" s="2" t="str">
        <f>경동전체1!H18</f>
        <v>010-8919-4157</v>
      </c>
      <c r="I18" s="2" t="str">
        <f>경동전체1!I18&amp;""</f>
        <v>010-8919-4157</v>
      </c>
      <c r="J18" s="2" t="s">
        <v>36</v>
      </c>
      <c r="K18" s="2" t="str">
        <f>IF(LEFT(경동전체1!G18,1)="","따사룸",경동전체1!G18)</f>
        <v>따사룸</v>
      </c>
      <c r="L18" s="4" t="str">
        <f t="shared" si="0"/>
        <v>1</v>
      </c>
      <c r="M18" s="1" t="str">
        <f>IF(LEFT(경동전체1!D18,1)="2","비닐",IF(LEFT(경동전체1!O18,1)="박","박스","비닐"))</f>
        <v>비닐</v>
      </c>
      <c r="N18" s="25">
        <v>1</v>
      </c>
      <c r="O18" s="25">
        <v>1</v>
      </c>
      <c r="P18" s="25">
        <v>1</v>
      </c>
      <c r="Q18" s="25">
        <v>1</v>
      </c>
      <c r="R18" s="1" t="str">
        <f t="shared" si="1"/>
        <v>50</v>
      </c>
      <c r="S18" s="1">
        <f>경동전체1!B18</f>
        <v>10700</v>
      </c>
      <c r="T18" s="1" t="str">
        <f t="shared" si="2"/>
        <v>100</v>
      </c>
      <c r="U18" s="5" t="str">
        <f t="shared" si="3"/>
        <v>0</v>
      </c>
      <c r="V18" s="26">
        <v>0</v>
      </c>
      <c r="W18" s="26">
        <v>0</v>
      </c>
      <c r="X18" s="2" t="str">
        <f>SUBSTITUTE(SUBSTITUTE(SUBSTITUTE(SUBSTITUTE(SUBSTITUTE(SUBSTITUTE(SUBSTITUTE(SUBSTITUTE(SUBSTITUTE(SUBSTITUTE(SUBSTITUTE(SUBSTITUTE(SUBSTITUTE(경동전체1!D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25T아이(100)x3</v>
      </c>
    </row>
    <row r="19" spans="1:24" ht="23.25" customHeight="1" x14ac:dyDescent="0.3">
      <c r="A19" s="2" t="str">
        <f>경동전체1!A19</f>
        <v>2-2이규원</v>
      </c>
      <c r="B19" s="13" t="str">
        <f>SUBSTITUTE(SUBSTITUTE(SUBSTITUTE(SUBSTITUTE(SUBSTITUTE(SUBSTITUTE(SUBSTITUTE(SUBSTITUTE(SUBSTITUTE(SUBSTITUTE(SUBSTITUTE(SUBSTITUTE(SUBSTITUTE(경동전체1!K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구리시 원수택로32번길 60 (수택동, 성경아파트) 3동 402호</v>
      </c>
      <c r="C19" s="30" t="str">
        <f>경동전체1!E19</f>
        <v>부재시 문앞에 놔주세용</v>
      </c>
      <c r="D19" s="23"/>
      <c r="E19" s="23"/>
      <c r="F19" s="4" t="str">
        <f>경동전체1!J19</f>
        <v>11941</v>
      </c>
      <c r="G19" s="23"/>
      <c r="H19" s="2" t="str">
        <f>경동전체1!H19</f>
        <v>010-8919-4157</v>
      </c>
      <c r="I19" s="2" t="str">
        <f>경동전체1!I19&amp;""</f>
        <v>010-8919-4157</v>
      </c>
      <c r="J19" s="2" t="s">
        <v>36</v>
      </c>
      <c r="K19" s="2" t="str">
        <f>IF(LEFT(경동전체1!G19,1)="","따사룸",경동전체1!G19)</f>
        <v>따사룸</v>
      </c>
      <c r="L19" s="4" t="str">
        <f t="shared" si="0"/>
        <v>1</v>
      </c>
      <c r="M19" s="1" t="str">
        <f>IF(LEFT(경동전체1!D19,1)="2","비닐",IF(LEFT(경동전체1!O19,1)="박","박스","비닐"))</f>
        <v>비닐</v>
      </c>
      <c r="N19" s="25">
        <v>1</v>
      </c>
      <c r="O19" s="25">
        <v>1</v>
      </c>
      <c r="P19" s="25">
        <v>1</v>
      </c>
      <c r="Q19" s="25">
        <v>1</v>
      </c>
      <c r="R19" s="1" t="str">
        <f t="shared" si="1"/>
        <v>50</v>
      </c>
      <c r="S19" s="1">
        <f>경동전체1!B19</f>
        <v>0</v>
      </c>
      <c r="T19" s="1" t="str">
        <f t="shared" si="2"/>
        <v>100</v>
      </c>
      <c r="U19" s="5" t="str">
        <f t="shared" si="3"/>
        <v>0</v>
      </c>
      <c r="V19" s="26">
        <v>0</v>
      </c>
      <c r="W19" s="26">
        <v>0</v>
      </c>
      <c r="X19" s="2" t="str">
        <f>SUBSTITUTE(SUBSTITUTE(SUBSTITUTE(SUBSTITUTE(SUBSTITUTE(SUBSTITUTE(SUBSTITUTE(SUBSTITUTE(SUBSTITUTE(SUBSTITUTE(SUBSTITUTE(SUBSTITUTE(SUBSTITUTE(경동전체1!D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20" spans="1:24" ht="23.25" customHeight="1" x14ac:dyDescent="0.3">
      <c r="A20" s="2" t="str">
        <f>경동전체1!A20</f>
        <v>2-1김예찬</v>
      </c>
      <c r="B20" s="13" t="str">
        <f>SUBSTITUTE(SUBSTITUTE(SUBSTITUTE(SUBSTITUTE(SUBSTITUTE(SUBSTITUTE(SUBSTITUTE(SUBSTITUTE(SUBSTITUTE(SUBSTITUTE(SUBSTITUTE(SUBSTITUTE(SUBSTITUTE(경동전체1!K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중구 계백로1615번길 34 (유천동, 현대아파트) 113동 1407호</v>
      </c>
      <c r="C20" s="30">
        <f>경동전체1!E20</f>
        <v>0</v>
      </c>
      <c r="D20" s="23"/>
      <c r="E20" s="23"/>
      <c r="F20" s="4" t="str">
        <f>경동전체1!J20</f>
        <v>34899</v>
      </c>
      <c r="G20" s="23"/>
      <c r="H20" s="2" t="str">
        <f>경동전체1!H20</f>
        <v>010-6886-3860</v>
      </c>
      <c r="I20" s="2" t="str">
        <f>경동전체1!I20&amp;""</f>
        <v>010-6886-3860</v>
      </c>
      <c r="J20" s="2" t="s">
        <v>36</v>
      </c>
      <c r="K20" s="2" t="str">
        <f>IF(LEFT(경동전체1!G20,1)="","따사룸",경동전체1!G20)</f>
        <v>따사룸</v>
      </c>
      <c r="L20" s="4" t="str">
        <f t="shared" si="0"/>
        <v>1</v>
      </c>
      <c r="M20" s="1" t="str">
        <f>IF(LEFT(경동전체1!D20,1)="2","비닐",IF(LEFT(경동전체1!O20,1)="박","박스","비닐"))</f>
        <v>비닐</v>
      </c>
      <c r="N20" s="25">
        <v>1</v>
      </c>
      <c r="O20" s="25">
        <v>1</v>
      </c>
      <c r="P20" s="25">
        <v>1</v>
      </c>
      <c r="Q20" s="25">
        <v>1</v>
      </c>
      <c r="R20" s="1" t="str">
        <f t="shared" si="1"/>
        <v>50</v>
      </c>
      <c r="S20" s="1">
        <f>경동전체1!B20</f>
        <v>10700</v>
      </c>
      <c r="T20" s="1" t="str">
        <f t="shared" si="2"/>
        <v>100</v>
      </c>
      <c r="U20" s="5" t="str">
        <f t="shared" si="3"/>
        <v>0</v>
      </c>
      <c r="V20" s="26">
        <v>0</v>
      </c>
      <c r="W20" s="26">
        <v>0</v>
      </c>
      <c r="X20" s="2" t="str">
        <f>SUBSTITUTE(SUBSTITUTE(SUBSTITUTE(SUBSTITUTE(SUBSTITUTE(SUBSTITUTE(SUBSTITUTE(SUBSTITUTE(SUBSTITUTE(SUBSTITUTE(SUBSTITUTE(SUBSTITUTE(SUBSTITUTE(경동전체1!D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21" spans="1:24" ht="23.25" customHeight="1" x14ac:dyDescent="0.3">
      <c r="A21" s="2" t="str">
        <f>경동전체1!A21</f>
        <v>2-2김예찬</v>
      </c>
      <c r="B21" s="13" t="str">
        <f>SUBSTITUTE(SUBSTITUTE(SUBSTITUTE(SUBSTITUTE(SUBSTITUTE(SUBSTITUTE(SUBSTITUTE(SUBSTITUTE(SUBSTITUTE(SUBSTITUTE(SUBSTITUTE(SUBSTITUTE(SUBSTITUTE(경동전체1!K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중구 계백로1615번길 34 (유천동, 현대아파트) 113동 1407호</v>
      </c>
      <c r="C21" s="30">
        <f>경동전체1!E21</f>
        <v>0</v>
      </c>
      <c r="D21" s="23"/>
      <c r="E21" s="23"/>
      <c r="F21" s="4" t="str">
        <f>경동전체1!J21</f>
        <v>34899</v>
      </c>
      <c r="G21" s="23"/>
      <c r="H21" s="2" t="str">
        <f>경동전체1!H21</f>
        <v>010-6886-3860</v>
      </c>
      <c r="I21" s="2" t="str">
        <f>경동전체1!I21&amp;""</f>
        <v>010-6886-3860</v>
      </c>
      <c r="J21" s="2" t="s">
        <v>36</v>
      </c>
      <c r="K21" s="2" t="str">
        <f>IF(LEFT(경동전체1!G21,1)="","따사룸",경동전체1!G21)</f>
        <v>따사룸</v>
      </c>
      <c r="L21" s="4" t="str">
        <f t="shared" si="0"/>
        <v>1</v>
      </c>
      <c r="M21" s="1" t="str">
        <f>IF(LEFT(경동전체1!D21,1)="2","비닐",IF(LEFT(경동전체1!O21,1)="박","박스","비닐"))</f>
        <v>비닐</v>
      </c>
      <c r="N21" s="25">
        <v>1</v>
      </c>
      <c r="O21" s="25">
        <v>1</v>
      </c>
      <c r="P21" s="25">
        <v>1</v>
      </c>
      <c r="Q21" s="25">
        <v>1</v>
      </c>
      <c r="R21" s="1" t="str">
        <f t="shared" si="1"/>
        <v>50</v>
      </c>
      <c r="S21" s="1">
        <f>경동전체1!B21</f>
        <v>8600</v>
      </c>
      <c r="T21" s="1" t="str">
        <f t="shared" si="2"/>
        <v>100</v>
      </c>
      <c r="U21" s="5" t="str">
        <f t="shared" si="3"/>
        <v>0</v>
      </c>
      <c r="V21" s="26">
        <v>0</v>
      </c>
      <c r="W21" s="26">
        <v>0</v>
      </c>
      <c r="X21" s="2" t="str">
        <f>SUBSTITUTE(SUBSTITUTE(SUBSTITUTE(SUBSTITUTE(SUBSTITUTE(SUBSTITUTE(SUBSTITUTE(SUBSTITUTE(SUBSTITUTE(SUBSTITUTE(SUBSTITUTE(SUBSTITUTE(SUBSTITUTE(경동전체1!D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22" spans="1:24" ht="23.25" customHeight="1" x14ac:dyDescent="0.3">
      <c r="A22" s="2" t="str">
        <f>경동전체1!A22</f>
        <v>2-1최영미</v>
      </c>
      <c r="B22" s="13" t="str">
        <f>SUBSTITUTE(SUBSTITUTE(SUBSTITUTE(SUBSTITUTE(SUBSTITUTE(SUBSTITUTE(SUBSTITUTE(SUBSTITUTE(SUBSTITUTE(SUBSTITUTE(SUBSTITUTE(SUBSTITUTE(SUBSTITUTE(경동전체1!K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파주시 시청로 85 (아동동, 신안실크밸리2차 아파트) 206동303호</v>
      </c>
      <c r="C22" s="30">
        <f>경동전체1!E22</f>
        <v>0</v>
      </c>
      <c r="D22" s="23"/>
      <c r="E22" s="23"/>
      <c r="F22" s="4" t="str">
        <f>경동전체1!J22</f>
        <v>10931</v>
      </c>
      <c r="G22" s="23"/>
      <c r="H22" s="2" t="str">
        <f>경동전체1!H22</f>
        <v>010-5574-4480</v>
      </c>
      <c r="I22" s="2" t="str">
        <f>경동전체1!I22&amp;""</f>
        <v>010-5574-4480</v>
      </c>
      <c r="J22" s="2" t="s">
        <v>36</v>
      </c>
      <c r="K22" s="2" t="str">
        <f>IF(LEFT(경동전체1!G22,1)="","따사룸",경동전체1!G22)</f>
        <v>따사룸</v>
      </c>
      <c r="L22" s="4" t="str">
        <f t="shared" si="0"/>
        <v>1</v>
      </c>
      <c r="M22" s="1" t="str">
        <f>IF(LEFT(경동전체1!D22,1)="2","비닐",IF(LEFT(경동전체1!O22,1)="박","박스","비닐"))</f>
        <v>비닐</v>
      </c>
      <c r="N22" s="25">
        <v>1</v>
      </c>
      <c r="O22" s="25">
        <v>1</v>
      </c>
      <c r="P22" s="25">
        <v>1</v>
      </c>
      <c r="Q22" s="25">
        <v>1</v>
      </c>
      <c r="R22" s="1" t="str">
        <f t="shared" si="1"/>
        <v>50</v>
      </c>
      <c r="S22" s="1">
        <f>경동전체1!B22</f>
        <v>8600</v>
      </c>
      <c r="T22" s="1" t="str">
        <f t="shared" si="2"/>
        <v>100</v>
      </c>
      <c r="U22" s="5" t="str">
        <f t="shared" si="3"/>
        <v>0</v>
      </c>
      <c r="V22" s="26">
        <v>0</v>
      </c>
      <c r="W22" s="26">
        <v>0</v>
      </c>
      <c r="X22" s="2" t="str">
        <f>SUBSTITUTE(SUBSTITUTE(SUBSTITUTE(SUBSTITUTE(SUBSTITUTE(SUBSTITUTE(SUBSTITUTE(SUBSTITUTE(SUBSTITUTE(SUBSTITUTE(SUBSTITUTE(SUBSTITUTE(SUBSTITUTE(경동전체1!D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23" spans="1:24" ht="23.25" customHeight="1" x14ac:dyDescent="0.3">
      <c r="A23" s="2" t="str">
        <f>경동전체1!A23</f>
        <v>2-2최영미</v>
      </c>
      <c r="B23" s="13" t="str">
        <f>SUBSTITUTE(SUBSTITUTE(SUBSTITUTE(SUBSTITUTE(SUBSTITUTE(SUBSTITUTE(SUBSTITUTE(SUBSTITUTE(SUBSTITUTE(SUBSTITUTE(SUBSTITUTE(SUBSTITUTE(SUBSTITUTE(경동전체1!K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파주시 시청로 85 (아동동, 신안실크밸리2차 아파트) 206동303호</v>
      </c>
      <c r="C23" s="30">
        <f>경동전체1!E23</f>
        <v>0</v>
      </c>
      <c r="D23" s="23"/>
      <c r="E23" s="23"/>
      <c r="F23" s="4" t="str">
        <f>경동전체1!J23</f>
        <v>10931</v>
      </c>
      <c r="G23" s="23"/>
      <c r="H23" s="2" t="str">
        <f>경동전체1!H23</f>
        <v>010-5574-4480</v>
      </c>
      <c r="I23" s="2" t="str">
        <f>경동전체1!I23&amp;""</f>
        <v>010-5574-4480</v>
      </c>
      <c r="J23" s="2" t="s">
        <v>36</v>
      </c>
      <c r="K23" s="2" t="str">
        <f>IF(LEFT(경동전체1!G23,1)="","따사룸",경동전체1!G23)</f>
        <v>따사룸</v>
      </c>
      <c r="L23" s="4" t="str">
        <f t="shared" si="0"/>
        <v>1</v>
      </c>
      <c r="M23" s="1" t="str">
        <f>IF(LEFT(경동전체1!D23,1)="2","비닐",IF(LEFT(경동전체1!O23,1)="박","박스","비닐"))</f>
        <v>비닐</v>
      </c>
      <c r="N23" s="25">
        <v>1</v>
      </c>
      <c r="O23" s="25">
        <v>1</v>
      </c>
      <c r="P23" s="25">
        <v>1</v>
      </c>
      <c r="Q23" s="25">
        <v>1</v>
      </c>
      <c r="R23" s="1" t="str">
        <f t="shared" si="1"/>
        <v>50</v>
      </c>
      <c r="S23" s="1">
        <f>경동전체1!B23</f>
        <v>8600</v>
      </c>
      <c r="T23" s="1" t="str">
        <f t="shared" si="2"/>
        <v>100</v>
      </c>
      <c r="U23" s="5" t="str">
        <f t="shared" si="3"/>
        <v>0</v>
      </c>
      <c r="V23" s="26">
        <v>0</v>
      </c>
      <c r="W23" s="26">
        <v>0</v>
      </c>
      <c r="X23" s="2" t="str">
        <f>SUBSTITUTE(SUBSTITUTE(SUBSTITUTE(SUBSTITUTE(SUBSTITUTE(SUBSTITUTE(SUBSTITUTE(SUBSTITUTE(SUBSTITUTE(SUBSTITUTE(SUBSTITUTE(SUBSTITUTE(SUBSTITUTE(경동전체1!D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24" spans="1:24" ht="23.25" customHeight="1" x14ac:dyDescent="0.3">
      <c r="A24" s="2" t="str">
        <f>경동전체1!A24</f>
        <v>문경은</v>
      </c>
      <c r="B24" s="13" t="str">
        <f>SUBSTITUTE(SUBSTITUTE(SUBSTITUTE(SUBSTITUTE(SUBSTITUTE(SUBSTITUTE(SUBSTITUTE(SUBSTITUTE(SUBSTITUTE(SUBSTITUTE(SUBSTITUTE(SUBSTITUTE(SUBSTITUTE(경동전체1!K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동작구 만양로 19 (노량진동, 상도신동아리버파크아파트) 707동 1405호</v>
      </c>
      <c r="C24" s="30">
        <f>경동전체1!E24</f>
        <v>0</v>
      </c>
      <c r="D24" s="23"/>
      <c r="E24" s="23"/>
      <c r="F24" s="4" t="str">
        <f>경동전체1!J24</f>
        <v>06920</v>
      </c>
      <c r="G24" s="23"/>
      <c r="H24" s="2" t="str">
        <f>경동전체1!H24</f>
        <v>010-3537-9446</v>
      </c>
      <c r="I24" s="2" t="str">
        <f>경동전체1!I24&amp;""</f>
        <v>010-3537-9446</v>
      </c>
      <c r="J24" s="2" t="s">
        <v>36</v>
      </c>
      <c r="K24" s="2" t="str">
        <f>IF(LEFT(경동전체1!G24,1)="","따사룸",경동전체1!G24)</f>
        <v>★증정★테이프20mx1</v>
      </c>
      <c r="L24" s="4" t="str">
        <f t="shared" si="0"/>
        <v>1</v>
      </c>
      <c r="M24" s="1" t="str">
        <f>IF(LEFT(경동전체1!D24,1)="2","비닐",IF(LEFT(경동전체1!O24,1)="박","박스","비닐"))</f>
        <v>박스</v>
      </c>
      <c r="N24" s="25">
        <v>1</v>
      </c>
      <c r="O24" s="25">
        <v>1</v>
      </c>
      <c r="P24" s="25">
        <v>1</v>
      </c>
      <c r="Q24" s="25">
        <v>1</v>
      </c>
      <c r="R24" s="1" t="str">
        <f t="shared" si="1"/>
        <v>50</v>
      </c>
      <c r="S24" s="1">
        <f>경동전체1!B24</f>
        <v>15400</v>
      </c>
      <c r="T24" s="1" t="str">
        <f t="shared" si="2"/>
        <v>100</v>
      </c>
      <c r="U24" s="5" t="str">
        <f t="shared" si="3"/>
        <v>0</v>
      </c>
      <c r="V24" s="26">
        <v>0</v>
      </c>
      <c r="W24" s="26">
        <v>0</v>
      </c>
      <c r="X24" s="2" t="str">
        <f>SUBSTITUTE(SUBSTITUTE(SUBSTITUTE(SUBSTITUTE(SUBSTITUTE(SUBSTITUTE(SUBSTITUTE(SUBSTITUTE(SUBSTITUTE(SUBSTITUTE(SUBSTITUTE(SUBSTITUTE(SUBSTITUTE(경동전체1!D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(140)12T퓨어아이5mx1</v>
      </c>
    </row>
    <row r="25" spans="1:24" ht="23.25" customHeight="1" x14ac:dyDescent="0.3">
      <c r="A25" s="2" t="str">
        <f>경동전체1!A25</f>
        <v>이영진</v>
      </c>
      <c r="B25" s="13" t="str">
        <f>SUBSTITUTE(SUBSTITUTE(SUBSTITUTE(SUBSTITUTE(SUBSTITUTE(SUBSTITUTE(SUBSTITUTE(SUBSTITUTE(SUBSTITUTE(SUBSTITUTE(SUBSTITUTE(SUBSTITUTE(SUBSTITUTE(경동전체1!K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의정부시 가금로34번길 23 (가능동, 힐스테이트 녹양역) 103동2302호</v>
      </c>
      <c r="C25" s="30" t="str">
        <f>경동전체1!E25</f>
        <v>현관문 앞에다가 나둬두세요~</v>
      </c>
      <c r="D25" s="23"/>
      <c r="E25" s="23"/>
      <c r="F25" s="4" t="str">
        <f>경동전체1!J25</f>
        <v>11611</v>
      </c>
      <c r="G25" s="23"/>
      <c r="H25" s="2" t="str">
        <f>경동전체1!H25</f>
        <v>010-3013-8148</v>
      </c>
      <c r="I25" s="2" t="str">
        <f>경동전체1!I25&amp;""</f>
        <v>010-3013-8148</v>
      </c>
      <c r="J25" s="2" t="s">
        <v>36</v>
      </c>
      <c r="K25" s="2" t="str">
        <f>IF(LEFT(경동전체1!G25,1)="","따사룸",경동전체1!G25)</f>
        <v>따사룸</v>
      </c>
      <c r="L25" s="4" t="str">
        <f t="shared" si="0"/>
        <v>1</v>
      </c>
      <c r="M25" s="1" t="str">
        <f>IF(LEFT(경동전체1!D25,1)="2","비닐",IF(LEFT(경동전체1!O25,1)="박","박스","비닐"))</f>
        <v>비닐</v>
      </c>
      <c r="N25" s="25">
        <v>1</v>
      </c>
      <c r="O25" s="25">
        <v>1</v>
      </c>
      <c r="P25" s="25">
        <v>1</v>
      </c>
      <c r="Q25" s="25">
        <v>1</v>
      </c>
      <c r="R25" s="1" t="str">
        <f t="shared" si="1"/>
        <v>50</v>
      </c>
      <c r="S25" s="1">
        <f>경동전체1!B25</f>
        <v>0</v>
      </c>
      <c r="T25" s="1" t="str">
        <f t="shared" si="2"/>
        <v>100</v>
      </c>
      <c r="U25" s="5" t="str">
        <f t="shared" si="3"/>
        <v>0</v>
      </c>
      <c r="V25" s="26">
        <v>0</v>
      </c>
      <c r="W25" s="26">
        <v>0</v>
      </c>
      <c r="X25" s="2" t="str">
        <f>SUBSTITUTE(SUBSTITUTE(SUBSTITUTE(SUBSTITUTE(SUBSTITUTE(SUBSTITUTE(SUBSTITUTE(SUBSTITUTE(SUBSTITUTE(SUBSTITUTE(SUBSTITUTE(SUBSTITUTE(SUBSTITUTE(경동전체1!D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(110)9T도그프린트7.5mx1</v>
      </c>
    </row>
    <row r="26" spans="1:24" ht="23.25" customHeight="1" x14ac:dyDescent="0.3">
      <c r="A26" s="2" t="str">
        <f>경동전체1!A26</f>
        <v>이영진</v>
      </c>
      <c r="B26" s="13" t="str">
        <f>SUBSTITUTE(SUBSTITUTE(SUBSTITUTE(SUBSTITUTE(SUBSTITUTE(SUBSTITUTE(SUBSTITUTE(SUBSTITUTE(SUBSTITUTE(SUBSTITUTE(SUBSTITUTE(SUBSTITUTE(SUBSTITUTE(경동전체1!K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의정부시 가금로34번길 23 (가능동, 힐스테이트 녹양역) 103동2302호</v>
      </c>
      <c r="C26" s="30" t="str">
        <f>경동전체1!E26</f>
        <v>현관문 앞에다가 나둬두세요~</v>
      </c>
      <c r="D26" s="23"/>
      <c r="E26" s="23"/>
      <c r="F26" s="4" t="str">
        <f>경동전체1!J26</f>
        <v>11611</v>
      </c>
      <c r="G26" s="23"/>
      <c r="H26" s="2" t="str">
        <f>경동전체1!H26</f>
        <v>010-3013-8148</v>
      </c>
      <c r="I26" s="2" t="str">
        <f>경동전체1!I26&amp;""</f>
        <v>010-3013-8148</v>
      </c>
      <c r="J26" s="2" t="s">
        <v>36</v>
      </c>
      <c r="K26" s="2" t="str">
        <f>IF(LEFT(경동전체1!G26,1)="","따사룸",경동전체1!G26)</f>
        <v>★증정★테이프20mx1</v>
      </c>
      <c r="L26" s="4" t="str">
        <f t="shared" si="0"/>
        <v>1</v>
      </c>
      <c r="M26" s="1" t="str">
        <f>IF(LEFT(경동전체1!D26,1)="2","비닐",IF(LEFT(경동전체1!O26,1)="박","박스","비닐"))</f>
        <v>박스</v>
      </c>
      <c r="N26" s="25">
        <v>1</v>
      </c>
      <c r="O26" s="25">
        <v>1</v>
      </c>
      <c r="P26" s="25">
        <v>1</v>
      </c>
      <c r="Q26" s="25">
        <v>1</v>
      </c>
      <c r="R26" s="1" t="str">
        <f t="shared" si="1"/>
        <v>50</v>
      </c>
      <c r="S26" s="1">
        <f>경동전체1!B26</f>
        <v>15400</v>
      </c>
      <c r="T26" s="1" t="str">
        <f t="shared" si="2"/>
        <v>100</v>
      </c>
      <c r="U26" s="5" t="str">
        <f t="shared" si="3"/>
        <v>0</v>
      </c>
      <c r="V26" s="26">
        <v>0</v>
      </c>
      <c r="W26" s="26">
        <v>0</v>
      </c>
      <c r="X26" s="2" t="str">
        <f>SUBSTITUTE(SUBSTITUTE(SUBSTITUTE(SUBSTITUTE(SUBSTITUTE(SUBSTITUTE(SUBSTITUTE(SUBSTITUTE(SUBSTITUTE(SUBSTITUTE(SUBSTITUTE(SUBSTITUTE(SUBSTITUTE(경동전체1!D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(140)9T도그프린트2.5mx1</v>
      </c>
    </row>
    <row r="27" spans="1:24" ht="23.25" customHeight="1" x14ac:dyDescent="0.3">
      <c r="A27" s="2" t="str">
        <f>경동전체1!A27</f>
        <v>권석영</v>
      </c>
      <c r="B27" s="13" t="str">
        <f>SUBSTITUTE(SUBSTITUTE(SUBSTITUTE(SUBSTITUTE(SUBSTITUTE(SUBSTITUTE(SUBSTITUTE(SUBSTITUTE(SUBSTITUTE(SUBSTITUTE(SUBSTITUTE(SUBSTITUTE(SUBSTITUTE(경동전체1!K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북구 구리로 183-28 (학정동, 두산아파트) 201동 204호</v>
      </c>
      <c r="C27" s="30">
        <f>경동전체1!E27</f>
        <v>0</v>
      </c>
      <c r="D27" s="23"/>
      <c r="E27" s="23"/>
      <c r="F27" s="4" t="str">
        <f>경동전체1!J27</f>
        <v>41408</v>
      </c>
      <c r="G27" s="23"/>
      <c r="H27" s="2" t="str">
        <f>경동전체1!H27</f>
        <v>010-6208-9305</v>
      </c>
      <c r="I27" s="2" t="str">
        <f>경동전체1!I27&amp;""</f>
        <v>010-6208-9305</v>
      </c>
      <c r="J27" s="2" t="s">
        <v>36</v>
      </c>
      <c r="K27" s="2" t="str">
        <f>IF(LEFT(경동전체1!G27,1)="","따사룸",경동전체1!G27)</f>
        <v>따사룸</v>
      </c>
      <c r="L27" s="4" t="str">
        <f t="shared" si="0"/>
        <v>1</v>
      </c>
      <c r="M27" s="1" t="str">
        <f>IF(LEFT(경동전체1!D27,1)="2","비닐",IF(LEFT(경동전체1!O27,1)="박","박스","비닐"))</f>
        <v>비닐</v>
      </c>
      <c r="N27" s="25">
        <v>1</v>
      </c>
      <c r="O27" s="25">
        <v>1</v>
      </c>
      <c r="P27" s="25">
        <v>1</v>
      </c>
      <c r="Q27" s="25">
        <v>1</v>
      </c>
      <c r="R27" s="1" t="str">
        <f t="shared" si="1"/>
        <v>50</v>
      </c>
      <c r="S27" s="1">
        <f>경동전체1!B27</f>
        <v>6900</v>
      </c>
      <c r="T27" s="1" t="str">
        <f t="shared" si="2"/>
        <v>100</v>
      </c>
      <c r="U27" s="5" t="str">
        <f t="shared" si="3"/>
        <v>0</v>
      </c>
      <c r="V27" s="26">
        <v>0</v>
      </c>
      <c r="W27" s="26">
        <v>0</v>
      </c>
      <c r="X27" s="2" t="str">
        <f>SUBSTITUTE(SUBSTITUTE(SUBSTITUTE(SUBSTITUTE(SUBSTITUTE(SUBSTITUTE(SUBSTITUTE(SUBSTITUTE(SUBSTITUTE(SUBSTITUTE(SUBSTITUTE(SUBSTITUTE(SUBSTITUTE(경동전체1!D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플러스♥25T아이(100)x1</v>
      </c>
    </row>
    <row r="28" spans="1:24" ht="23.25" customHeight="1" x14ac:dyDescent="0.3">
      <c r="A28" s="2" t="str">
        <f>경동전체1!A28</f>
        <v>3-1고정일</v>
      </c>
      <c r="B28" s="13" t="str">
        <f>SUBSTITUTE(SUBSTITUTE(SUBSTITUTE(SUBSTITUTE(SUBSTITUTE(SUBSTITUTE(SUBSTITUTE(SUBSTITUTE(SUBSTITUTE(SUBSTITUTE(SUBSTITUTE(SUBSTITUTE(SUBSTITUTE(경동전체1!K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대덕구 대화로 160 (대화동, 산업용재유통상가) 1동 207호</v>
      </c>
      <c r="C28" s="30">
        <f>경동전체1!E28</f>
        <v>0</v>
      </c>
      <c r="D28" s="23"/>
      <c r="E28" s="23"/>
      <c r="F28" s="4" t="str">
        <f>경동전체1!J28</f>
        <v>34368</v>
      </c>
      <c r="G28" s="23"/>
      <c r="H28" s="2" t="str">
        <f>경동전체1!H28</f>
        <v>010-5436-3781</v>
      </c>
      <c r="I28" s="2" t="str">
        <f>경동전체1!I28&amp;""</f>
        <v>010-5436-3781</v>
      </c>
      <c r="J28" s="2" t="s">
        <v>36</v>
      </c>
      <c r="K28" s="2" t="str">
        <f>IF(LEFT(경동전체1!G28,1)="","따사룸",경동전체1!G28)</f>
        <v>따사룸</v>
      </c>
      <c r="L28" s="4" t="str">
        <f t="shared" si="0"/>
        <v>1</v>
      </c>
      <c r="M28" s="1" t="str">
        <f>IF(LEFT(경동전체1!D28,1)="2","비닐",IF(LEFT(경동전체1!O28,1)="박","박스","비닐"))</f>
        <v>비닐</v>
      </c>
      <c r="N28" s="25">
        <v>1</v>
      </c>
      <c r="O28" s="25">
        <v>1</v>
      </c>
      <c r="P28" s="25">
        <v>1</v>
      </c>
      <c r="Q28" s="25">
        <v>1</v>
      </c>
      <c r="R28" s="1" t="str">
        <f t="shared" si="1"/>
        <v>50</v>
      </c>
      <c r="S28" s="1">
        <f>경동전체1!B28</f>
        <v>12700</v>
      </c>
      <c r="T28" s="1" t="str">
        <f t="shared" si="2"/>
        <v>100</v>
      </c>
      <c r="U28" s="5" t="str">
        <f t="shared" si="3"/>
        <v>0</v>
      </c>
      <c r="V28" s="26">
        <v>0</v>
      </c>
      <c r="W28" s="26">
        <v>0</v>
      </c>
      <c r="X28" s="2" t="str">
        <f>SUBSTITUTE(SUBSTITUTE(SUBSTITUTE(SUBSTITUTE(SUBSTITUTE(SUBSTITUTE(SUBSTITUTE(SUBSTITUTE(SUBSTITUTE(SUBSTITUTE(SUBSTITUTE(SUBSTITUTE(SUBSTITUTE(경동전체1!D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29" spans="1:24" ht="23.25" customHeight="1" x14ac:dyDescent="0.3">
      <c r="A29" s="2" t="str">
        <f>경동전체1!A29</f>
        <v>3-2고정일</v>
      </c>
      <c r="B29" s="13" t="str">
        <f>SUBSTITUTE(SUBSTITUTE(SUBSTITUTE(SUBSTITUTE(SUBSTITUTE(SUBSTITUTE(SUBSTITUTE(SUBSTITUTE(SUBSTITUTE(SUBSTITUTE(SUBSTITUTE(SUBSTITUTE(SUBSTITUTE(경동전체1!K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대덕구 대화로 160 (대화동, 산업용재유통상가) 1동 207호</v>
      </c>
      <c r="C29" s="30">
        <f>경동전체1!E29</f>
        <v>0</v>
      </c>
      <c r="D29" s="23"/>
      <c r="E29" s="23"/>
      <c r="F29" s="4" t="str">
        <f>경동전체1!J29</f>
        <v>34368</v>
      </c>
      <c r="G29" s="23"/>
      <c r="H29" s="2" t="str">
        <f>경동전체1!H29</f>
        <v>010-5436-3781</v>
      </c>
      <c r="I29" s="2" t="str">
        <f>경동전체1!I29&amp;""</f>
        <v>010-5436-3781</v>
      </c>
      <c r="J29" s="2" t="s">
        <v>36</v>
      </c>
      <c r="K29" s="2" t="str">
        <f>IF(LEFT(경동전체1!G29,1)="","따사룸",경동전체1!G29)</f>
        <v>따사룸</v>
      </c>
      <c r="L29" s="4" t="str">
        <f t="shared" si="0"/>
        <v>1</v>
      </c>
      <c r="M29" s="1" t="str">
        <f>IF(LEFT(경동전체1!D29,1)="2","비닐",IF(LEFT(경동전체1!O29,1)="박","박스","비닐"))</f>
        <v>비닐</v>
      </c>
      <c r="N29" s="25">
        <v>1</v>
      </c>
      <c r="O29" s="25">
        <v>1</v>
      </c>
      <c r="P29" s="25">
        <v>1</v>
      </c>
      <c r="Q29" s="25">
        <v>1</v>
      </c>
      <c r="R29" s="1" t="str">
        <f t="shared" si="1"/>
        <v>50</v>
      </c>
      <c r="S29" s="1">
        <f>경동전체1!B29</f>
        <v>12700</v>
      </c>
      <c r="T29" s="1" t="str">
        <f t="shared" si="2"/>
        <v>100</v>
      </c>
      <c r="U29" s="5" t="str">
        <f t="shared" si="3"/>
        <v>0</v>
      </c>
      <c r="V29" s="26">
        <v>0</v>
      </c>
      <c r="W29" s="26">
        <v>0</v>
      </c>
      <c r="X29" s="2" t="str">
        <f>SUBSTITUTE(SUBSTITUTE(SUBSTITUTE(SUBSTITUTE(SUBSTITUTE(SUBSTITUTE(SUBSTITUTE(SUBSTITUTE(SUBSTITUTE(SUBSTITUTE(SUBSTITUTE(SUBSTITUTE(SUBSTITUTE(경동전체1!D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30" spans="1:24" ht="23.25" customHeight="1" x14ac:dyDescent="0.3">
      <c r="A30" s="2" t="str">
        <f>경동전체1!A30</f>
        <v>3-3고정일</v>
      </c>
      <c r="B30" s="13" t="str">
        <f>SUBSTITUTE(SUBSTITUTE(SUBSTITUTE(SUBSTITUTE(SUBSTITUTE(SUBSTITUTE(SUBSTITUTE(SUBSTITUTE(SUBSTITUTE(SUBSTITUTE(SUBSTITUTE(SUBSTITUTE(SUBSTITUTE(경동전체1!K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대덕구 대화로 160 (대화동, 산업용재유통상가) 1동 207호</v>
      </c>
      <c r="C30" s="30">
        <f>경동전체1!E30</f>
        <v>0</v>
      </c>
      <c r="D30" s="23"/>
      <c r="E30" s="23"/>
      <c r="F30" s="4" t="str">
        <f>경동전체1!J30</f>
        <v>34368</v>
      </c>
      <c r="G30" s="23"/>
      <c r="H30" s="2" t="str">
        <f>경동전체1!H30</f>
        <v>010-5436-3781</v>
      </c>
      <c r="I30" s="2" t="str">
        <f>경동전체1!I30&amp;""</f>
        <v>010-5436-3781</v>
      </c>
      <c r="J30" s="2" t="s">
        <v>36</v>
      </c>
      <c r="K30" s="2" t="str">
        <f>IF(LEFT(경동전체1!G30,1)="","따사룸",경동전체1!G30)</f>
        <v>따사룸</v>
      </c>
      <c r="L30" s="4" t="str">
        <f t="shared" si="0"/>
        <v>1</v>
      </c>
      <c r="M30" s="1" t="str">
        <f>IF(LEFT(경동전체1!D30,1)="2","비닐",IF(LEFT(경동전체1!O30,1)="박","박스","비닐"))</f>
        <v>비닐</v>
      </c>
      <c r="N30" s="25">
        <v>1</v>
      </c>
      <c r="O30" s="25">
        <v>1</v>
      </c>
      <c r="P30" s="25">
        <v>1</v>
      </c>
      <c r="Q30" s="25">
        <v>1</v>
      </c>
      <c r="R30" s="1" t="str">
        <f t="shared" si="1"/>
        <v>50</v>
      </c>
      <c r="S30" s="1">
        <f>경동전체1!B30</f>
        <v>8600</v>
      </c>
      <c r="T30" s="1" t="str">
        <f t="shared" si="2"/>
        <v>100</v>
      </c>
      <c r="U30" s="5" t="str">
        <f t="shared" si="3"/>
        <v>0</v>
      </c>
      <c r="V30" s="26">
        <v>0</v>
      </c>
      <c r="W30" s="26">
        <v>0</v>
      </c>
      <c r="X30" s="2" t="str">
        <f>SUBSTITUTE(SUBSTITUTE(SUBSTITUTE(SUBSTITUTE(SUBSTITUTE(SUBSTITUTE(SUBSTITUTE(SUBSTITUTE(SUBSTITUTE(SUBSTITUTE(SUBSTITUTE(SUBSTITUTE(SUBSTITUTE(경동전체1!D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25T블루(100)x2</v>
      </c>
    </row>
    <row r="31" spans="1:24" ht="23.25" customHeight="1" x14ac:dyDescent="0.3">
      <c r="A31" s="2" t="str">
        <f>경동전체1!A31</f>
        <v>3-3고정일</v>
      </c>
      <c r="B31" s="13" t="str">
        <f>SUBSTITUTE(SUBSTITUTE(SUBSTITUTE(SUBSTITUTE(SUBSTITUTE(SUBSTITUTE(SUBSTITUTE(SUBSTITUTE(SUBSTITUTE(SUBSTITUTE(SUBSTITUTE(SUBSTITUTE(SUBSTITUTE(경동전체1!K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대덕구 대화로 160 (대화동, 산업용재유통상가) 1동 207호</v>
      </c>
      <c r="C31" s="30">
        <f>경동전체1!E31</f>
        <v>0</v>
      </c>
      <c r="D31" s="23"/>
      <c r="E31" s="23"/>
      <c r="F31" s="4" t="str">
        <f>경동전체1!J31</f>
        <v>34368</v>
      </c>
      <c r="G31" s="23"/>
      <c r="H31" s="2" t="str">
        <f>경동전체1!H31</f>
        <v>010-5436-3781</v>
      </c>
      <c r="I31" s="2" t="str">
        <f>경동전체1!I31&amp;""</f>
        <v>010-5436-3781</v>
      </c>
      <c r="J31" s="2" t="s">
        <v>36</v>
      </c>
      <c r="K31" s="2" t="str">
        <f>IF(LEFT(경동전체1!G31,1)="","따사룸",경동전체1!G31)</f>
        <v>따사룸</v>
      </c>
      <c r="L31" s="4" t="str">
        <f t="shared" si="0"/>
        <v>1</v>
      </c>
      <c r="M31" s="1" t="str">
        <f>IF(LEFT(경동전체1!D31,1)="2","비닐",IF(LEFT(경동전체1!O31,1)="박","박스","비닐"))</f>
        <v>비닐</v>
      </c>
      <c r="N31" s="25">
        <v>1</v>
      </c>
      <c r="O31" s="25">
        <v>1</v>
      </c>
      <c r="P31" s="25">
        <v>1</v>
      </c>
      <c r="Q31" s="25">
        <v>1</v>
      </c>
      <c r="R31" s="1" t="str">
        <f t="shared" si="1"/>
        <v>50</v>
      </c>
      <c r="S31" s="1">
        <f>경동전체1!B31</f>
        <v>0</v>
      </c>
      <c r="T31" s="1" t="str">
        <f t="shared" si="2"/>
        <v>100</v>
      </c>
      <c r="U31" s="5" t="str">
        <f t="shared" si="3"/>
        <v>0</v>
      </c>
      <c r="V31" s="26">
        <v>0</v>
      </c>
      <c r="W31" s="26">
        <v>0</v>
      </c>
      <c r="X31" s="2" t="str">
        <f>SUBSTITUTE(SUBSTITUTE(SUBSTITUTE(SUBSTITUTE(SUBSTITUTE(SUBSTITUTE(SUBSTITUTE(SUBSTITUTE(SUBSTITUTE(SUBSTITUTE(SUBSTITUTE(SUBSTITUTE(SUBSTITUTE(경동전체1!D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25T핑크(100)x2</v>
      </c>
    </row>
    <row r="32" spans="1:24" ht="23.25" customHeight="1" x14ac:dyDescent="0.3">
      <c r="A32" s="2" t="str">
        <f>경동전체1!A32</f>
        <v>3-1지찬미</v>
      </c>
      <c r="B32" s="13" t="str">
        <f>SUBSTITUTE(SUBSTITUTE(SUBSTITUTE(SUBSTITUTE(SUBSTITUTE(SUBSTITUTE(SUBSTITUTE(SUBSTITUTE(SUBSTITUTE(SUBSTITUTE(SUBSTITUTE(SUBSTITUTE(SUBSTITUTE(경동전체1!K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춘천시 백령로 215 (후평동, 춘천일성트루엘더퍼스트아파트) 107-1304</v>
      </c>
      <c r="C32" s="30">
        <f>경동전체1!E32</f>
        <v>0</v>
      </c>
      <c r="D32" s="23"/>
      <c r="E32" s="23"/>
      <c r="F32" s="4" t="str">
        <f>경동전체1!J32</f>
        <v>24279</v>
      </c>
      <c r="G32" s="23"/>
      <c r="H32" s="2" t="str">
        <f>경동전체1!H32</f>
        <v>010-4856-8776</v>
      </c>
      <c r="I32" s="2" t="str">
        <f>경동전체1!I32&amp;""</f>
        <v>0502-3513-7025</v>
      </c>
      <c r="J32" s="2" t="s">
        <v>36</v>
      </c>
      <c r="K32" s="2" t="str">
        <f>IF(LEFT(경동전체1!G32,1)="","따사룸",경동전체1!G32)</f>
        <v>따사룸</v>
      </c>
      <c r="L32" s="4" t="str">
        <f t="shared" si="0"/>
        <v>1</v>
      </c>
      <c r="M32" s="1" t="str">
        <f>IF(LEFT(경동전체1!D32,1)="2","비닐",IF(LEFT(경동전체1!O32,1)="박","박스","비닐"))</f>
        <v>비닐</v>
      </c>
      <c r="N32" s="25">
        <v>1</v>
      </c>
      <c r="O32" s="25">
        <v>1</v>
      </c>
      <c r="P32" s="25">
        <v>1</v>
      </c>
      <c r="Q32" s="25">
        <v>1</v>
      </c>
      <c r="R32" s="1" t="str">
        <f t="shared" si="1"/>
        <v>50</v>
      </c>
      <c r="S32" s="1">
        <f>경동전체1!B32</f>
        <v>10700</v>
      </c>
      <c r="T32" s="1" t="str">
        <f t="shared" si="2"/>
        <v>100</v>
      </c>
      <c r="U32" s="5" t="str">
        <f t="shared" si="3"/>
        <v>0</v>
      </c>
      <c r="V32" s="26">
        <v>0</v>
      </c>
      <c r="W32" s="26">
        <v>0</v>
      </c>
      <c r="X32" s="2" t="str">
        <f>SUBSTITUTE(SUBSTITUTE(SUBSTITUTE(SUBSTITUTE(SUBSTITUTE(SUBSTITUTE(SUBSTITUTE(SUBSTITUTE(SUBSTITUTE(SUBSTITUTE(SUBSTITUTE(SUBSTITUTE(SUBSTITUTE(경동전체1!D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33" spans="1:24" ht="23.25" customHeight="1" x14ac:dyDescent="0.3">
      <c r="A33" s="2" t="str">
        <f>경동전체1!A33</f>
        <v>3-2지찬미</v>
      </c>
      <c r="B33" s="13" t="str">
        <f>SUBSTITUTE(SUBSTITUTE(SUBSTITUTE(SUBSTITUTE(SUBSTITUTE(SUBSTITUTE(SUBSTITUTE(SUBSTITUTE(SUBSTITUTE(SUBSTITUTE(SUBSTITUTE(SUBSTITUTE(SUBSTITUTE(경동전체1!K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춘천시 백령로 215 (후평동, 춘천일성트루엘더퍼스트아파트) 107-1304</v>
      </c>
      <c r="C33" s="30">
        <f>경동전체1!E33</f>
        <v>0</v>
      </c>
      <c r="D33" s="23"/>
      <c r="E33" s="23"/>
      <c r="F33" s="4" t="str">
        <f>경동전체1!J33</f>
        <v>24279</v>
      </c>
      <c r="G33" s="23"/>
      <c r="H33" s="2" t="str">
        <f>경동전체1!H33</f>
        <v>010-4856-8776</v>
      </c>
      <c r="I33" s="2" t="str">
        <f>경동전체1!I33&amp;""</f>
        <v>0502-3513-7025</v>
      </c>
      <c r="J33" s="2" t="s">
        <v>36</v>
      </c>
      <c r="K33" s="2" t="str">
        <f>IF(LEFT(경동전체1!G33,1)="","따사룸",경동전체1!G33)</f>
        <v>따사룸</v>
      </c>
      <c r="L33" s="4" t="str">
        <f t="shared" si="0"/>
        <v>1</v>
      </c>
      <c r="M33" s="1" t="str">
        <f>IF(LEFT(경동전체1!D33,1)="2","비닐",IF(LEFT(경동전체1!O33,1)="박","박스","비닐"))</f>
        <v>비닐</v>
      </c>
      <c r="N33" s="25">
        <v>1</v>
      </c>
      <c r="O33" s="25">
        <v>1</v>
      </c>
      <c r="P33" s="25">
        <v>1</v>
      </c>
      <c r="Q33" s="25">
        <v>1</v>
      </c>
      <c r="R33" s="1" t="str">
        <f t="shared" si="1"/>
        <v>50</v>
      </c>
      <c r="S33" s="1">
        <f>경동전체1!B33</f>
        <v>10700</v>
      </c>
      <c r="T33" s="1" t="str">
        <f t="shared" si="2"/>
        <v>100</v>
      </c>
      <c r="U33" s="5" t="str">
        <f t="shared" si="3"/>
        <v>0</v>
      </c>
      <c r="V33" s="26">
        <v>0</v>
      </c>
      <c r="W33" s="26">
        <v>0</v>
      </c>
      <c r="X33" s="2" t="str">
        <f>SUBSTITUTE(SUBSTITUTE(SUBSTITUTE(SUBSTITUTE(SUBSTITUTE(SUBSTITUTE(SUBSTITUTE(SUBSTITUTE(SUBSTITUTE(SUBSTITUTE(SUBSTITUTE(SUBSTITUTE(SUBSTITUTE(경동전체1!D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34" spans="1:24" ht="23.25" customHeight="1" x14ac:dyDescent="0.3">
      <c r="A34" s="2" t="str">
        <f>경동전체1!A34</f>
        <v>3-3지찬미</v>
      </c>
      <c r="B34" s="13" t="str">
        <f>SUBSTITUTE(SUBSTITUTE(SUBSTITUTE(SUBSTITUTE(SUBSTITUTE(SUBSTITUTE(SUBSTITUTE(SUBSTITUTE(SUBSTITUTE(SUBSTITUTE(SUBSTITUTE(SUBSTITUTE(SUBSTITUTE(경동전체1!K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춘천시 백령로 215 (후평동, 춘천일성트루엘더퍼스트아파트) 107-1304</v>
      </c>
      <c r="C34" s="30">
        <f>경동전체1!E34</f>
        <v>0</v>
      </c>
      <c r="D34" s="23"/>
      <c r="E34" s="23"/>
      <c r="F34" s="4" t="str">
        <f>경동전체1!J34</f>
        <v>24279</v>
      </c>
      <c r="G34" s="23"/>
      <c r="H34" s="2" t="str">
        <f>경동전체1!H34</f>
        <v>010-4856-8776</v>
      </c>
      <c r="I34" s="2" t="str">
        <f>경동전체1!I34&amp;""</f>
        <v>0502-3513-7025</v>
      </c>
      <c r="J34" s="2" t="s">
        <v>36</v>
      </c>
      <c r="K34" s="2" t="str">
        <f>IF(LEFT(경동전체1!G34,1)="","따사룸",경동전체1!G34)</f>
        <v>따사룸</v>
      </c>
      <c r="L34" s="4" t="str">
        <f t="shared" si="0"/>
        <v>1</v>
      </c>
      <c r="M34" s="1" t="str">
        <f>IF(LEFT(경동전체1!D34,1)="2","비닐",IF(LEFT(경동전체1!O34,1)="박","박스","비닐"))</f>
        <v>비닐</v>
      </c>
      <c r="N34" s="25">
        <v>1</v>
      </c>
      <c r="O34" s="25">
        <v>1</v>
      </c>
      <c r="P34" s="25">
        <v>1</v>
      </c>
      <c r="Q34" s="25">
        <v>1</v>
      </c>
      <c r="R34" s="1" t="str">
        <f t="shared" si="1"/>
        <v>50</v>
      </c>
      <c r="S34" s="1">
        <f>경동전체1!B34</f>
        <v>10700</v>
      </c>
      <c r="T34" s="1" t="str">
        <f t="shared" si="2"/>
        <v>100</v>
      </c>
      <c r="U34" s="5" t="str">
        <f t="shared" si="3"/>
        <v>0</v>
      </c>
      <c r="V34" s="26">
        <v>0</v>
      </c>
      <c r="W34" s="26">
        <v>0</v>
      </c>
      <c r="X34" s="2" t="str">
        <f>SUBSTITUTE(SUBSTITUTE(SUBSTITUTE(SUBSTITUTE(SUBSTITUTE(SUBSTITUTE(SUBSTITUTE(SUBSTITUTE(SUBSTITUTE(SUBSTITUTE(SUBSTITUTE(SUBSTITUTE(SUBSTITUTE(경동전체1!D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35" spans="1:24" ht="23.25" customHeight="1" x14ac:dyDescent="0.3">
      <c r="A35" s="2" t="str">
        <f>경동전체1!A35</f>
        <v>정다훈</v>
      </c>
      <c r="B35" s="13" t="str">
        <f>SUBSTITUTE(SUBSTITUTE(SUBSTITUTE(SUBSTITUTE(SUBSTITUTE(SUBSTITUTE(SUBSTITUTE(SUBSTITUTE(SUBSTITUTE(SUBSTITUTE(SUBSTITUTE(SUBSTITUTE(SUBSTITUTE(경동전체1!K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수지구 용구대로 2720 (죽전동, 현암마을동성2차아파트) 203동 1302호</v>
      </c>
      <c r="C35" s="30" t="str">
        <f>경동전체1!E35</f>
        <v>배송 전 미리 연락해 주세요</v>
      </c>
      <c r="D35" s="23"/>
      <c r="E35" s="23"/>
      <c r="F35" s="4" t="str">
        <f>경동전체1!J35</f>
        <v>16868</v>
      </c>
      <c r="G35" s="23"/>
      <c r="H35" s="2" t="str">
        <f>경동전체1!H35</f>
        <v>010-9490-8874</v>
      </c>
      <c r="I35" s="2" t="str">
        <f>경동전체1!I35&amp;""</f>
        <v>010-9490-8874</v>
      </c>
      <c r="J35" s="2" t="s">
        <v>36</v>
      </c>
      <c r="K35" s="2" t="str">
        <f>IF(LEFT(경동전체1!G35,1)="","따사룸",경동전체1!G35)</f>
        <v>따사룸</v>
      </c>
      <c r="L35" s="4" t="str">
        <f t="shared" si="0"/>
        <v>1</v>
      </c>
      <c r="M35" s="1" t="str">
        <f>IF(LEFT(경동전체1!D35,1)="2","비닐",IF(LEFT(경동전체1!O35,1)="박","박스","비닐"))</f>
        <v>비닐</v>
      </c>
      <c r="N35" s="25">
        <v>1</v>
      </c>
      <c r="O35" s="25">
        <v>1</v>
      </c>
      <c r="P35" s="25">
        <v>1</v>
      </c>
      <c r="Q35" s="25">
        <v>1</v>
      </c>
      <c r="R35" s="1" t="str">
        <f t="shared" si="1"/>
        <v>50</v>
      </c>
      <c r="S35" s="1">
        <f>경동전체1!B35</f>
        <v>10700</v>
      </c>
      <c r="T35" s="1" t="str">
        <f t="shared" si="2"/>
        <v>100</v>
      </c>
      <c r="U35" s="5" t="str">
        <f t="shared" si="3"/>
        <v>0</v>
      </c>
      <c r="V35" s="26">
        <v>0</v>
      </c>
      <c r="W35" s="26">
        <v>0</v>
      </c>
      <c r="X35" s="2" t="str">
        <f>SUBSTITUTE(SUBSTITUTE(SUBSTITUTE(SUBSTITUTE(SUBSTITUTE(SUBSTITUTE(SUBSTITUTE(SUBSTITUTE(SUBSTITUTE(SUBSTITUTE(SUBSTITUTE(SUBSTITUTE(SUBSTITUTE(경동전체1!D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40T아이(100)x3</v>
      </c>
    </row>
    <row r="36" spans="1:24" ht="23.25" customHeight="1" x14ac:dyDescent="0.3">
      <c r="A36" s="2" t="str">
        <f>경동전체1!A36</f>
        <v>3-1이슬</v>
      </c>
      <c r="B36" s="13" t="str">
        <f>SUBSTITUTE(SUBSTITUTE(SUBSTITUTE(SUBSTITUTE(SUBSTITUTE(SUBSTITUTE(SUBSTITUTE(SUBSTITUTE(SUBSTITUTE(SUBSTITUTE(SUBSTITUTE(SUBSTITUTE(SUBSTITUTE(경동전체1!K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여주시 산북면 상품로 72 (산북면) 1층 102호</v>
      </c>
      <c r="C36" s="30">
        <f>경동전체1!E36</f>
        <v>0</v>
      </c>
      <c r="D36" s="23"/>
      <c r="E36" s="23"/>
      <c r="F36" s="4" t="str">
        <f>경동전체1!J36</f>
        <v>12603</v>
      </c>
      <c r="G36" s="23"/>
      <c r="H36" s="2" t="str">
        <f>경동전체1!H36</f>
        <v>010-5424-9068</v>
      </c>
      <c r="I36" s="2" t="str">
        <f>경동전체1!I36&amp;""</f>
        <v>010-5424-9068</v>
      </c>
      <c r="J36" s="2" t="s">
        <v>36</v>
      </c>
      <c r="K36" s="2" t="str">
        <f>IF(LEFT(경동전체1!G36,1)="","따사룸",경동전체1!G36)</f>
        <v>따사룸</v>
      </c>
      <c r="L36" s="4" t="str">
        <f t="shared" si="0"/>
        <v>1</v>
      </c>
      <c r="M36" s="1" t="str">
        <f>IF(LEFT(경동전체1!D36,1)="2","비닐",IF(LEFT(경동전체1!O36,1)="박","박스","비닐"))</f>
        <v>비닐</v>
      </c>
      <c r="N36" s="25">
        <v>1</v>
      </c>
      <c r="O36" s="25">
        <v>1</v>
      </c>
      <c r="P36" s="25">
        <v>1</v>
      </c>
      <c r="Q36" s="25">
        <v>1</v>
      </c>
      <c r="R36" s="1" t="str">
        <f t="shared" si="1"/>
        <v>50</v>
      </c>
      <c r="S36" s="1">
        <f>경동전체1!B36</f>
        <v>12700</v>
      </c>
      <c r="T36" s="1" t="str">
        <f t="shared" si="2"/>
        <v>100</v>
      </c>
      <c r="U36" s="5" t="str">
        <f t="shared" si="3"/>
        <v>0</v>
      </c>
      <c r="V36" s="26">
        <v>0</v>
      </c>
      <c r="W36" s="26">
        <v>0</v>
      </c>
      <c r="X36" s="2" t="str">
        <f>SUBSTITUTE(SUBSTITUTE(SUBSTITUTE(SUBSTITUTE(SUBSTITUTE(SUBSTITUTE(SUBSTITUTE(SUBSTITUTE(SUBSTITUTE(SUBSTITUTE(SUBSTITUTE(SUBSTITUTE(SUBSTITUTE(경동전체1!D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37" spans="1:24" ht="23.25" customHeight="1" x14ac:dyDescent="0.3">
      <c r="A37" s="2" t="str">
        <f>경동전체1!A37</f>
        <v>3-2이슬</v>
      </c>
      <c r="B37" s="13" t="str">
        <f>SUBSTITUTE(SUBSTITUTE(SUBSTITUTE(SUBSTITUTE(SUBSTITUTE(SUBSTITUTE(SUBSTITUTE(SUBSTITUTE(SUBSTITUTE(SUBSTITUTE(SUBSTITUTE(SUBSTITUTE(SUBSTITUTE(경동전체1!K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여주시 산북면 상품로 72 (산북면) 1층 102호</v>
      </c>
      <c r="C37" s="30">
        <f>경동전체1!E37</f>
        <v>0</v>
      </c>
      <c r="D37" s="23"/>
      <c r="E37" s="23"/>
      <c r="F37" s="4" t="str">
        <f>경동전체1!J37</f>
        <v>12603</v>
      </c>
      <c r="G37" s="23"/>
      <c r="H37" s="2" t="str">
        <f>경동전체1!H37</f>
        <v>010-5424-9068</v>
      </c>
      <c r="I37" s="2" t="str">
        <f>경동전체1!I37&amp;""</f>
        <v>010-5424-9068</v>
      </c>
      <c r="J37" s="2" t="s">
        <v>36</v>
      </c>
      <c r="K37" s="2" t="str">
        <f>IF(LEFT(경동전체1!G37,1)="","따사룸",경동전체1!G37)</f>
        <v>따사룸</v>
      </c>
      <c r="L37" s="4" t="str">
        <f t="shared" si="0"/>
        <v>1</v>
      </c>
      <c r="M37" s="1" t="str">
        <f>IF(LEFT(경동전체1!D37,1)="2","비닐",IF(LEFT(경동전체1!O37,1)="박","박스","비닐"))</f>
        <v>비닐</v>
      </c>
      <c r="N37" s="25">
        <v>1</v>
      </c>
      <c r="O37" s="25">
        <v>1</v>
      </c>
      <c r="P37" s="25">
        <v>1</v>
      </c>
      <c r="Q37" s="25">
        <v>1</v>
      </c>
      <c r="R37" s="1" t="str">
        <f t="shared" si="1"/>
        <v>50</v>
      </c>
      <c r="S37" s="1">
        <f>경동전체1!B37</f>
        <v>12700</v>
      </c>
      <c r="T37" s="1" t="str">
        <f t="shared" si="2"/>
        <v>100</v>
      </c>
      <c r="U37" s="5" t="str">
        <f t="shared" si="3"/>
        <v>0</v>
      </c>
      <c r="V37" s="26">
        <v>0</v>
      </c>
      <c r="W37" s="26">
        <v>0</v>
      </c>
      <c r="X37" s="2" t="str">
        <f>SUBSTITUTE(SUBSTITUTE(SUBSTITUTE(SUBSTITUTE(SUBSTITUTE(SUBSTITUTE(SUBSTITUTE(SUBSTITUTE(SUBSTITUTE(SUBSTITUTE(SUBSTITUTE(SUBSTITUTE(SUBSTITUTE(경동전체1!D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38" spans="1:24" ht="23.25" customHeight="1" x14ac:dyDescent="0.3">
      <c r="A38" s="2" t="str">
        <f>경동전체1!A38</f>
        <v>3-3이슬</v>
      </c>
      <c r="B38" s="13" t="str">
        <f>SUBSTITUTE(SUBSTITUTE(SUBSTITUTE(SUBSTITUTE(SUBSTITUTE(SUBSTITUTE(SUBSTITUTE(SUBSTITUTE(SUBSTITUTE(SUBSTITUTE(SUBSTITUTE(SUBSTITUTE(SUBSTITUTE(경동전체1!K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여주시 산북면 상품로 72 (산북면) 1층 102호</v>
      </c>
      <c r="C38" s="30">
        <f>경동전체1!E38</f>
        <v>0</v>
      </c>
      <c r="D38" s="23"/>
      <c r="E38" s="23"/>
      <c r="F38" s="4" t="str">
        <f>경동전체1!J38</f>
        <v>12603</v>
      </c>
      <c r="G38" s="23"/>
      <c r="H38" s="2" t="str">
        <f>경동전체1!H38</f>
        <v>010-5424-9068</v>
      </c>
      <c r="I38" s="2" t="str">
        <f>경동전체1!I38&amp;""</f>
        <v>010-5424-9068</v>
      </c>
      <c r="J38" s="2" t="s">
        <v>36</v>
      </c>
      <c r="K38" s="2" t="str">
        <f>IF(LEFT(경동전체1!G38,1)="","따사룸",경동전체1!G38)</f>
        <v>따사룸</v>
      </c>
      <c r="L38" s="4" t="str">
        <f t="shared" si="0"/>
        <v>1</v>
      </c>
      <c r="M38" s="1" t="str">
        <f>IF(LEFT(경동전체1!D38,1)="2","비닐",IF(LEFT(경동전체1!O38,1)="박","박스","비닐"))</f>
        <v>비닐</v>
      </c>
      <c r="N38" s="25">
        <v>1</v>
      </c>
      <c r="O38" s="25">
        <v>1</v>
      </c>
      <c r="P38" s="25">
        <v>1</v>
      </c>
      <c r="Q38" s="25">
        <v>1</v>
      </c>
      <c r="R38" s="1" t="str">
        <f t="shared" si="1"/>
        <v>50</v>
      </c>
      <c r="S38" s="1">
        <f>경동전체1!B38</f>
        <v>12700</v>
      </c>
      <c r="T38" s="1" t="str">
        <f t="shared" si="2"/>
        <v>100</v>
      </c>
      <c r="U38" s="5" t="str">
        <f t="shared" si="3"/>
        <v>0</v>
      </c>
      <c r="V38" s="26">
        <v>0</v>
      </c>
      <c r="W38" s="26">
        <v>0</v>
      </c>
      <c r="X38" s="2" t="str">
        <f>SUBSTITUTE(SUBSTITUTE(SUBSTITUTE(SUBSTITUTE(SUBSTITUTE(SUBSTITUTE(SUBSTITUTE(SUBSTITUTE(SUBSTITUTE(SUBSTITUTE(SUBSTITUTE(SUBSTITUTE(SUBSTITUTE(경동전체1!D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39" spans="1:24" ht="23.25" customHeight="1" x14ac:dyDescent="0.3">
      <c r="A39" s="2" t="str">
        <f>경동전체1!A39</f>
        <v>3-1김영국</v>
      </c>
      <c r="B39" s="13" t="str">
        <f>SUBSTITUTE(SUBSTITUTE(SUBSTITUTE(SUBSTITUTE(SUBSTITUTE(SUBSTITUTE(SUBSTITUTE(SUBSTITUTE(SUBSTITUTE(SUBSTITUTE(SUBSTITUTE(SUBSTITUTE(SUBSTITUTE(경동전체1!K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세병로 130 (송천동2가, 에코시티 데시앙 네스트) 802동1403호</v>
      </c>
      <c r="C39" s="30">
        <f>경동전체1!E39</f>
        <v>0</v>
      </c>
      <c r="D39" s="23"/>
      <c r="E39" s="23"/>
      <c r="F39" s="4" t="str">
        <f>경동전체1!J39</f>
        <v>55150</v>
      </c>
      <c r="G39" s="23"/>
      <c r="H39" s="2" t="str">
        <f>경동전체1!H39</f>
        <v>010-9080-1385</v>
      </c>
      <c r="I39" s="2" t="str">
        <f>경동전체1!I39&amp;""</f>
        <v>010-9080-1385</v>
      </c>
      <c r="J39" s="2" t="s">
        <v>36</v>
      </c>
      <c r="K39" s="2" t="str">
        <f>IF(LEFT(경동전체1!G39,1)="","따사룸",경동전체1!G39)</f>
        <v>★증정★테이프20mx3</v>
      </c>
      <c r="L39" s="4" t="str">
        <f t="shared" si="0"/>
        <v>1</v>
      </c>
      <c r="M39" s="1" t="str">
        <f>IF(LEFT(경동전체1!D39,1)="2","비닐",IF(LEFT(경동전체1!O39,1)="박","박스","비닐"))</f>
        <v>박스</v>
      </c>
      <c r="N39" s="25">
        <v>1</v>
      </c>
      <c r="O39" s="25">
        <v>1</v>
      </c>
      <c r="P39" s="25">
        <v>1</v>
      </c>
      <c r="Q39" s="25">
        <v>1</v>
      </c>
      <c r="R39" s="1" t="str">
        <f t="shared" si="1"/>
        <v>50</v>
      </c>
      <c r="S39" s="1">
        <f>경동전체1!B39</f>
        <v>15400</v>
      </c>
      <c r="T39" s="1" t="str">
        <f t="shared" si="2"/>
        <v>100</v>
      </c>
      <c r="U39" s="5" t="str">
        <f t="shared" si="3"/>
        <v>0</v>
      </c>
      <c r="V39" s="26">
        <v>0</v>
      </c>
      <c r="W39" s="26">
        <v>0</v>
      </c>
      <c r="X39" s="2" t="str">
        <f>SUBSTITUTE(SUBSTITUTE(SUBSTITUTE(SUBSTITUTE(SUBSTITUTE(SUBSTITUTE(SUBSTITUTE(SUBSTITUTE(SUBSTITUTE(SUBSTITUTE(SUBSTITUTE(SUBSTITUTE(SUBSTITUTE(경동전체1!D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(140)17T퓨어아이4mx1</v>
      </c>
    </row>
    <row r="40" spans="1:24" ht="23.25" customHeight="1" x14ac:dyDescent="0.3">
      <c r="A40" s="2" t="str">
        <f>경동전체1!A40</f>
        <v>3-2김영국</v>
      </c>
      <c r="B40" s="13" t="str">
        <f>SUBSTITUTE(SUBSTITUTE(SUBSTITUTE(SUBSTITUTE(SUBSTITUTE(SUBSTITUTE(SUBSTITUTE(SUBSTITUTE(SUBSTITUTE(SUBSTITUTE(SUBSTITUTE(SUBSTITUTE(SUBSTITUTE(경동전체1!K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세병로 130 (송천동2가, 에코시티 데시앙 네스트) 802동1403호</v>
      </c>
      <c r="C40" s="30">
        <f>경동전체1!E40</f>
        <v>0</v>
      </c>
      <c r="D40" s="23"/>
      <c r="E40" s="23"/>
      <c r="F40" s="4" t="str">
        <f>경동전체1!J40</f>
        <v>55150</v>
      </c>
      <c r="G40" s="23"/>
      <c r="H40" s="2" t="str">
        <f>경동전체1!H40</f>
        <v>010-9080-1385</v>
      </c>
      <c r="I40" s="2" t="str">
        <f>경동전체1!I40&amp;""</f>
        <v>010-9080-1385</v>
      </c>
      <c r="J40" s="2" t="s">
        <v>36</v>
      </c>
      <c r="K40" s="2" t="str">
        <f>IF(LEFT(경동전체1!G40,1)="","따사룸",경동전체1!G40)</f>
        <v>따사룸</v>
      </c>
      <c r="L40" s="4" t="str">
        <f t="shared" si="0"/>
        <v>1</v>
      </c>
      <c r="M40" s="1" t="str">
        <f>IF(LEFT(경동전체1!D40,1)="2","비닐",IF(LEFT(경동전체1!O40,1)="박","박스","비닐"))</f>
        <v>박스</v>
      </c>
      <c r="N40" s="25">
        <v>1</v>
      </c>
      <c r="O40" s="25">
        <v>1</v>
      </c>
      <c r="P40" s="25">
        <v>1</v>
      </c>
      <c r="Q40" s="25">
        <v>1</v>
      </c>
      <c r="R40" s="1" t="str">
        <f t="shared" si="1"/>
        <v>50</v>
      </c>
      <c r="S40" s="1">
        <f>경동전체1!B40</f>
        <v>15400</v>
      </c>
      <c r="T40" s="1" t="str">
        <f t="shared" si="2"/>
        <v>100</v>
      </c>
      <c r="U40" s="5" t="str">
        <f t="shared" si="3"/>
        <v>0</v>
      </c>
      <c r="V40" s="26">
        <v>0</v>
      </c>
      <c r="W40" s="26">
        <v>0</v>
      </c>
      <c r="X40" s="2" t="str">
        <f>SUBSTITUTE(SUBSTITUTE(SUBSTITUTE(SUBSTITUTE(SUBSTITUTE(SUBSTITUTE(SUBSTITUTE(SUBSTITUTE(SUBSTITUTE(SUBSTITUTE(SUBSTITUTE(SUBSTITUTE(SUBSTITUTE(경동전체1!D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(140)17T퓨어아이2.5mx1</v>
      </c>
    </row>
    <row r="41" spans="1:24" ht="23.25" customHeight="1" x14ac:dyDescent="0.3">
      <c r="A41" s="2" t="str">
        <f>경동전체1!A41</f>
        <v>3-3김영국★</v>
      </c>
      <c r="B41" s="13" t="str">
        <f>SUBSTITUTE(SUBSTITUTE(SUBSTITUTE(SUBSTITUTE(SUBSTITUTE(SUBSTITUTE(SUBSTITUTE(SUBSTITUTE(SUBSTITUTE(SUBSTITUTE(SUBSTITUTE(SUBSTITUTE(SUBSTITUTE(경동전체1!K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세병로 130 (송천동2가, 에코시티 데시앙 네스트) 802동1403호</v>
      </c>
      <c r="C41" s="30" t="str">
        <f>경동전체1!E41</f>
        <v>★파손주의★</v>
      </c>
      <c r="D41" s="23"/>
      <c r="E41" s="23"/>
      <c r="F41" s="4" t="str">
        <f>경동전체1!J41</f>
        <v>55150</v>
      </c>
      <c r="G41" s="23"/>
      <c r="H41" s="2" t="str">
        <f>경동전체1!H41</f>
        <v>010-9080-1385</v>
      </c>
      <c r="I41" s="2" t="str">
        <f>경동전체1!I41&amp;""</f>
        <v>010-9080-1385</v>
      </c>
      <c r="J41" s="2" t="s">
        <v>36</v>
      </c>
      <c r="K41" s="2" t="str">
        <f>IF(LEFT(경동전체1!G41,1)="","따사룸",경동전체1!G41)</f>
        <v>따사룸</v>
      </c>
      <c r="L41" s="4" t="str">
        <f t="shared" si="0"/>
        <v>1</v>
      </c>
      <c r="M41" s="1" t="str">
        <f>IF(LEFT(경동전체1!D41,1)="2","비닐",IF(LEFT(경동전체1!O41,1)="박","박스","비닐"))</f>
        <v>비닐</v>
      </c>
      <c r="N41" s="25">
        <v>1</v>
      </c>
      <c r="O41" s="25">
        <v>1</v>
      </c>
      <c r="P41" s="25">
        <v>1</v>
      </c>
      <c r="Q41" s="25">
        <v>1</v>
      </c>
      <c r="R41" s="1" t="str">
        <f t="shared" si="1"/>
        <v>50</v>
      </c>
      <c r="S41" s="1">
        <f>경동전체1!B41</f>
        <v>16700</v>
      </c>
      <c r="T41" s="1" t="str">
        <f t="shared" si="2"/>
        <v>100</v>
      </c>
      <c r="U41" s="5" t="str">
        <f t="shared" si="3"/>
        <v>0</v>
      </c>
      <c r="V41" s="26">
        <v>0</v>
      </c>
      <c r="W41" s="26">
        <v>0</v>
      </c>
      <c r="X41" s="2" t="str">
        <f>SUBSTITUTE(SUBSTITUTE(SUBSTITUTE(SUBSTITUTE(SUBSTITUTE(SUBSTITUTE(SUBSTITUTE(SUBSTITUTE(SUBSTITUTE(SUBSTITUTE(SUBSTITUTE(SUBSTITUTE(SUBSTITUTE(경동전체1!D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(120)17T퓨어아이8mx1</v>
      </c>
    </row>
    <row r="42" spans="1:24" ht="23.25" customHeight="1" x14ac:dyDescent="0.3">
      <c r="A42" s="2" t="str">
        <f>경동전체1!A42</f>
        <v>김득봉</v>
      </c>
      <c r="B42" s="13" t="str">
        <f>SUBSTITUTE(SUBSTITUTE(SUBSTITUTE(SUBSTITUTE(SUBSTITUTE(SUBSTITUTE(SUBSTITUTE(SUBSTITUTE(SUBSTITUTE(SUBSTITUTE(SUBSTITUTE(SUBSTITUTE(SUBSTITUTE(경동전체1!K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전남 해남군 화원면 금평길 54 (화원면, 궁전빌라) 404호</v>
      </c>
      <c r="C42" s="30">
        <f>경동전체1!E42</f>
        <v>0</v>
      </c>
      <c r="D42" s="23"/>
      <c r="E42" s="23"/>
      <c r="F42" s="4" t="str">
        <f>경동전체1!J42</f>
        <v>59002</v>
      </c>
      <c r="G42" s="23"/>
      <c r="H42" s="2" t="str">
        <f>경동전체1!H42</f>
        <v>010-4686-0482</v>
      </c>
      <c r="I42" s="2" t="str">
        <f>경동전체1!I42&amp;""</f>
        <v>010-4686-0482</v>
      </c>
      <c r="J42" s="2" t="s">
        <v>36</v>
      </c>
      <c r="K42" s="2" t="str">
        <f>IF(LEFT(경동전체1!G42,1)="","따사룸",경동전체1!G42)</f>
        <v>따사룸</v>
      </c>
      <c r="L42" s="4" t="str">
        <f t="shared" si="0"/>
        <v>1</v>
      </c>
      <c r="M42" s="1" t="str">
        <f>IF(LEFT(경동전체1!D42,1)="2","비닐",IF(LEFT(경동전체1!O42,1)="박","박스","비닐"))</f>
        <v>비닐</v>
      </c>
      <c r="N42" s="25">
        <v>1</v>
      </c>
      <c r="O42" s="25">
        <v>1</v>
      </c>
      <c r="P42" s="25">
        <v>1</v>
      </c>
      <c r="Q42" s="25">
        <v>1</v>
      </c>
      <c r="R42" s="1" t="str">
        <f t="shared" si="1"/>
        <v>50</v>
      </c>
      <c r="S42" s="1">
        <f>경동전체1!B42</f>
        <v>6900</v>
      </c>
      <c r="T42" s="1" t="str">
        <f t="shared" si="2"/>
        <v>100</v>
      </c>
      <c r="U42" s="5" t="str">
        <f t="shared" si="3"/>
        <v>0</v>
      </c>
      <c r="V42" s="26">
        <v>0</v>
      </c>
      <c r="W42" s="26">
        <v>0</v>
      </c>
      <c r="X42" s="2" t="str">
        <f>SUBSTITUTE(SUBSTITUTE(SUBSTITUTE(SUBSTITUTE(SUBSTITUTE(SUBSTITUTE(SUBSTITUTE(SUBSTITUTE(SUBSTITUTE(SUBSTITUTE(SUBSTITUTE(SUBSTITUTE(SUBSTITUTE(경동전체1!D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25T그레이(100)x3</v>
      </c>
    </row>
    <row r="43" spans="1:24" ht="23.25" customHeight="1" x14ac:dyDescent="0.3">
      <c r="A43" s="2" t="str">
        <f>경동전체1!A43</f>
        <v>2-2김규동</v>
      </c>
      <c r="B43" s="13" t="str">
        <f>SUBSTITUTE(SUBSTITUTE(SUBSTITUTE(SUBSTITUTE(SUBSTITUTE(SUBSTITUTE(SUBSTITUTE(SUBSTITUTE(SUBSTITUTE(SUBSTITUTE(SUBSTITUTE(SUBSTITUTE(SUBSTITUTE(경동전체1!K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금정구 중앙대로1685번길 24 (부곡동, 경남한신아파트) 101동 1201호</v>
      </c>
      <c r="C43" s="30" t="str">
        <f>경동전체1!E43</f>
        <v>문앞에 놔주세요.</v>
      </c>
      <c r="D43" s="23"/>
      <c r="E43" s="23"/>
      <c r="F43" s="4" t="str">
        <f>경동전체1!J43</f>
        <v>46277</v>
      </c>
      <c r="G43" s="23"/>
      <c r="H43" s="2" t="str">
        <f>경동전체1!H43</f>
        <v>010-7220-3846</v>
      </c>
      <c r="I43" s="2" t="str">
        <f>경동전체1!I43&amp;""</f>
        <v>010-7220-3846</v>
      </c>
      <c r="J43" s="2" t="s">
        <v>36</v>
      </c>
      <c r="K43" s="2" t="str">
        <f>IF(LEFT(경동전체1!G43,1)="","따사룸",경동전체1!G43)</f>
        <v>따사룸</v>
      </c>
      <c r="L43" s="4" t="str">
        <f t="shared" si="0"/>
        <v>1</v>
      </c>
      <c r="M43" s="1" t="str">
        <f>IF(LEFT(경동전체1!D43,1)="2","비닐",IF(LEFT(경동전체1!O43,1)="박","박스","비닐"))</f>
        <v>비닐</v>
      </c>
      <c r="N43" s="25">
        <v>1</v>
      </c>
      <c r="O43" s="25">
        <v>1</v>
      </c>
      <c r="P43" s="25">
        <v>1</v>
      </c>
      <c r="Q43" s="25">
        <v>1</v>
      </c>
      <c r="R43" s="1" t="str">
        <f t="shared" si="1"/>
        <v>50</v>
      </c>
      <c r="S43" s="1">
        <f>경동전체1!B43</f>
        <v>0</v>
      </c>
      <c r="T43" s="1" t="str">
        <f t="shared" si="2"/>
        <v>100</v>
      </c>
      <c r="U43" s="5" t="str">
        <f t="shared" si="3"/>
        <v>0</v>
      </c>
      <c r="V43" s="26">
        <v>0</v>
      </c>
      <c r="W43" s="26">
        <v>0</v>
      </c>
      <c r="X43" s="2" t="str">
        <f>SUBSTITUTE(SUBSTITUTE(SUBSTITUTE(SUBSTITUTE(SUBSTITUTE(SUBSTITUTE(SUBSTITUTE(SUBSTITUTE(SUBSTITUTE(SUBSTITUTE(SUBSTITUTE(SUBSTITUTE(SUBSTITUTE(경동전체1!D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44" spans="1:24" ht="23.25" customHeight="1" x14ac:dyDescent="0.3">
      <c r="A44" s="2" t="str">
        <f>경동전체1!A44</f>
        <v>2-1김규동</v>
      </c>
      <c r="B44" s="13" t="str">
        <f>SUBSTITUTE(SUBSTITUTE(SUBSTITUTE(SUBSTITUTE(SUBSTITUTE(SUBSTITUTE(SUBSTITUTE(SUBSTITUTE(SUBSTITUTE(SUBSTITUTE(SUBSTITUTE(SUBSTITUTE(SUBSTITUTE(경동전체1!K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금정구 중앙대로1685번길 24 (부곡동, 경남한신아파트) 101동 1201호</v>
      </c>
      <c r="C44" s="30" t="str">
        <f>경동전체1!E44</f>
        <v>문앞에 놔주세요.</v>
      </c>
      <c r="D44" s="23"/>
      <c r="E44" s="23"/>
      <c r="F44" s="4" t="str">
        <f>경동전체1!J44</f>
        <v>46277</v>
      </c>
      <c r="G44" s="23"/>
      <c r="H44" s="2" t="str">
        <f>경동전체1!H44</f>
        <v>010-7220-3846</v>
      </c>
      <c r="I44" s="2" t="str">
        <f>경동전체1!I44&amp;""</f>
        <v>010-7220-3846</v>
      </c>
      <c r="J44" s="2" t="s">
        <v>36</v>
      </c>
      <c r="K44" s="2" t="str">
        <f>IF(LEFT(경동전체1!G44,1)="","따사룸",경동전체1!G44)</f>
        <v>따사룸</v>
      </c>
      <c r="L44" s="4" t="str">
        <f t="shared" si="0"/>
        <v>1</v>
      </c>
      <c r="M44" s="1" t="str">
        <f>IF(LEFT(경동전체1!D44,1)="2","비닐",IF(LEFT(경동전체1!O44,1)="박","박스","비닐"))</f>
        <v>박스</v>
      </c>
      <c r="N44" s="25">
        <v>1</v>
      </c>
      <c r="O44" s="25">
        <v>1</v>
      </c>
      <c r="P44" s="25">
        <v>1</v>
      </c>
      <c r="Q44" s="25">
        <v>1</v>
      </c>
      <c r="R44" s="1" t="str">
        <f t="shared" si="1"/>
        <v>50</v>
      </c>
      <c r="S44" s="1">
        <f>경동전체1!B44</f>
        <v>13800</v>
      </c>
      <c r="T44" s="1" t="str">
        <f t="shared" si="2"/>
        <v>100</v>
      </c>
      <c r="U44" s="5" t="str">
        <f t="shared" si="3"/>
        <v>0</v>
      </c>
      <c r="V44" s="26">
        <v>0</v>
      </c>
      <c r="W44" s="26">
        <v>0</v>
      </c>
      <c r="X44" s="2" t="str">
        <f>SUBSTITUTE(SUBSTITUTE(SUBSTITUTE(SUBSTITUTE(SUBSTITUTE(SUBSTITUTE(SUBSTITUTE(SUBSTITUTE(SUBSTITUTE(SUBSTITUTE(SUBSTITUTE(SUBSTITUTE(SUBSTITUTE(경동전체1!D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(120)22T퓨어아이2.5mx1</v>
      </c>
    </row>
    <row r="45" spans="1:24" ht="23.25" customHeight="1" x14ac:dyDescent="0.3">
      <c r="A45" s="2" t="str">
        <f>경동전체1!A45</f>
        <v>2-2김규동</v>
      </c>
      <c r="B45" s="13" t="str">
        <f>SUBSTITUTE(SUBSTITUTE(SUBSTITUTE(SUBSTITUTE(SUBSTITUTE(SUBSTITUTE(SUBSTITUTE(SUBSTITUTE(SUBSTITUTE(SUBSTITUTE(SUBSTITUTE(SUBSTITUTE(SUBSTITUTE(경동전체1!K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금정구 중앙대로1685번길 24 (부곡동, 경남한신아파트) 101동 1201호</v>
      </c>
      <c r="C45" s="30" t="str">
        <f>경동전체1!E45</f>
        <v>문앞에 놔주세요.</v>
      </c>
      <c r="D45" s="23"/>
      <c r="E45" s="23"/>
      <c r="F45" s="4" t="str">
        <f>경동전체1!J45</f>
        <v>46277</v>
      </c>
      <c r="G45" s="23"/>
      <c r="H45" s="2" t="str">
        <f>경동전체1!H45</f>
        <v>010-7220-3846</v>
      </c>
      <c r="I45" s="2" t="str">
        <f>경동전체1!I45&amp;""</f>
        <v>010-7220-3846</v>
      </c>
      <c r="J45" s="2" t="s">
        <v>36</v>
      </c>
      <c r="K45" s="2" t="str">
        <f>IF(LEFT(경동전체1!G45,1)="","따사룸",경동전체1!G45)</f>
        <v>따사룸</v>
      </c>
      <c r="L45" s="4" t="str">
        <f t="shared" si="0"/>
        <v>1</v>
      </c>
      <c r="M45" s="1" t="str">
        <f>IF(LEFT(경동전체1!D45,1)="2","비닐",IF(LEFT(경동전체1!O45,1)="박","박스","비닐"))</f>
        <v>박스</v>
      </c>
      <c r="N45" s="25">
        <v>1</v>
      </c>
      <c r="O45" s="25">
        <v>1</v>
      </c>
      <c r="P45" s="25">
        <v>1</v>
      </c>
      <c r="Q45" s="25">
        <v>1</v>
      </c>
      <c r="R45" s="1" t="str">
        <f t="shared" si="1"/>
        <v>50</v>
      </c>
      <c r="S45" s="1">
        <f>경동전체1!B45</f>
        <v>12100</v>
      </c>
      <c r="T45" s="1" t="str">
        <f t="shared" si="2"/>
        <v>100</v>
      </c>
      <c r="U45" s="5" t="str">
        <f t="shared" si="3"/>
        <v>0</v>
      </c>
      <c r="V45" s="26">
        <v>0</v>
      </c>
      <c r="W45" s="26">
        <v>0</v>
      </c>
      <c r="X45" s="2" t="str">
        <f>SUBSTITUTE(SUBSTITUTE(SUBSTITUTE(SUBSTITUTE(SUBSTITUTE(SUBSTITUTE(SUBSTITUTE(SUBSTITUTE(SUBSTITUTE(SUBSTITUTE(SUBSTITUTE(SUBSTITUTE(SUBSTITUTE(경동전체1!D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(110)22T퓨어아이2.5mx1</v>
      </c>
    </row>
    <row r="46" spans="1:24" ht="23.25" customHeight="1" x14ac:dyDescent="0.3">
      <c r="A46" s="2" t="str">
        <f>경동전체1!A46</f>
        <v>5-1이좌훈</v>
      </c>
      <c r="B46" s="13" t="str">
        <f>SUBSTITUTE(SUBSTITUTE(SUBSTITUTE(SUBSTITUTE(SUBSTITUTE(SUBSTITUTE(SUBSTITUTE(SUBSTITUTE(SUBSTITUTE(SUBSTITUTE(SUBSTITUTE(SUBSTITUTE(SUBSTITUTE(경동전체1!K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46" s="30">
        <f>경동전체1!E46</f>
        <v>0</v>
      </c>
      <c r="D46" s="23"/>
      <c r="E46" s="23"/>
      <c r="F46" s="4" t="str">
        <f>경동전체1!J46</f>
        <v>17759</v>
      </c>
      <c r="G46" s="23"/>
      <c r="H46" s="2" t="str">
        <f>경동전체1!H46</f>
        <v>010-5023-9290</v>
      </c>
      <c r="I46" s="2" t="str">
        <f>경동전체1!I46&amp;""</f>
        <v>010-5023-9290</v>
      </c>
      <c r="J46" s="2" t="s">
        <v>36</v>
      </c>
      <c r="K46" s="2" t="str">
        <f>IF(LEFT(경동전체1!G46,1)="","따사룸",경동전체1!G46)</f>
        <v>따사룸</v>
      </c>
      <c r="L46" s="4" t="str">
        <f t="shared" si="0"/>
        <v>1</v>
      </c>
      <c r="M46" s="1" t="str">
        <f>IF(LEFT(경동전체1!D46,1)="2","비닐",IF(LEFT(경동전체1!O46,1)="박","박스","비닐"))</f>
        <v>비닐</v>
      </c>
      <c r="N46" s="25">
        <v>1</v>
      </c>
      <c r="O46" s="25">
        <v>1</v>
      </c>
      <c r="P46" s="25">
        <v>1</v>
      </c>
      <c r="Q46" s="25">
        <v>1</v>
      </c>
      <c r="R46" s="1" t="str">
        <f t="shared" si="1"/>
        <v>50</v>
      </c>
      <c r="S46" s="1">
        <f>경동전체1!B46</f>
        <v>12700</v>
      </c>
      <c r="T46" s="1" t="str">
        <f t="shared" si="2"/>
        <v>100</v>
      </c>
      <c r="U46" s="5" t="str">
        <f t="shared" si="3"/>
        <v>0</v>
      </c>
      <c r="V46" s="26">
        <v>0</v>
      </c>
      <c r="W46" s="26">
        <v>0</v>
      </c>
      <c r="X46" s="2" t="str">
        <f>SUBSTITUTE(SUBSTITUTE(SUBSTITUTE(SUBSTITUTE(SUBSTITUTE(SUBSTITUTE(SUBSTITUTE(SUBSTITUTE(SUBSTITUTE(SUBSTITUTE(SUBSTITUTE(SUBSTITUTE(SUBSTITUTE(경동전체1!D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플러스♥25T크림그레이(50)x6</v>
      </c>
    </row>
    <row r="47" spans="1:24" ht="23.25" customHeight="1" x14ac:dyDescent="0.3">
      <c r="A47" s="2" t="str">
        <f>경동전체1!A47</f>
        <v>5-2이좌훈</v>
      </c>
      <c r="B47" s="13" t="str">
        <f>SUBSTITUTE(SUBSTITUTE(SUBSTITUTE(SUBSTITUTE(SUBSTITUTE(SUBSTITUTE(SUBSTITUTE(SUBSTITUTE(SUBSTITUTE(SUBSTITUTE(SUBSTITUTE(SUBSTITUTE(SUBSTITUTE(경동전체1!K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47" s="30">
        <f>경동전체1!E47</f>
        <v>0</v>
      </c>
      <c r="D47" s="23"/>
      <c r="E47" s="23"/>
      <c r="F47" s="4" t="str">
        <f>경동전체1!J47</f>
        <v>17759</v>
      </c>
      <c r="G47" s="23"/>
      <c r="H47" s="2" t="str">
        <f>경동전체1!H47</f>
        <v>010-5023-9290</v>
      </c>
      <c r="I47" s="2" t="str">
        <f>경동전체1!I47&amp;""</f>
        <v>010-5023-9290</v>
      </c>
      <c r="J47" s="2" t="s">
        <v>36</v>
      </c>
      <c r="K47" s="2" t="str">
        <f>IF(LEFT(경동전체1!G47,1)="","따사룸",경동전체1!G47)</f>
        <v>따사룸</v>
      </c>
      <c r="L47" s="4" t="str">
        <f t="shared" si="0"/>
        <v>1</v>
      </c>
      <c r="M47" s="1" t="str">
        <f>IF(LEFT(경동전체1!D47,1)="2","비닐",IF(LEFT(경동전체1!O47,1)="박","박스","비닐"))</f>
        <v>비닐</v>
      </c>
      <c r="N47" s="25">
        <v>1</v>
      </c>
      <c r="O47" s="25">
        <v>1</v>
      </c>
      <c r="P47" s="25">
        <v>1</v>
      </c>
      <c r="Q47" s="25">
        <v>1</v>
      </c>
      <c r="R47" s="1" t="str">
        <f t="shared" si="1"/>
        <v>50</v>
      </c>
      <c r="S47" s="1">
        <f>경동전체1!B47</f>
        <v>12700</v>
      </c>
      <c r="T47" s="1" t="str">
        <f t="shared" si="2"/>
        <v>100</v>
      </c>
      <c r="U47" s="5" t="str">
        <f t="shared" si="3"/>
        <v>0</v>
      </c>
      <c r="V47" s="26">
        <v>0</v>
      </c>
      <c r="W47" s="26">
        <v>0</v>
      </c>
      <c r="X47" s="2" t="str">
        <f>SUBSTITUTE(SUBSTITUTE(SUBSTITUTE(SUBSTITUTE(SUBSTITUTE(SUBSTITUTE(SUBSTITUTE(SUBSTITUTE(SUBSTITUTE(SUBSTITUTE(SUBSTITUTE(SUBSTITUTE(SUBSTITUTE(경동전체1!D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플러스♥25T크림그레이(50)x4</v>
      </c>
    </row>
    <row r="48" spans="1:24" ht="23.25" customHeight="1" x14ac:dyDescent="0.3">
      <c r="A48" s="2" t="str">
        <f>경동전체1!A48</f>
        <v>5-2이좌훈</v>
      </c>
      <c r="B48" s="13" t="str">
        <f>SUBSTITUTE(SUBSTITUTE(SUBSTITUTE(SUBSTITUTE(SUBSTITUTE(SUBSTITUTE(SUBSTITUTE(SUBSTITUTE(SUBSTITUTE(SUBSTITUTE(SUBSTITUTE(SUBSTITUTE(SUBSTITUTE(경동전체1!K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48" s="30">
        <f>경동전체1!E48</f>
        <v>0</v>
      </c>
      <c r="D48" s="23"/>
      <c r="E48" s="23"/>
      <c r="F48" s="4" t="str">
        <f>경동전체1!J48</f>
        <v>17759</v>
      </c>
      <c r="G48" s="23"/>
      <c r="H48" s="2" t="str">
        <f>경동전체1!H48</f>
        <v>010-5023-9290</v>
      </c>
      <c r="I48" s="2" t="str">
        <f>경동전체1!I48&amp;""</f>
        <v>010-5023-9290</v>
      </c>
      <c r="J48" s="2" t="s">
        <v>36</v>
      </c>
      <c r="K48" s="2" t="str">
        <f>IF(LEFT(경동전체1!G48,1)="","따사룸",경동전체1!G48)</f>
        <v>따사룸</v>
      </c>
      <c r="L48" s="4" t="str">
        <f t="shared" si="0"/>
        <v>1</v>
      </c>
      <c r="M48" s="1" t="str">
        <f>IF(LEFT(경동전체1!D48,1)="2","비닐",IF(LEFT(경동전체1!O48,1)="박","박스","비닐"))</f>
        <v>비닐</v>
      </c>
      <c r="N48" s="25">
        <v>1</v>
      </c>
      <c r="O48" s="25">
        <v>1</v>
      </c>
      <c r="P48" s="25">
        <v>1</v>
      </c>
      <c r="Q48" s="25">
        <v>1</v>
      </c>
      <c r="R48" s="1" t="str">
        <f t="shared" si="1"/>
        <v>50</v>
      </c>
      <c r="S48" s="1">
        <f>경동전체1!B48</f>
        <v>0</v>
      </c>
      <c r="T48" s="1" t="str">
        <f t="shared" si="2"/>
        <v>100</v>
      </c>
      <c r="U48" s="5" t="str">
        <f t="shared" si="3"/>
        <v>0</v>
      </c>
      <c r="V48" s="26">
        <v>0</v>
      </c>
      <c r="W48" s="26">
        <v>0</v>
      </c>
      <c r="X48" s="2" t="str">
        <f>SUBSTITUTE(SUBSTITUTE(SUBSTITUTE(SUBSTITUTE(SUBSTITUTE(SUBSTITUTE(SUBSTITUTE(SUBSTITUTE(SUBSTITUTE(SUBSTITUTE(SUBSTITUTE(SUBSTITUTE(SUBSTITUTE(경동전체1!D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플러스♥25T크림그레이(100)x2</v>
      </c>
    </row>
    <row r="49" spans="1:24" ht="23.25" customHeight="1" x14ac:dyDescent="0.3">
      <c r="A49" s="2" t="str">
        <f>경동전체1!A49</f>
        <v>5-3이좌훈</v>
      </c>
      <c r="B49" s="13" t="str">
        <f>SUBSTITUTE(SUBSTITUTE(SUBSTITUTE(SUBSTITUTE(SUBSTITUTE(SUBSTITUTE(SUBSTITUTE(SUBSTITUTE(SUBSTITUTE(SUBSTITUTE(SUBSTITUTE(SUBSTITUTE(SUBSTITUTE(경동전체1!K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49" s="30">
        <f>경동전체1!E49</f>
        <v>0</v>
      </c>
      <c r="D49" s="23"/>
      <c r="E49" s="23"/>
      <c r="F49" s="4" t="str">
        <f>경동전체1!J49</f>
        <v>17759</v>
      </c>
      <c r="G49" s="23"/>
      <c r="H49" s="2" t="str">
        <f>경동전체1!H49</f>
        <v>010-5023-9290</v>
      </c>
      <c r="I49" s="2" t="str">
        <f>경동전체1!I49&amp;""</f>
        <v>010-5023-9290</v>
      </c>
      <c r="J49" s="2" t="s">
        <v>36</v>
      </c>
      <c r="K49" s="2" t="str">
        <f>IF(LEFT(경동전체1!G49,1)="","따사룸",경동전체1!G49)</f>
        <v>따사룸</v>
      </c>
      <c r="L49" s="4" t="str">
        <f t="shared" si="0"/>
        <v>1</v>
      </c>
      <c r="M49" s="1" t="str">
        <f>IF(LEFT(경동전체1!D49,1)="2","비닐",IF(LEFT(경동전체1!O49,1)="박","박스","비닐"))</f>
        <v>비닐</v>
      </c>
      <c r="N49" s="25">
        <v>1</v>
      </c>
      <c r="O49" s="25">
        <v>1</v>
      </c>
      <c r="P49" s="25">
        <v>1</v>
      </c>
      <c r="Q49" s="25">
        <v>1</v>
      </c>
      <c r="R49" s="1" t="str">
        <f t="shared" si="1"/>
        <v>50</v>
      </c>
      <c r="S49" s="1">
        <f>경동전체1!B49</f>
        <v>12700</v>
      </c>
      <c r="T49" s="1" t="str">
        <f t="shared" si="2"/>
        <v>100</v>
      </c>
      <c r="U49" s="5" t="str">
        <f t="shared" si="3"/>
        <v>0</v>
      </c>
      <c r="V49" s="26">
        <v>0</v>
      </c>
      <c r="W49" s="26">
        <v>0</v>
      </c>
      <c r="X49" s="2" t="str">
        <f>SUBSTITUTE(SUBSTITUTE(SUBSTITUTE(SUBSTITUTE(SUBSTITUTE(SUBSTITUTE(SUBSTITUTE(SUBSTITUTE(SUBSTITUTE(SUBSTITUTE(SUBSTITUTE(SUBSTITUTE(SUBSTITUTE(경동전체1!D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플러스♥25T크림그레이(100)x6</v>
      </c>
    </row>
    <row r="50" spans="1:24" ht="23.25" customHeight="1" x14ac:dyDescent="0.3">
      <c r="A50" s="2" t="str">
        <f>경동전체1!A50</f>
        <v>5-4이좌훈</v>
      </c>
      <c r="B50" s="13" t="str">
        <f>SUBSTITUTE(SUBSTITUTE(SUBSTITUTE(SUBSTITUTE(SUBSTITUTE(SUBSTITUTE(SUBSTITUTE(SUBSTITUTE(SUBSTITUTE(SUBSTITUTE(SUBSTITUTE(SUBSTITUTE(SUBSTITUTE(경동전체1!K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50" s="30">
        <f>경동전체1!E50</f>
        <v>0</v>
      </c>
      <c r="D50" s="23"/>
      <c r="E50" s="23"/>
      <c r="F50" s="4" t="str">
        <f>경동전체1!J50</f>
        <v>17759</v>
      </c>
      <c r="G50" s="23"/>
      <c r="H50" s="2" t="str">
        <f>경동전체1!H50</f>
        <v>010-5023-9290</v>
      </c>
      <c r="I50" s="2" t="str">
        <f>경동전체1!I50&amp;""</f>
        <v>010-5023-9290</v>
      </c>
      <c r="J50" s="2" t="s">
        <v>36</v>
      </c>
      <c r="K50" s="2" t="str">
        <f>IF(LEFT(경동전체1!G50,1)="","따사룸",경동전체1!G50)</f>
        <v>따사룸</v>
      </c>
      <c r="L50" s="4" t="str">
        <f t="shared" si="0"/>
        <v>1</v>
      </c>
      <c r="M50" s="1" t="str">
        <f>IF(LEFT(경동전체1!D50,1)="2","비닐",IF(LEFT(경동전체1!O50,1)="박","박스","비닐"))</f>
        <v>비닐</v>
      </c>
      <c r="N50" s="25">
        <v>1</v>
      </c>
      <c r="O50" s="25">
        <v>1</v>
      </c>
      <c r="P50" s="25">
        <v>1</v>
      </c>
      <c r="Q50" s="25">
        <v>1</v>
      </c>
      <c r="R50" s="1" t="str">
        <f t="shared" si="1"/>
        <v>50</v>
      </c>
      <c r="S50" s="1">
        <f>경동전체1!B50</f>
        <v>12700</v>
      </c>
      <c r="T50" s="1" t="str">
        <f t="shared" si="2"/>
        <v>100</v>
      </c>
      <c r="U50" s="5" t="str">
        <f t="shared" si="3"/>
        <v>0</v>
      </c>
      <c r="V50" s="26">
        <v>0</v>
      </c>
      <c r="W50" s="26">
        <v>0</v>
      </c>
      <c r="X50" s="2" t="str">
        <f>SUBSTITUTE(SUBSTITUTE(SUBSTITUTE(SUBSTITUTE(SUBSTITUTE(SUBSTITUTE(SUBSTITUTE(SUBSTITUTE(SUBSTITUTE(SUBSTITUTE(SUBSTITUTE(SUBSTITUTE(SUBSTITUTE(경동전체1!D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플러스♥25T크림그레이(100)x6</v>
      </c>
    </row>
    <row r="51" spans="1:24" ht="23.25" customHeight="1" x14ac:dyDescent="0.3">
      <c r="A51" s="2" t="str">
        <f>경동전체1!A51</f>
        <v>5-5이좌훈</v>
      </c>
      <c r="B51" s="13" t="str">
        <f>SUBSTITUTE(SUBSTITUTE(SUBSTITUTE(SUBSTITUTE(SUBSTITUTE(SUBSTITUTE(SUBSTITUTE(SUBSTITUTE(SUBSTITUTE(SUBSTITUTE(SUBSTITUTE(SUBSTITUTE(SUBSTITUTE(경동전체1!K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신장로 55 (신장동) 사서함 309-25호 (공군 1887부대)</v>
      </c>
      <c r="C51" s="30">
        <f>경동전체1!E51</f>
        <v>0</v>
      </c>
      <c r="D51" s="23"/>
      <c r="E51" s="23"/>
      <c r="F51" s="4" t="str">
        <f>경동전체1!J51</f>
        <v>17759</v>
      </c>
      <c r="G51" s="23"/>
      <c r="H51" s="2" t="str">
        <f>경동전체1!H51</f>
        <v>010-5023-9290</v>
      </c>
      <c r="I51" s="2" t="str">
        <f>경동전체1!I51&amp;""</f>
        <v>010-5023-9290</v>
      </c>
      <c r="J51" s="2" t="s">
        <v>36</v>
      </c>
      <c r="K51" s="2" t="str">
        <f>IF(LEFT(경동전체1!G51,1)="","따사룸",경동전체1!G51)</f>
        <v>따사룸</v>
      </c>
      <c r="L51" s="4" t="str">
        <f t="shared" si="0"/>
        <v>1</v>
      </c>
      <c r="M51" s="1" t="str">
        <f>IF(LEFT(경동전체1!D51,1)="2","비닐",IF(LEFT(경동전체1!O51,1)="박","박스","비닐"))</f>
        <v>비닐</v>
      </c>
      <c r="N51" s="25">
        <v>1</v>
      </c>
      <c r="O51" s="25">
        <v>1</v>
      </c>
      <c r="P51" s="25">
        <v>1</v>
      </c>
      <c r="Q51" s="25">
        <v>1</v>
      </c>
      <c r="R51" s="1" t="str">
        <f t="shared" si="1"/>
        <v>50</v>
      </c>
      <c r="S51" s="1">
        <f>경동전체1!B51</f>
        <v>12700</v>
      </c>
      <c r="T51" s="1" t="str">
        <f t="shared" si="2"/>
        <v>100</v>
      </c>
      <c r="U51" s="5" t="str">
        <f t="shared" si="3"/>
        <v>0</v>
      </c>
      <c r="V51" s="26">
        <v>0</v>
      </c>
      <c r="W51" s="26">
        <v>0</v>
      </c>
      <c r="X51" s="2" t="str">
        <f>SUBSTITUTE(SUBSTITUTE(SUBSTITUTE(SUBSTITUTE(SUBSTITUTE(SUBSTITUTE(SUBSTITUTE(SUBSTITUTE(SUBSTITUTE(SUBSTITUTE(SUBSTITUTE(SUBSTITUTE(SUBSTITUTE(경동전체1!D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플러스♥25T크림그레이(100)x6</v>
      </c>
    </row>
    <row r="52" spans="1:24" ht="23.25" customHeight="1" x14ac:dyDescent="0.3">
      <c r="A52" s="2" t="str">
        <f>경동전체1!A52</f>
        <v>2-1이동하</v>
      </c>
      <c r="B52" s="13" t="str">
        <f>SUBSTITUTE(SUBSTITUTE(SUBSTITUTE(SUBSTITUTE(SUBSTITUTE(SUBSTITUTE(SUBSTITUTE(SUBSTITUTE(SUBSTITUTE(SUBSTITUTE(SUBSTITUTE(SUBSTITUTE(SUBSTITUTE(경동전체1!K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연수구 센트럴로 194 (송도동, 더샵 센트럴파크2) 202동 2405호</v>
      </c>
      <c r="C52" s="30">
        <f>경동전체1!E52</f>
        <v>0</v>
      </c>
      <c r="D52" s="23"/>
      <c r="E52" s="23"/>
      <c r="F52" s="4" t="str">
        <f>경동전체1!J52</f>
        <v>22003</v>
      </c>
      <c r="G52" s="23"/>
      <c r="H52" s="2" t="str">
        <f>경동전체1!H52</f>
        <v>010-8969-7278</v>
      </c>
      <c r="I52" s="2" t="str">
        <f>경동전체1!I52&amp;""</f>
        <v>010-8969-7278</v>
      </c>
      <c r="J52" s="2" t="s">
        <v>36</v>
      </c>
      <c r="K52" s="2" t="str">
        <f>IF(LEFT(경동전체1!G52,1)="","따사룸",경동전체1!G52)</f>
        <v>따사룸</v>
      </c>
      <c r="L52" s="4" t="str">
        <f t="shared" si="0"/>
        <v>1</v>
      </c>
      <c r="M52" s="1" t="str">
        <f>IF(LEFT(경동전체1!D52,1)="2","비닐",IF(LEFT(경동전체1!O52,1)="박","박스","비닐"))</f>
        <v>박스</v>
      </c>
      <c r="N52" s="25">
        <v>1</v>
      </c>
      <c r="O52" s="25">
        <v>1</v>
      </c>
      <c r="P52" s="25">
        <v>1</v>
      </c>
      <c r="Q52" s="25">
        <v>1</v>
      </c>
      <c r="R52" s="1" t="str">
        <f t="shared" si="1"/>
        <v>50</v>
      </c>
      <c r="S52" s="1">
        <f>경동전체1!B52</f>
        <v>13800</v>
      </c>
      <c r="T52" s="1" t="str">
        <f t="shared" si="2"/>
        <v>100</v>
      </c>
      <c r="U52" s="5" t="str">
        <f t="shared" si="3"/>
        <v>0</v>
      </c>
      <c r="V52" s="26">
        <v>0</v>
      </c>
      <c r="W52" s="26">
        <v>0</v>
      </c>
      <c r="X52" s="2" t="str">
        <f>SUBSTITUTE(SUBSTITUTE(SUBSTITUTE(SUBSTITUTE(SUBSTITUTE(SUBSTITUTE(SUBSTITUTE(SUBSTITUTE(SUBSTITUTE(SUBSTITUTE(SUBSTITUTE(SUBSTITUTE(SUBSTITUTE(경동전체1!D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(120)17T마블5mx1</v>
      </c>
    </row>
    <row r="53" spans="1:24" ht="23.25" customHeight="1" x14ac:dyDescent="0.3">
      <c r="A53" s="2" t="str">
        <f>경동전체1!A53</f>
        <v>2-2이동하</v>
      </c>
      <c r="B53" s="13" t="str">
        <f>SUBSTITUTE(SUBSTITUTE(SUBSTITUTE(SUBSTITUTE(SUBSTITUTE(SUBSTITUTE(SUBSTITUTE(SUBSTITUTE(SUBSTITUTE(SUBSTITUTE(SUBSTITUTE(SUBSTITUTE(SUBSTITUTE(경동전체1!K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연수구 센트럴로 194 (송도동, 더샵 센트럴파크2) 202동 2405호</v>
      </c>
      <c r="C53" s="30">
        <f>경동전체1!E53</f>
        <v>0</v>
      </c>
      <c r="D53" s="23"/>
      <c r="E53" s="23"/>
      <c r="F53" s="4" t="str">
        <f>경동전체1!J53</f>
        <v>22003</v>
      </c>
      <c r="G53" s="23"/>
      <c r="H53" s="2" t="str">
        <f>경동전체1!H53</f>
        <v>010-8969-7278</v>
      </c>
      <c r="I53" s="2" t="str">
        <f>경동전체1!I53&amp;""</f>
        <v>010-8969-7278</v>
      </c>
      <c r="J53" s="2" t="s">
        <v>36</v>
      </c>
      <c r="K53" s="2" t="str">
        <f>IF(LEFT(경동전체1!G53,1)="","따사룸",경동전체1!G53)</f>
        <v>★증정★테이프20mx2</v>
      </c>
      <c r="L53" s="4" t="str">
        <f t="shared" si="0"/>
        <v>1</v>
      </c>
      <c r="M53" s="1" t="str">
        <f>IF(LEFT(경동전체1!D53,1)="2","비닐",IF(LEFT(경동전체1!O53,1)="박","박스","비닐"))</f>
        <v>박스</v>
      </c>
      <c r="N53" s="25">
        <v>1</v>
      </c>
      <c r="O53" s="25">
        <v>1</v>
      </c>
      <c r="P53" s="25">
        <v>1</v>
      </c>
      <c r="Q53" s="25">
        <v>1</v>
      </c>
      <c r="R53" s="1" t="str">
        <f t="shared" si="1"/>
        <v>50</v>
      </c>
      <c r="S53" s="1">
        <f>경동전체1!B53</f>
        <v>13800</v>
      </c>
      <c r="T53" s="1" t="str">
        <f t="shared" si="2"/>
        <v>100</v>
      </c>
      <c r="U53" s="5" t="str">
        <f t="shared" si="3"/>
        <v>0</v>
      </c>
      <c r="V53" s="26">
        <v>0</v>
      </c>
      <c r="W53" s="26">
        <v>0</v>
      </c>
      <c r="X53" s="2" t="str">
        <f>SUBSTITUTE(SUBSTITUTE(SUBSTITUTE(SUBSTITUTE(SUBSTITUTE(SUBSTITUTE(SUBSTITUTE(SUBSTITUTE(SUBSTITUTE(SUBSTITUTE(SUBSTITUTE(SUBSTITUTE(SUBSTITUTE(경동전체1!D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(120)17T마블5mx1</v>
      </c>
    </row>
    <row r="54" spans="1:24" ht="23.25" customHeight="1" x14ac:dyDescent="0.3">
      <c r="A54" s="2" t="str">
        <f>경동전체1!A54</f>
        <v>최형오</v>
      </c>
      <c r="B54" s="13" t="str">
        <f>SUBSTITUTE(SUBSTITUTE(SUBSTITUTE(SUBSTITUTE(SUBSTITUTE(SUBSTITUTE(SUBSTITUTE(SUBSTITUTE(SUBSTITUTE(SUBSTITUTE(SUBSTITUTE(SUBSTITUTE(SUBSTITUTE(경동전체1!K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중산동로 37 (중산동, 중산 디아채아파트) 103동1201호</v>
      </c>
      <c r="C54" s="30">
        <f>경동전체1!E54</f>
        <v>0</v>
      </c>
      <c r="D54" s="23"/>
      <c r="E54" s="23"/>
      <c r="F54" s="4" t="str">
        <f>경동전체1!J54</f>
        <v>44213</v>
      </c>
      <c r="G54" s="23"/>
      <c r="H54" s="2" t="str">
        <f>경동전체1!H54</f>
        <v>010-4878-5732</v>
      </c>
      <c r="I54" s="2" t="str">
        <f>경동전체1!I54&amp;""</f>
        <v>010-4878-5732</v>
      </c>
      <c r="J54" s="2" t="s">
        <v>36</v>
      </c>
      <c r="K54" s="2" t="str">
        <f>IF(LEFT(경동전체1!G54,1)="","따사룸",경동전체1!G54)</f>
        <v>따사룸</v>
      </c>
      <c r="L54" s="4" t="str">
        <f t="shared" si="0"/>
        <v>1</v>
      </c>
      <c r="M54" s="1" t="str">
        <f>IF(LEFT(경동전체1!D54,1)="2","비닐",IF(LEFT(경동전체1!O54,1)="박","박스","비닐"))</f>
        <v>비닐</v>
      </c>
      <c r="N54" s="25">
        <v>1</v>
      </c>
      <c r="O54" s="25">
        <v>1</v>
      </c>
      <c r="P54" s="25">
        <v>1</v>
      </c>
      <c r="Q54" s="25">
        <v>1</v>
      </c>
      <c r="R54" s="1" t="str">
        <f t="shared" si="1"/>
        <v>50</v>
      </c>
      <c r="S54" s="1">
        <f>경동전체1!B54</f>
        <v>6900</v>
      </c>
      <c r="T54" s="1" t="str">
        <f t="shared" si="2"/>
        <v>100</v>
      </c>
      <c r="U54" s="5" t="str">
        <f t="shared" si="3"/>
        <v>0</v>
      </c>
      <c r="V54" s="26">
        <v>0</v>
      </c>
      <c r="W54" s="26">
        <v>0</v>
      </c>
      <c r="X54" s="2" t="str">
        <f>SUBSTITUTE(SUBSTITUTE(SUBSTITUTE(SUBSTITUTE(SUBSTITUTE(SUBSTITUTE(SUBSTITUTE(SUBSTITUTE(SUBSTITUTE(SUBSTITUTE(SUBSTITUTE(SUBSTITUTE(SUBSTITUTE(경동전체1!D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25T아이(100)x2</v>
      </c>
    </row>
    <row r="55" spans="1:24" ht="23.25" customHeight="1" x14ac:dyDescent="0.3">
      <c r="A55" s="2" t="str">
        <f>경동전체1!A55</f>
        <v>최형오</v>
      </c>
      <c r="B55" s="13" t="str">
        <f>SUBSTITUTE(SUBSTITUTE(SUBSTITUTE(SUBSTITUTE(SUBSTITUTE(SUBSTITUTE(SUBSTITUTE(SUBSTITUTE(SUBSTITUTE(SUBSTITUTE(SUBSTITUTE(SUBSTITUTE(SUBSTITUTE(경동전체1!K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중산동로 37 (중산동, 중산 디아채아파트) 103동1201호</v>
      </c>
      <c r="C55" s="30">
        <f>경동전체1!E55</f>
        <v>0</v>
      </c>
      <c r="D55" s="23"/>
      <c r="E55" s="23"/>
      <c r="F55" s="4" t="str">
        <f>경동전체1!J55</f>
        <v>44213</v>
      </c>
      <c r="G55" s="23"/>
      <c r="H55" s="2" t="str">
        <f>경동전체1!H55</f>
        <v>010-4878-5732</v>
      </c>
      <c r="I55" s="2" t="str">
        <f>경동전체1!I55&amp;""</f>
        <v>010-4878-5732</v>
      </c>
      <c r="J55" s="2" t="s">
        <v>36</v>
      </c>
      <c r="K55" s="2" t="str">
        <f>IF(LEFT(경동전체1!G55,1)="","따사룸",경동전체1!G55)</f>
        <v>따사룸</v>
      </c>
      <c r="L55" s="4" t="str">
        <f t="shared" si="0"/>
        <v>1</v>
      </c>
      <c r="M55" s="1" t="str">
        <f>IF(LEFT(경동전체1!D55,1)="2","비닐",IF(LEFT(경동전체1!O55,1)="박","박스","비닐"))</f>
        <v>비닐</v>
      </c>
      <c r="N55" s="25">
        <v>1</v>
      </c>
      <c r="O55" s="25">
        <v>1</v>
      </c>
      <c r="P55" s="25">
        <v>1</v>
      </c>
      <c r="Q55" s="25">
        <v>1</v>
      </c>
      <c r="R55" s="1" t="str">
        <f t="shared" si="1"/>
        <v>50</v>
      </c>
      <c r="S55" s="1">
        <f>경동전체1!B55</f>
        <v>0</v>
      </c>
      <c r="T55" s="1" t="str">
        <f t="shared" si="2"/>
        <v>100</v>
      </c>
      <c r="U55" s="5" t="str">
        <f t="shared" si="3"/>
        <v>0</v>
      </c>
      <c r="V55" s="26">
        <v>0</v>
      </c>
      <c r="W55" s="26">
        <v>0</v>
      </c>
      <c r="X55" s="2" t="str">
        <f>SUBSTITUTE(SUBSTITUTE(SUBSTITUTE(SUBSTITUTE(SUBSTITUTE(SUBSTITUTE(SUBSTITUTE(SUBSTITUTE(SUBSTITUTE(SUBSTITUTE(SUBSTITUTE(SUBSTITUTE(SUBSTITUTE(경동전체1!D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56" spans="1:24" ht="23.25" customHeight="1" x14ac:dyDescent="0.3">
      <c r="A56" s="2" t="str">
        <f>경동전체1!A56</f>
        <v>권하람★</v>
      </c>
      <c r="B56" s="13" t="str">
        <f>SUBSTITUTE(SUBSTITUTE(SUBSTITUTE(SUBSTITUTE(SUBSTITUTE(SUBSTITUTE(SUBSTITUTE(SUBSTITUTE(SUBSTITUTE(SUBSTITUTE(SUBSTITUTE(SUBSTITUTE(SUBSTITUTE(경동전체1!K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달서구 상인서로 85 (상인동, 상인동방현대아파트) 103동 1106호</v>
      </c>
      <c r="C56" s="30" t="str">
        <f>경동전체1!E56</f>
        <v>★파손주의★</v>
      </c>
      <c r="D56" s="23"/>
      <c r="E56" s="23"/>
      <c r="F56" s="4" t="str">
        <f>경동전체1!J56</f>
        <v>42810</v>
      </c>
      <c r="G56" s="23"/>
      <c r="H56" s="2" t="str">
        <f>경동전체1!H56</f>
        <v>010-3901-6006</v>
      </c>
      <c r="I56" s="2" t="str">
        <f>경동전체1!I56&amp;""</f>
        <v>010-3901-6006</v>
      </c>
      <c r="J56" s="2" t="s">
        <v>36</v>
      </c>
      <c r="K56" s="2" t="str">
        <f>IF(LEFT(경동전체1!G56,1)="","따사룸",경동전체1!G56)</f>
        <v>★증정★테이프20mx1</v>
      </c>
      <c r="L56" s="4" t="str">
        <f t="shared" si="0"/>
        <v>1</v>
      </c>
      <c r="M56" s="1" t="str">
        <f>IF(LEFT(경동전체1!D56,1)="2","비닐",IF(LEFT(경동전체1!O56,1)="박","박스","비닐"))</f>
        <v>비닐</v>
      </c>
      <c r="N56" s="25">
        <v>1</v>
      </c>
      <c r="O56" s="25">
        <v>1</v>
      </c>
      <c r="P56" s="25">
        <v>1</v>
      </c>
      <c r="Q56" s="25">
        <v>1</v>
      </c>
      <c r="R56" s="1" t="str">
        <f t="shared" si="1"/>
        <v>50</v>
      </c>
      <c r="S56" s="1">
        <f>경동전체1!B56</f>
        <v>18700</v>
      </c>
      <c r="T56" s="1" t="str">
        <f t="shared" si="2"/>
        <v>100</v>
      </c>
      <c r="U56" s="5" t="str">
        <f t="shared" si="3"/>
        <v>0</v>
      </c>
      <c r="V56" s="26">
        <v>0</v>
      </c>
      <c r="W56" s="26">
        <v>0</v>
      </c>
      <c r="X56" s="2" t="str">
        <f>SUBSTITUTE(SUBSTITUTE(SUBSTITUTE(SUBSTITUTE(SUBSTITUTE(SUBSTITUTE(SUBSTITUTE(SUBSTITUTE(SUBSTITUTE(SUBSTITUTE(SUBSTITUTE(SUBSTITUTE(SUBSTITUTE(경동전체1!D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(140)17T퓨어아이7mx1</v>
      </c>
    </row>
    <row r="57" spans="1:24" ht="23.25" customHeight="1" x14ac:dyDescent="0.3">
      <c r="A57" s="2" t="str">
        <f>경동전체1!A57</f>
        <v>3-1박주영</v>
      </c>
      <c r="B57" s="13" t="str">
        <f>SUBSTITUTE(SUBSTITUTE(SUBSTITUTE(SUBSTITUTE(SUBSTITUTE(SUBSTITUTE(SUBSTITUTE(SUBSTITUTE(SUBSTITUTE(SUBSTITUTE(SUBSTITUTE(SUBSTITUTE(SUBSTITUTE(경동전체1!K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소원로 47 (행신동, 무원마을6단지아파트) 611동1204호</v>
      </c>
      <c r="C57" s="30">
        <f>경동전체1!E57</f>
        <v>0</v>
      </c>
      <c r="D57" s="23"/>
      <c r="E57" s="23"/>
      <c r="F57" s="4" t="str">
        <f>경동전체1!J57</f>
        <v>10522</v>
      </c>
      <c r="G57" s="23"/>
      <c r="H57" s="2" t="str">
        <f>경동전체1!H57</f>
        <v>010-2794-5247</v>
      </c>
      <c r="I57" s="2" t="str">
        <f>경동전체1!I57&amp;""</f>
        <v>010-2794-5247</v>
      </c>
      <c r="J57" s="2" t="s">
        <v>36</v>
      </c>
      <c r="K57" s="2" t="str">
        <f>IF(LEFT(경동전체1!G57,1)="","따사룸",경동전체1!G57)</f>
        <v>따사룸</v>
      </c>
      <c r="L57" s="4" t="str">
        <f t="shared" si="0"/>
        <v>1</v>
      </c>
      <c r="M57" s="1" t="str">
        <f>IF(LEFT(경동전체1!D57,1)="2","비닐",IF(LEFT(경동전체1!O57,1)="박","박스","비닐"))</f>
        <v>비닐</v>
      </c>
      <c r="N57" s="25">
        <v>1</v>
      </c>
      <c r="O57" s="25">
        <v>1</v>
      </c>
      <c r="P57" s="25">
        <v>1</v>
      </c>
      <c r="Q57" s="25">
        <v>1</v>
      </c>
      <c r="R57" s="1" t="str">
        <f t="shared" si="1"/>
        <v>50</v>
      </c>
      <c r="S57" s="1">
        <f>경동전체1!B57</f>
        <v>0</v>
      </c>
      <c r="T57" s="1" t="str">
        <f t="shared" si="2"/>
        <v>100</v>
      </c>
      <c r="U57" s="5" t="str">
        <f t="shared" si="3"/>
        <v>0</v>
      </c>
      <c r="V57" s="26">
        <v>0</v>
      </c>
      <c r="W57" s="26">
        <v>0</v>
      </c>
      <c r="X57" s="2" t="str">
        <f>SUBSTITUTE(SUBSTITUTE(SUBSTITUTE(SUBSTITUTE(SUBSTITUTE(SUBSTITUTE(SUBSTITUTE(SUBSTITUTE(SUBSTITUTE(SUBSTITUTE(SUBSTITUTE(SUBSTITUTE(SUBSTITUTE(경동전체1!D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58" spans="1:24" ht="23.25" customHeight="1" x14ac:dyDescent="0.3">
      <c r="A58" s="2" t="str">
        <f>경동전체1!A58</f>
        <v>3-1박주영</v>
      </c>
      <c r="B58" s="13" t="str">
        <f>SUBSTITUTE(SUBSTITUTE(SUBSTITUTE(SUBSTITUTE(SUBSTITUTE(SUBSTITUTE(SUBSTITUTE(SUBSTITUTE(SUBSTITUTE(SUBSTITUTE(SUBSTITUTE(SUBSTITUTE(SUBSTITUTE(경동전체1!K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소원로 47 (행신동, 무원마을6단지아파트) 611동1204호</v>
      </c>
      <c r="C58" s="30">
        <f>경동전체1!E58</f>
        <v>0</v>
      </c>
      <c r="D58" s="23"/>
      <c r="E58" s="23"/>
      <c r="F58" s="4" t="str">
        <f>경동전체1!J58</f>
        <v>10522</v>
      </c>
      <c r="G58" s="23"/>
      <c r="H58" s="2" t="str">
        <f>경동전체1!H58</f>
        <v>010-2794-5247</v>
      </c>
      <c r="I58" s="2" t="str">
        <f>경동전체1!I58&amp;""</f>
        <v>010-2794-5247</v>
      </c>
      <c r="J58" s="2" t="s">
        <v>36</v>
      </c>
      <c r="K58" s="2" t="str">
        <f>IF(LEFT(경동전체1!G58,1)="","따사룸",경동전체1!G58)</f>
        <v>★증정★테이프20mx2</v>
      </c>
      <c r="L58" s="4" t="str">
        <f t="shared" si="0"/>
        <v>1</v>
      </c>
      <c r="M58" s="1" t="str">
        <f>IF(LEFT(경동전체1!D58,1)="2","비닐",IF(LEFT(경동전체1!O58,1)="박","박스","비닐"))</f>
        <v>박스</v>
      </c>
      <c r="N58" s="25">
        <v>1</v>
      </c>
      <c r="O58" s="25">
        <v>1</v>
      </c>
      <c r="P58" s="25">
        <v>1</v>
      </c>
      <c r="Q58" s="25">
        <v>1</v>
      </c>
      <c r="R58" s="1" t="str">
        <f t="shared" si="1"/>
        <v>50</v>
      </c>
      <c r="S58" s="1">
        <f>경동전체1!B58</f>
        <v>13800</v>
      </c>
      <c r="T58" s="1" t="str">
        <f t="shared" si="2"/>
        <v>100</v>
      </c>
      <c r="U58" s="5" t="str">
        <f t="shared" si="3"/>
        <v>0</v>
      </c>
      <c r="V58" s="26">
        <v>0</v>
      </c>
      <c r="W58" s="26">
        <v>0</v>
      </c>
      <c r="X58" s="2" t="str">
        <f>SUBSTITUTE(SUBSTITUTE(SUBSTITUTE(SUBSTITUTE(SUBSTITUTE(SUBSTITUTE(SUBSTITUTE(SUBSTITUTE(SUBSTITUTE(SUBSTITUTE(SUBSTITUTE(SUBSTITUTE(SUBSTITUTE(경동전체1!D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(120)17T퓨어아이4.5mx1</v>
      </c>
    </row>
    <row r="59" spans="1:24" ht="23.25" customHeight="1" x14ac:dyDescent="0.3">
      <c r="A59" s="2" t="str">
        <f>경동전체1!A59</f>
        <v>3-2박주영</v>
      </c>
      <c r="B59" s="13" t="str">
        <f>SUBSTITUTE(SUBSTITUTE(SUBSTITUTE(SUBSTITUTE(SUBSTITUTE(SUBSTITUTE(SUBSTITUTE(SUBSTITUTE(SUBSTITUTE(SUBSTITUTE(SUBSTITUTE(SUBSTITUTE(SUBSTITUTE(경동전체1!K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소원로 47 (행신동, 무원마을6단지아파트) 611동1204호</v>
      </c>
      <c r="C59" s="30">
        <f>경동전체1!E59</f>
        <v>0</v>
      </c>
      <c r="D59" s="23"/>
      <c r="E59" s="23"/>
      <c r="F59" s="4" t="str">
        <f>경동전체1!J59</f>
        <v>10522</v>
      </c>
      <c r="G59" s="23"/>
      <c r="H59" s="2" t="str">
        <f>경동전체1!H59</f>
        <v>010-2794-5247</v>
      </c>
      <c r="I59" s="2" t="str">
        <f>경동전체1!I59&amp;""</f>
        <v>010-2794-5247</v>
      </c>
      <c r="J59" s="2" t="s">
        <v>36</v>
      </c>
      <c r="K59" s="2" t="str">
        <f>IF(LEFT(경동전체1!G59,1)="","따사룸",경동전체1!G59)</f>
        <v>따사룸</v>
      </c>
      <c r="L59" s="4" t="str">
        <f t="shared" si="0"/>
        <v>1</v>
      </c>
      <c r="M59" s="1" t="str">
        <f>IF(LEFT(경동전체1!D59,1)="2","비닐",IF(LEFT(경동전체1!O59,1)="박","박스","비닐"))</f>
        <v>박스</v>
      </c>
      <c r="N59" s="25">
        <v>1</v>
      </c>
      <c r="O59" s="25">
        <v>1</v>
      </c>
      <c r="P59" s="25">
        <v>1</v>
      </c>
      <c r="Q59" s="25">
        <v>1</v>
      </c>
      <c r="R59" s="1" t="str">
        <f t="shared" si="1"/>
        <v>50</v>
      </c>
      <c r="S59" s="1">
        <f>경동전체1!B59</f>
        <v>13800</v>
      </c>
      <c r="T59" s="1" t="str">
        <f t="shared" si="2"/>
        <v>100</v>
      </c>
      <c r="U59" s="5" t="str">
        <f t="shared" si="3"/>
        <v>0</v>
      </c>
      <c r="V59" s="26">
        <v>0</v>
      </c>
      <c r="W59" s="26">
        <v>0</v>
      </c>
      <c r="X59" s="2" t="str">
        <f>SUBSTITUTE(SUBSTITUTE(SUBSTITUTE(SUBSTITUTE(SUBSTITUTE(SUBSTITUTE(SUBSTITUTE(SUBSTITUTE(SUBSTITUTE(SUBSTITUTE(SUBSTITUTE(SUBSTITUTE(SUBSTITUTE(경동전체1!D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(120)17T퓨어아이4.5mx1</v>
      </c>
    </row>
    <row r="60" spans="1:24" ht="23.25" customHeight="1" x14ac:dyDescent="0.3">
      <c r="A60" s="2" t="str">
        <f>경동전체1!A60</f>
        <v>3-3박주영</v>
      </c>
      <c r="B60" s="13" t="str">
        <f>SUBSTITUTE(SUBSTITUTE(SUBSTITUTE(SUBSTITUTE(SUBSTITUTE(SUBSTITUTE(SUBSTITUTE(SUBSTITUTE(SUBSTITUTE(SUBSTITUTE(SUBSTITUTE(SUBSTITUTE(SUBSTITUTE(경동전체1!K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소원로 47 (행신동, 무원마을6단지아파트) 611동1204호</v>
      </c>
      <c r="C60" s="30">
        <f>경동전체1!E60</f>
        <v>0</v>
      </c>
      <c r="D60" s="23"/>
      <c r="E60" s="23"/>
      <c r="F60" s="4" t="str">
        <f>경동전체1!J60</f>
        <v>10522</v>
      </c>
      <c r="G60" s="23"/>
      <c r="H60" s="2" t="str">
        <f>경동전체1!H60</f>
        <v>010-2794-5247</v>
      </c>
      <c r="I60" s="2" t="str">
        <f>경동전체1!I60&amp;""</f>
        <v>010-2794-5247</v>
      </c>
      <c r="J60" s="2" t="s">
        <v>36</v>
      </c>
      <c r="K60" s="2" t="str">
        <f>IF(LEFT(경동전체1!G60,1)="","따사룸",경동전체1!G60)</f>
        <v>따사룸</v>
      </c>
      <c r="L60" s="4" t="str">
        <f t="shared" si="0"/>
        <v>1</v>
      </c>
      <c r="M60" s="1" t="str">
        <f>IF(LEFT(경동전체1!D60,1)="2","비닐",IF(LEFT(경동전체1!O60,1)="박","박스","비닐"))</f>
        <v>박스</v>
      </c>
      <c r="N60" s="25">
        <v>1</v>
      </c>
      <c r="O60" s="25">
        <v>1</v>
      </c>
      <c r="P60" s="25">
        <v>1</v>
      </c>
      <c r="Q60" s="25">
        <v>1</v>
      </c>
      <c r="R60" s="1" t="str">
        <f t="shared" si="1"/>
        <v>50</v>
      </c>
      <c r="S60" s="1">
        <f>경동전체1!B60</f>
        <v>13800</v>
      </c>
      <c r="T60" s="1" t="str">
        <f t="shared" si="2"/>
        <v>100</v>
      </c>
      <c r="U60" s="5" t="str">
        <f t="shared" si="3"/>
        <v>0</v>
      </c>
      <c r="V60" s="26">
        <v>0</v>
      </c>
      <c r="W60" s="26">
        <v>0</v>
      </c>
      <c r="X60" s="2" t="str">
        <f>SUBSTITUTE(SUBSTITUTE(SUBSTITUTE(SUBSTITUTE(SUBSTITUTE(SUBSTITUTE(SUBSTITUTE(SUBSTITUTE(SUBSTITUTE(SUBSTITUTE(SUBSTITUTE(SUBSTITUTE(SUBSTITUTE(경동전체1!D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(120)17T퓨어아이4.5mx1</v>
      </c>
    </row>
    <row r="61" spans="1:24" ht="23.25" customHeight="1" x14ac:dyDescent="0.3">
      <c r="A61" s="2" t="str">
        <f>경동전체1!A61</f>
        <v>김유진</v>
      </c>
      <c r="B61" s="13" t="str">
        <f>SUBSTITUTE(SUBSTITUTE(SUBSTITUTE(SUBSTITUTE(SUBSTITUTE(SUBSTITUTE(SUBSTITUTE(SUBSTITUTE(SUBSTITUTE(SUBSTITUTE(SUBSTITUTE(SUBSTITUTE(SUBSTITUTE(경동전체1!K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남구 대명로14길 60 (대명동) 102동 302호(대명역센트럴엘리프)</v>
      </c>
      <c r="C61" s="30">
        <f>경동전체1!E61</f>
        <v>0</v>
      </c>
      <c r="D61" s="23"/>
      <c r="E61" s="23"/>
      <c r="F61" s="4" t="str">
        <f>경동전체1!J61</f>
        <v>42483</v>
      </c>
      <c r="G61" s="23"/>
      <c r="H61" s="2" t="str">
        <f>경동전체1!H61</f>
        <v>010-9374-1270</v>
      </c>
      <c r="I61" s="2" t="str">
        <f>경동전체1!I61&amp;""</f>
        <v>010-9374-1270</v>
      </c>
      <c r="J61" s="2" t="s">
        <v>36</v>
      </c>
      <c r="K61" s="2" t="str">
        <f>IF(LEFT(경동전체1!G61,1)="","따사룸",경동전체1!G61)</f>
        <v>따사룸</v>
      </c>
      <c r="L61" s="4" t="str">
        <f t="shared" si="0"/>
        <v>1</v>
      </c>
      <c r="M61" s="1" t="str">
        <f>IF(LEFT(경동전체1!D61,1)="2","비닐",IF(LEFT(경동전체1!O61,1)="박","박스","비닐"))</f>
        <v>비닐</v>
      </c>
      <c r="N61" s="25">
        <v>1</v>
      </c>
      <c r="O61" s="25">
        <v>1</v>
      </c>
      <c r="P61" s="25">
        <v>1</v>
      </c>
      <c r="Q61" s="25">
        <v>1</v>
      </c>
      <c r="R61" s="1" t="str">
        <f t="shared" si="1"/>
        <v>50</v>
      </c>
      <c r="S61" s="1">
        <f>경동전체1!B61</f>
        <v>10700</v>
      </c>
      <c r="T61" s="1" t="str">
        <f t="shared" si="2"/>
        <v>100</v>
      </c>
      <c r="U61" s="5" t="str">
        <f t="shared" si="3"/>
        <v>0</v>
      </c>
      <c r="V61" s="26">
        <v>0</v>
      </c>
      <c r="W61" s="26">
        <v>0</v>
      </c>
      <c r="X61" s="2" t="str">
        <f>SUBSTITUTE(SUBSTITUTE(SUBSTITUTE(SUBSTITUTE(SUBSTITUTE(SUBSTITUTE(SUBSTITUTE(SUBSTITUTE(SUBSTITUTE(SUBSTITUTE(SUBSTITUTE(SUBSTITUTE(SUBSTITUTE(경동전체1!D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62" spans="1:24" ht="23.25" customHeight="1" x14ac:dyDescent="0.3">
      <c r="A62" s="2" t="str">
        <f>경동전체1!A62</f>
        <v>5-1문혜인</v>
      </c>
      <c r="B62" s="13" t="str">
        <f>SUBSTITUTE(SUBSTITUTE(SUBSTITUTE(SUBSTITUTE(SUBSTITUTE(SUBSTITUTE(SUBSTITUTE(SUBSTITUTE(SUBSTITUTE(SUBSTITUTE(SUBSTITUTE(SUBSTITUTE(SUBSTITUTE(경동전체1!K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2" s="30">
        <f>경동전체1!E62</f>
        <v>0</v>
      </c>
      <c r="D62" s="23"/>
      <c r="E62" s="23"/>
      <c r="F62" s="4" t="str">
        <f>경동전체1!J62</f>
        <v>03768</v>
      </c>
      <c r="G62" s="23"/>
      <c r="H62" s="2" t="str">
        <f>경동전체1!H62</f>
        <v>010-9809-9970</v>
      </c>
      <c r="I62" s="2" t="str">
        <f>경동전체1!I62&amp;""</f>
        <v>0502-2812-5266</v>
      </c>
      <c r="J62" s="2" t="s">
        <v>36</v>
      </c>
      <c r="K62" s="2" t="str">
        <f>IF(LEFT(경동전체1!G62,1)="","따사룸",경동전체1!G62)</f>
        <v>따사룸</v>
      </c>
      <c r="L62" s="4" t="str">
        <f t="shared" si="0"/>
        <v>1</v>
      </c>
      <c r="M62" s="1" t="str">
        <f>IF(LEFT(경동전체1!D62,1)="2","비닐",IF(LEFT(경동전체1!O62,1)="박","박스","비닐"))</f>
        <v>비닐</v>
      </c>
      <c r="N62" s="25">
        <v>1</v>
      </c>
      <c r="O62" s="25">
        <v>1</v>
      </c>
      <c r="P62" s="25">
        <v>1</v>
      </c>
      <c r="Q62" s="25">
        <v>1</v>
      </c>
      <c r="R62" s="1" t="str">
        <f t="shared" si="1"/>
        <v>50</v>
      </c>
      <c r="S62" s="1">
        <f>경동전체1!B62</f>
        <v>14000</v>
      </c>
      <c r="T62" s="1" t="str">
        <f t="shared" si="2"/>
        <v>100</v>
      </c>
      <c r="U62" s="5" t="str">
        <f t="shared" si="3"/>
        <v>0</v>
      </c>
      <c r="V62" s="26">
        <v>0</v>
      </c>
      <c r="W62" s="26">
        <v>0</v>
      </c>
      <c r="X62" s="2" t="str">
        <f>SUBSTITUTE(SUBSTITUTE(SUBSTITUTE(SUBSTITUTE(SUBSTITUTE(SUBSTITUTE(SUBSTITUTE(SUBSTITUTE(SUBSTITUTE(SUBSTITUTE(SUBSTITUTE(SUBSTITUTE(SUBSTITUTE(경동전체1!D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63" spans="1:24" ht="23.25" customHeight="1" x14ac:dyDescent="0.3">
      <c r="A63" s="2" t="str">
        <f>경동전체1!A63</f>
        <v>5-2문혜인</v>
      </c>
      <c r="B63" s="13" t="str">
        <f>SUBSTITUTE(SUBSTITUTE(SUBSTITUTE(SUBSTITUTE(SUBSTITUTE(SUBSTITUTE(SUBSTITUTE(SUBSTITUTE(SUBSTITUTE(SUBSTITUTE(SUBSTITUTE(SUBSTITUTE(SUBSTITUTE(경동전체1!K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3" s="30">
        <f>경동전체1!E63</f>
        <v>0</v>
      </c>
      <c r="D63" s="23"/>
      <c r="E63" s="23"/>
      <c r="F63" s="4" t="str">
        <f>경동전체1!J63</f>
        <v>03768</v>
      </c>
      <c r="G63" s="23"/>
      <c r="H63" s="2" t="str">
        <f>경동전체1!H63</f>
        <v>010-9809-9970</v>
      </c>
      <c r="I63" s="2" t="str">
        <f>경동전체1!I63&amp;""</f>
        <v>0502-2812-5266</v>
      </c>
      <c r="J63" s="2" t="s">
        <v>36</v>
      </c>
      <c r="K63" s="2" t="str">
        <f>IF(LEFT(경동전체1!G63,1)="","따사룸",경동전체1!G63)</f>
        <v>따사룸</v>
      </c>
      <c r="L63" s="4" t="str">
        <f t="shared" si="0"/>
        <v>1</v>
      </c>
      <c r="M63" s="1" t="str">
        <f>IF(LEFT(경동전체1!D63,1)="2","비닐",IF(LEFT(경동전체1!O63,1)="박","박스","비닐"))</f>
        <v>비닐</v>
      </c>
      <c r="N63" s="25">
        <v>1</v>
      </c>
      <c r="O63" s="25">
        <v>1</v>
      </c>
      <c r="P63" s="25">
        <v>1</v>
      </c>
      <c r="Q63" s="25">
        <v>1</v>
      </c>
      <c r="R63" s="1" t="str">
        <f t="shared" si="1"/>
        <v>50</v>
      </c>
      <c r="S63" s="1">
        <f>경동전체1!B63</f>
        <v>14000</v>
      </c>
      <c r="T63" s="1" t="str">
        <f t="shared" si="2"/>
        <v>100</v>
      </c>
      <c r="U63" s="5" t="str">
        <f t="shared" si="3"/>
        <v>0</v>
      </c>
      <c r="V63" s="26">
        <v>0</v>
      </c>
      <c r="W63" s="26">
        <v>0</v>
      </c>
      <c r="X63" s="2" t="str">
        <f>SUBSTITUTE(SUBSTITUTE(SUBSTITUTE(SUBSTITUTE(SUBSTITUTE(SUBSTITUTE(SUBSTITUTE(SUBSTITUTE(SUBSTITUTE(SUBSTITUTE(SUBSTITUTE(SUBSTITUTE(SUBSTITUTE(경동전체1!D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64" spans="1:24" ht="23.25" customHeight="1" x14ac:dyDescent="0.3">
      <c r="A64" s="2" t="str">
        <f>경동전체1!A64</f>
        <v>5-3문혜인</v>
      </c>
      <c r="B64" s="13" t="str">
        <f>SUBSTITUTE(SUBSTITUTE(SUBSTITUTE(SUBSTITUTE(SUBSTITUTE(SUBSTITUTE(SUBSTITUTE(SUBSTITUTE(SUBSTITUTE(SUBSTITUTE(SUBSTITUTE(SUBSTITUTE(SUBSTITUTE(경동전체1!K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4" s="30">
        <f>경동전체1!E64</f>
        <v>0</v>
      </c>
      <c r="D64" s="23"/>
      <c r="E64" s="23"/>
      <c r="F64" s="4" t="str">
        <f>경동전체1!J64</f>
        <v>03768</v>
      </c>
      <c r="G64" s="23"/>
      <c r="H64" s="2" t="str">
        <f>경동전체1!H64</f>
        <v>010-9809-9970</v>
      </c>
      <c r="I64" s="2" t="str">
        <f>경동전체1!I64&amp;""</f>
        <v>0502-2812-5266</v>
      </c>
      <c r="J64" s="2" t="s">
        <v>36</v>
      </c>
      <c r="K64" s="2" t="str">
        <f>IF(LEFT(경동전체1!G64,1)="","따사룸",경동전체1!G64)</f>
        <v>따사룸</v>
      </c>
      <c r="L64" s="4" t="str">
        <f t="shared" si="0"/>
        <v>1</v>
      </c>
      <c r="M64" s="1" t="str">
        <f>IF(LEFT(경동전체1!D64,1)="2","비닐",IF(LEFT(경동전체1!O64,1)="박","박스","비닐"))</f>
        <v>비닐</v>
      </c>
      <c r="N64" s="25">
        <v>1</v>
      </c>
      <c r="O64" s="25">
        <v>1</v>
      </c>
      <c r="P64" s="25">
        <v>1</v>
      </c>
      <c r="Q64" s="25">
        <v>1</v>
      </c>
      <c r="R64" s="1" t="str">
        <f t="shared" si="1"/>
        <v>50</v>
      </c>
      <c r="S64" s="1">
        <f>경동전체1!B64</f>
        <v>14000</v>
      </c>
      <c r="T64" s="1" t="str">
        <f t="shared" si="2"/>
        <v>100</v>
      </c>
      <c r="U64" s="5" t="str">
        <f t="shared" si="3"/>
        <v>0</v>
      </c>
      <c r="V64" s="26">
        <v>0</v>
      </c>
      <c r="W64" s="26">
        <v>0</v>
      </c>
      <c r="X64" s="2" t="str">
        <f>SUBSTITUTE(SUBSTITUTE(SUBSTITUTE(SUBSTITUTE(SUBSTITUTE(SUBSTITUTE(SUBSTITUTE(SUBSTITUTE(SUBSTITUTE(SUBSTITUTE(SUBSTITUTE(SUBSTITUTE(SUBSTITUTE(경동전체1!D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65" spans="1:24" ht="23.25" customHeight="1" x14ac:dyDescent="0.3">
      <c r="A65" s="2" t="str">
        <f>경동전체1!A65</f>
        <v>5-4문혜인</v>
      </c>
      <c r="B65" s="13" t="str">
        <f>SUBSTITUTE(SUBSTITUTE(SUBSTITUTE(SUBSTITUTE(SUBSTITUTE(SUBSTITUTE(SUBSTITUTE(SUBSTITUTE(SUBSTITUTE(SUBSTITUTE(SUBSTITUTE(SUBSTITUTE(SUBSTITUTE(경동전체1!K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5" s="30">
        <f>경동전체1!E65</f>
        <v>0</v>
      </c>
      <c r="D65" s="23"/>
      <c r="E65" s="23"/>
      <c r="F65" s="4" t="str">
        <f>경동전체1!J65</f>
        <v>03768</v>
      </c>
      <c r="G65" s="23"/>
      <c r="H65" s="2" t="str">
        <f>경동전체1!H65</f>
        <v>010-9809-9970</v>
      </c>
      <c r="I65" s="2" t="str">
        <f>경동전체1!I65&amp;""</f>
        <v>0502-2812-5266</v>
      </c>
      <c r="J65" s="2" t="s">
        <v>36</v>
      </c>
      <c r="K65" s="2" t="str">
        <f>IF(LEFT(경동전체1!G65,1)="","따사룸",경동전체1!G65)</f>
        <v>따사룸</v>
      </c>
      <c r="L65" s="4" t="str">
        <f t="shared" si="0"/>
        <v>1</v>
      </c>
      <c r="M65" s="1" t="str">
        <f>IF(LEFT(경동전체1!D65,1)="2","비닐",IF(LEFT(경동전체1!O65,1)="박","박스","비닐"))</f>
        <v>비닐</v>
      </c>
      <c r="N65" s="25">
        <v>1</v>
      </c>
      <c r="O65" s="25">
        <v>1</v>
      </c>
      <c r="P65" s="25">
        <v>1</v>
      </c>
      <c r="Q65" s="25">
        <v>1</v>
      </c>
      <c r="R65" s="1" t="str">
        <f t="shared" si="1"/>
        <v>50</v>
      </c>
      <c r="S65" s="1">
        <f>경동전체1!B65</f>
        <v>14000</v>
      </c>
      <c r="T65" s="1" t="str">
        <f t="shared" si="2"/>
        <v>100</v>
      </c>
      <c r="U65" s="5" t="str">
        <f t="shared" si="3"/>
        <v>0</v>
      </c>
      <c r="V65" s="26">
        <v>0</v>
      </c>
      <c r="W65" s="26">
        <v>0</v>
      </c>
      <c r="X65" s="2" t="str">
        <f>SUBSTITUTE(SUBSTITUTE(SUBSTITUTE(SUBSTITUTE(SUBSTITUTE(SUBSTITUTE(SUBSTITUTE(SUBSTITUTE(SUBSTITUTE(SUBSTITUTE(SUBSTITUTE(SUBSTITUTE(SUBSTITUTE(경동전체1!D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66" spans="1:24" ht="23.25" customHeight="1" x14ac:dyDescent="0.3">
      <c r="A66" s="2" t="str">
        <f>경동전체1!A66</f>
        <v>5-5문혜인</v>
      </c>
      <c r="B66" s="13" t="str">
        <f>SUBSTITUTE(SUBSTITUTE(SUBSTITUTE(SUBSTITUTE(SUBSTITUTE(SUBSTITUTE(SUBSTITUTE(SUBSTITUTE(SUBSTITUTE(SUBSTITUTE(SUBSTITUTE(SUBSTITUTE(SUBSTITUTE(경동전체1!K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6" s="30">
        <f>경동전체1!E66</f>
        <v>0</v>
      </c>
      <c r="D66" s="23"/>
      <c r="E66" s="23"/>
      <c r="F66" s="4" t="str">
        <f>경동전체1!J66</f>
        <v>03768</v>
      </c>
      <c r="G66" s="23"/>
      <c r="H66" s="2" t="str">
        <f>경동전체1!H66</f>
        <v>010-9809-9970</v>
      </c>
      <c r="I66" s="2" t="str">
        <f>경동전체1!I66&amp;""</f>
        <v>0502-2812-5266</v>
      </c>
      <c r="J66" s="2" t="s">
        <v>36</v>
      </c>
      <c r="K66" s="2" t="str">
        <f>IF(LEFT(경동전체1!G66,1)="","따사룸",경동전체1!G66)</f>
        <v>따사룸</v>
      </c>
      <c r="L66" s="4" t="str">
        <f t="shared" si="0"/>
        <v>1</v>
      </c>
      <c r="M66" s="1" t="str">
        <f>IF(LEFT(경동전체1!D66,1)="2","비닐",IF(LEFT(경동전체1!O66,1)="박","박스","비닐"))</f>
        <v>비닐</v>
      </c>
      <c r="N66" s="25">
        <v>1</v>
      </c>
      <c r="O66" s="25">
        <v>1</v>
      </c>
      <c r="P66" s="25">
        <v>1</v>
      </c>
      <c r="Q66" s="25">
        <v>1</v>
      </c>
      <c r="R66" s="1" t="str">
        <f t="shared" si="1"/>
        <v>50</v>
      </c>
      <c r="S66" s="1">
        <f>경동전체1!B66</f>
        <v>10700</v>
      </c>
      <c r="T66" s="1" t="str">
        <f t="shared" si="2"/>
        <v>100</v>
      </c>
      <c r="U66" s="5" t="str">
        <f t="shared" si="3"/>
        <v>0</v>
      </c>
      <c r="V66" s="26">
        <v>0</v>
      </c>
      <c r="W66" s="26">
        <v>0</v>
      </c>
      <c r="X66" s="2" t="str">
        <f>SUBSTITUTE(SUBSTITUTE(SUBSTITUTE(SUBSTITUTE(SUBSTITUTE(SUBSTITUTE(SUBSTITUTE(SUBSTITUTE(SUBSTITUTE(SUBSTITUTE(SUBSTITUTE(SUBSTITUTE(SUBSTITUTE(경동전체1!D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67" spans="1:24" ht="23.25" customHeight="1" x14ac:dyDescent="0.3">
      <c r="A67" s="2" t="str">
        <f>경동전체1!A67</f>
        <v>5-5문혜인</v>
      </c>
      <c r="B67" s="13" t="str">
        <f>SUBSTITUTE(SUBSTITUTE(SUBSTITUTE(SUBSTITUTE(SUBSTITUTE(SUBSTITUTE(SUBSTITUTE(SUBSTITUTE(SUBSTITUTE(SUBSTITUTE(SUBSTITUTE(SUBSTITUTE(SUBSTITUTE(경동전체1!K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서대문구 북아현로1가길 20 (북아현동, e편한세상신촌 1단지) 106-201</v>
      </c>
      <c r="C67" s="30">
        <f>경동전체1!E67</f>
        <v>0</v>
      </c>
      <c r="D67" s="23"/>
      <c r="E67" s="23"/>
      <c r="F67" s="4" t="str">
        <f>경동전체1!J67</f>
        <v>03768</v>
      </c>
      <c r="G67" s="23"/>
      <c r="H67" s="2" t="str">
        <f>경동전체1!H67</f>
        <v>010-9809-9970</v>
      </c>
      <c r="I67" s="2" t="str">
        <f>경동전체1!I67&amp;""</f>
        <v>0502-2812-5266</v>
      </c>
      <c r="J67" s="2" t="s">
        <v>36</v>
      </c>
      <c r="K67" s="2" t="str">
        <f>IF(LEFT(경동전체1!G67,1)="","따사룸",경동전체1!G67)</f>
        <v>따사룸</v>
      </c>
      <c r="L67" s="4" t="str">
        <f t="shared" ref="L67:L130" si="4">"1"</f>
        <v>1</v>
      </c>
      <c r="M67" s="1" t="str">
        <f>IF(LEFT(경동전체1!D67,1)="2","비닐",IF(LEFT(경동전체1!O67,1)="박","박스","비닐"))</f>
        <v>비닐</v>
      </c>
      <c r="N67" s="25">
        <v>1</v>
      </c>
      <c r="O67" s="25">
        <v>1</v>
      </c>
      <c r="P67" s="25">
        <v>1</v>
      </c>
      <c r="Q67" s="25">
        <v>1</v>
      </c>
      <c r="R67" s="1" t="str">
        <f t="shared" ref="R67:R130" si="5">"50"</f>
        <v>50</v>
      </c>
      <c r="S67" s="1">
        <f>경동전체1!B67</f>
        <v>0</v>
      </c>
      <c r="T67" s="1" t="str">
        <f t="shared" ref="T67:T130" si="6">"100"</f>
        <v>100</v>
      </c>
      <c r="U67" s="5" t="str">
        <f t="shared" ref="U67:U130" si="7">"0"</f>
        <v>0</v>
      </c>
      <c r="V67" s="26">
        <v>0</v>
      </c>
      <c r="W67" s="26">
        <v>0</v>
      </c>
      <c r="X67" s="2" t="str">
        <f>SUBSTITUTE(SUBSTITUTE(SUBSTITUTE(SUBSTITUTE(SUBSTITUTE(SUBSTITUTE(SUBSTITUTE(SUBSTITUTE(SUBSTITUTE(SUBSTITUTE(SUBSTITUTE(SUBSTITUTE(SUBSTITUTE(경동전체1!D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68" spans="1:24" ht="23.25" customHeight="1" x14ac:dyDescent="0.3">
      <c r="A68" s="2" t="str">
        <f>경동전체1!A68</f>
        <v>3-1이민수</v>
      </c>
      <c r="B68" s="13" t="str">
        <f>SUBSTITUTE(SUBSTITUTE(SUBSTITUTE(SUBSTITUTE(SUBSTITUTE(SUBSTITUTE(SUBSTITUTE(SUBSTITUTE(SUBSTITUTE(SUBSTITUTE(SUBSTITUTE(SUBSTITUTE(SUBSTITUTE(경동전체1!K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달서구 상화북로 159 (상인동, 산호아파트) 7동202호</v>
      </c>
      <c r="C68" s="30">
        <f>경동전체1!E68</f>
        <v>0</v>
      </c>
      <c r="D68" s="23"/>
      <c r="E68" s="23"/>
      <c r="F68" s="4" t="str">
        <f>경동전체1!J68</f>
        <v>42793</v>
      </c>
      <c r="G68" s="23"/>
      <c r="H68" s="2" t="str">
        <f>경동전체1!H68</f>
        <v>010-9924-5053</v>
      </c>
      <c r="I68" s="2" t="str">
        <f>경동전체1!I68&amp;""</f>
        <v>010-9924-5053</v>
      </c>
      <c r="J68" s="2" t="s">
        <v>36</v>
      </c>
      <c r="K68" s="2" t="str">
        <f>IF(LEFT(경동전체1!G68,1)="","따사룸",경동전체1!G68)</f>
        <v>★증정★테이프20mx2</v>
      </c>
      <c r="L68" s="4" t="str">
        <f t="shared" si="4"/>
        <v>1</v>
      </c>
      <c r="M68" s="1" t="str">
        <f>IF(LEFT(경동전체1!D68,1)="2","비닐",IF(LEFT(경동전체1!O68,1)="박","박스","비닐"))</f>
        <v>박스</v>
      </c>
      <c r="N68" s="25">
        <v>1</v>
      </c>
      <c r="O68" s="25">
        <v>1</v>
      </c>
      <c r="P68" s="25">
        <v>1</v>
      </c>
      <c r="Q68" s="25">
        <v>1</v>
      </c>
      <c r="R68" s="1" t="str">
        <f t="shared" si="5"/>
        <v>50</v>
      </c>
      <c r="S68" s="1">
        <f>경동전체1!B68</f>
        <v>12100</v>
      </c>
      <c r="T68" s="1" t="str">
        <f t="shared" si="6"/>
        <v>100</v>
      </c>
      <c r="U68" s="5" t="str">
        <f t="shared" si="7"/>
        <v>0</v>
      </c>
      <c r="V68" s="26">
        <v>0</v>
      </c>
      <c r="W68" s="26">
        <v>0</v>
      </c>
      <c r="X68" s="2" t="str">
        <f>SUBSTITUTE(SUBSTITUTE(SUBSTITUTE(SUBSTITUTE(SUBSTITUTE(SUBSTITUTE(SUBSTITUTE(SUBSTITUTE(SUBSTITUTE(SUBSTITUTE(SUBSTITUTE(SUBSTITUTE(SUBSTITUTE(경동전체1!D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(110)17T마블4.5mx1</v>
      </c>
    </row>
    <row r="69" spans="1:24" ht="23.25" customHeight="1" x14ac:dyDescent="0.3">
      <c r="A69" s="2" t="str">
        <f>경동전체1!A69</f>
        <v>3-2이민수</v>
      </c>
      <c r="B69" s="13" t="str">
        <f>SUBSTITUTE(SUBSTITUTE(SUBSTITUTE(SUBSTITUTE(SUBSTITUTE(SUBSTITUTE(SUBSTITUTE(SUBSTITUTE(SUBSTITUTE(SUBSTITUTE(SUBSTITUTE(SUBSTITUTE(SUBSTITUTE(경동전체1!K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달서구 상화북로 159 (상인동, 산호아파트) 7동202호</v>
      </c>
      <c r="C69" s="30">
        <f>경동전체1!E69</f>
        <v>0</v>
      </c>
      <c r="D69" s="23"/>
      <c r="E69" s="23"/>
      <c r="F69" s="4" t="str">
        <f>경동전체1!J69</f>
        <v>42793</v>
      </c>
      <c r="G69" s="23"/>
      <c r="H69" s="2" t="str">
        <f>경동전체1!H69</f>
        <v>010-9924-5053</v>
      </c>
      <c r="I69" s="2" t="str">
        <f>경동전체1!I69&amp;""</f>
        <v>010-9924-5053</v>
      </c>
      <c r="J69" s="2" t="s">
        <v>36</v>
      </c>
      <c r="K69" s="2" t="str">
        <f>IF(LEFT(경동전체1!G69,1)="","따사룸",경동전체1!G69)</f>
        <v>따사룸</v>
      </c>
      <c r="L69" s="4" t="str">
        <f t="shared" si="4"/>
        <v>1</v>
      </c>
      <c r="M69" s="1" t="str">
        <f>IF(LEFT(경동전체1!D69,1)="2","비닐",IF(LEFT(경동전체1!O69,1)="박","박스","비닐"))</f>
        <v>박스</v>
      </c>
      <c r="N69" s="25">
        <v>1</v>
      </c>
      <c r="O69" s="25">
        <v>1</v>
      </c>
      <c r="P69" s="25">
        <v>1</v>
      </c>
      <c r="Q69" s="25">
        <v>1</v>
      </c>
      <c r="R69" s="1" t="str">
        <f t="shared" si="5"/>
        <v>50</v>
      </c>
      <c r="S69" s="1">
        <f>경동전체1!B69</f>
        <v>12100</v>
      </c>
      <c r="T69" s="1" t="str">
        <f t="shared" si="6"/>
        <v>100</v>
      </c>
      <c r="U69" s="5" t="str">
        <f t="shared" si="7"/>
        <v>0</v>
      </c>
      <c r="V69" s="26">
        <v>0</v>
      </c>
      <c r="W69" s="26">
        <v>0</v>
      </c>
      <c r="X69" s="2" t="str">
        <f>SUBSTITUTE(SUBSTITUTE(SUBSTITUTE(SUBSTITUTE(SUBSTITUTE(SUBSTITUTE(SUBSTITUTE(SUBSTITUTE(SUBSTITUTE(SUBSTITUTE(SUBSTITUTE(SUBSTITUTE(SUBSTITUTE(경동전체1!D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(110)17T마블4.5mx1</v>
      </c>
    </row>
    <row r="70" spans="1:24" ht="23.25" customHeight="1" x14ac:dyDescent="0.3">
      <c r="A70" s="2" t="str">
        <f>경동전체1!A70</f>
        <v>기선경</v>
      </c>
      <c r="B70" s="13" t="str">
        <f>SUBSTITUTE(SUBSTITUTE(SUBSTITUTE(SUBSTITUTE(SUBSTITUTE(SUBSTITUTE(SUBSTITUTE(SUBSTITUTE(SUBSTITUTE(SUBSTITUTE(SUBSTITUTE(SUBSTITUTE(SUBSTITUTE(경동전체1!K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은평구 응암로20길 22 (응암동) 3층 나호</v>
      </c>
      <c r="C70" s="30" t="str">
        <f>경동전체1!E70</f>
        <v>문 앞에 놓아주세요</v>
      </c>
      <c r="D70" s="23"/>
      <c r="E70" s="23"/>
      <c r="F70" s="4" t="str">
        <f>경동전체1!J70</f>
        <v>03468</v>
      </c>
      <c r="G70" s="23"/>
      <c r="H70" s="2" t="str">
        <f>경동전체1!H70</f>
        <v>010-5013-8717</v>
      </c>
      <c r="I70" s="2" t="str">
        <f>경동전체1!I70&amp;""</f>
        <v>010-5013-8717</v>
      </c>
      <c r="J70" s="2" t="s">
        <v>36</v>
      </c>
      <c r="K70" s="2" t="str">
        <f>IF(LEFT(경동전체1!G70,1)="","따사룸",경동전체1!G70)</f>
        <v>따사룸</v>
      </c>
      <c r="L70" s="4" t="str">
        <f t="shared" si="4"/>
        <v>1</v>
      </c>
      <c r="M70" s="1" t="str">
        <f>IF(LEFT(경동전체1!D70,1)="2","비닐",IF(LEFT(경동전체1!O70,1)="박","박스","비닐"))</f>
        <v>비닐</v>
      </c>
      <c r="N70" s="25">
        <v>1</v>
      </c>
      <c r="O70" s="25">
        <v>1</v>
      </c>
      <c r="P70" s="25">
        <v>1</v>
      </c>
      <c r="Q70" s="25">
        <v>1</v>
      </c>
      <c r="R70" s="1" t="str">
        <f t="shared" si="5"/>
        <v>50</v>
      </c>
      <c r="S70" s="1">
        <f>경동전체1!B70</f>
        <v>0</v>
      </c>
      <c r="T70" s="1" t="str">
        <f t="shared" si="6"/>
        <v>100</v>
      </c>
      <c r="U70" s="5" t="str">
        <f t="shared" si="7"/>
        <v>0</v>
      </c>
      <c r="V70" s="26">
        <v>0</v>
      </c>
      <c r="W70" s="26">
        <v>0</v>
      </c>
      <c r="X70" s="2" t="str">
        <f>SUBSTITUTE(SUBSTITUTE(SUBSTITUTE(SUBSTITUTE(SUBSTITUTE(SUBSTITUTE(SUBSTITUTE(SUBSTITUTE(SUBSTITUTE(SUBSTITUTE(SUBSTITUTE(SUBSTITUTE(SUBSTITUTE(경동전체1!D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71" spans="1:24" ht="23.25" customHeight="1" x14ac:dyDescent="0.3">
      <c r="A71" s="2" t="str">
        <f>경동전체1!A71</f>
        <v>기선경</v>
      </c>
      <c r="B71" s="13" t="str">
        <f>SUBSTITUTE(SUBSTITUTE(SUBSTITUTE(SUBSTITUTE(SUBSTITUTE(SUBSTITUTE(SUBSTITUTE(SUBSTITUTE(SUBSTITUTE(SUBSTITUTE(SUBSTITUTE(SUBSTITUTE(SUBSTITUTE(경동전체1!K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은평구 응암로20길 22 (응암동) 3층 나호</v>
      </c>
      <c r="C71" s="30" t="str">
        <f>경동전체1!E71</f>
        <v>문 앞에 놓아주세요</v>
      </c>
      <c r="D71" s="23"/>
      <c r="E71" s="23"/>
      <c r="F71" s="4" t="str">
        <f>경동전체1!J71</f>
        <v>03468</v>
      </c>
      <c r="G71" s="23"/>
      <c r="H71" s="2" t="str">
        <f>경동전체1!H71</f>
        <v>010-5013-8717</v>
      </c>
      <c r="I71" s="2" t="str">
        <f>경동전체1!I71&amp;""</f>
        <v>010-5013-8717</v>
      </c>
      <c r="J71" s="2" t="s">
        <v>36</v>
      </c>
      <c r="K71" s="2" t="str">
        <f>IF(LEFT(경동전체1!G71,1)="","따사룸",경동전체1!G71)</f>
        <v>★증정★테이프20mx1</v>
      </c>
      <c r="L71" s="4" t="str">
        <f t="shared" si="4"/>
        <v>1</v>
      </c>
      <c r="M71" s="1" t="str">
        <f>IF(LEFT(경동전체1!D71,1)="2","비닐",IF(LEFT(경동전체1!O71,1)="박","박스","비닐"))</f>
        <v>박스</v>
      </c>
      <c r="N71" s="25">
        <v>1</v>
      </c>
      <c r="O71" s="25">
        <v>1</v>
      </c>
      <c r="P71" s="25">
        <v>1</v>
      </c>
      <c r="Q71" s="25">
        <v>1</v>
      </c>
      <c r="R71" s="1" t="str">
        <f t="shared" si="5"/>
        <v>50</v>
      </c>
      <c r="S71" s="1">
        <f>경동전체1!B71</f>
        <v>15400</v>
      </c>
      <c r="T71" s="1" t="str">
        <f t="shared" si="6"/>
        <v>100</v>
      </c>
      <c r="U71" s="5" t="str">
        <f t="shared" si="7"/>
        <v>0</v>
      </c>
      <c r="V71" s="26">
        <v>0</v>
      </c>
      <c r="W71" s="26">
        <v>0</v>
      </c>
      <c r="X71" s="2" t="str">
        <f>SUBSTITUTE(SUBSTITUTE(SUBSTITUTE(SUBSTITUTE(SUBSTITUTE(SUBSTITUTE(SUBSTITUTE(SUBSTITUTE(SUBSTITUTE(SUBSTITUTE(SUBSTITUTE(SUBSTITUTE(SUBSTITUTE(경동전체1!D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(140)9T테리어4mx1</v>
      </c>
    </row>
    <row r="72" spans="1:24" ht="23.25" customHeight="1" x14ac:dyDescent="0.3">
      <c r="A72" s="2" t="str">
        <f>경동전체1!A72</f>
        <v>기선경</v>
      </c>
      <c r="B72" s="13" t="str">
        <f>SUBSTITUTE(SUBSTITUTE(SUBSTITUTE(SUBSTITUTE(SUBSTITUTE(SUBSTITUTE(SUBSTITUTE(SUBSTITUTE(SUBSTITUTE(SUBSTITUTE(SUBSTITUTE(SUBSTITUTE(SUBSTITUTE(경동전체1!K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은평구 응암로20길 22 (응암동) 3층 나호</v>
      </c>
      <c r="C72" s="30" t="str">
        <f>경동전체1!E72</f>
        <v>문 앞에 놓아주세요</v>
      </c>
      <c r="D72" s="23"/>
      <c r="E72" s="23"/>
      <c r="F72" s="4" t="str">
        <f>경동전체1!J72</f>
        <v>03468</v>
      </c>
      <c r="G72" s="23"/>
      <c r="H72" s="2" t="str">
        <f>경동전체1!H72</f>
        <v>010-5013-8717</v>
      </c>
      <c r="I72" s="2" t="str">
        <f>경동전체1!I72&amp;""</f>
        <v>010-5013-8717</v>
      </c>
      <c r="J72" s="2" t="s">
        <v>36</v>
      </c>
      <c r="K72" s="2" t="str">
        <f>IF(LEFT(경동전체1!G72,1)="","따사룸",경동전체1!G72)</f>
        <v>따사룸</v>
      </c>
      <c r="L72" s="4" t="str">
        <f t="shared" si="4"/>
        <v>1</v>
      </c>
      <c r="M72" s="1" t="str">
        <f>IF(LEFT(경동전체1!D72,1)="2","비닐",IF(LEFT(경동전체1!O72,1)="박","박스","비닐"))</f>
        <v>비닐</v>
      </c>
      <c r="N72" s="25">
        <v>1</v>
      </c>
      <c r="O72" s="25">
        <v>1</v>
      </c>
      <c r="P72" s="25">
        <v>1</v>
      </c>
      <c r="Q72" s="25">
        <v>1</v>
      </c>
      <c r="R72" s="1" t="str">
        <f t="shared" si="5"/>
        <v>50</v>
      </c>
      <c r="S72" s="1">
        <f>경동전체1!B72</f>
        <v>0</v>
      </c>
      <c r="T72" s="1" t="str">
        <f t="shared" si="6"/>
        <v>100</v>
      </c>
      <c r="U72" s="5" t="str">
        <f t="shared" si="7"/>
        <v>0</v>
      </c>
      <c r="V72" s="26">
        <v>0</v>
      </c>
      <c r="W72" s="26">
        <v>0</v>
      </c>
      <c r="X72" s="2" t="str">
        <f>SUBSTITUTE(SUBSTITUTE(SUBSTITUTE(SUBSTITUTE(SUBSTITUTE(SUBSTITUTE(SUBSTITUTE(SUBSTITUTE(SUBSTITUTE(SUBSTITUTE(SUBSTITUTE(SUBSTITUTE(SUBSTITUTE(경동전체1!D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(110)9T테리어4mx1</v>
      </c>
    </row>
    <row r="73" spans="1:24" ht="23.25" customHeight="1" x14ac:dyDescent="0.3">
      <c r="A73" s="2" t="str">
        <f>경동전체1!A73</f>
        <v>박동건</v>
      </c>
      <c r="B73" s="13" t="str">
        <f>SUBSTITUTE(SUBSTITUTE(SUBSTITUTE(SUBSTITUTE(SUBSTITUTE(SUBSTITUTE(SUBSTITUTE(SUBSTITUTE(SUBSTITUTE(SUBSTITUTE(SUBSTITUTE(SUBSTITUTE(SUBSTITUTE(경동전체1!K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미추홀구 승학길104번길 30 (주안동, 인천주안한신휴플러스) 108동 1305호</v>
      </c>
      <c r="C73" s="30" t="str">
        <f>경동전체1!E73</f>
        <v>현관문 앞에 놓아 주세여. 감사합니다.</v>
      </c>
      <c r="D73" s="23"/>
      <c r="E73" s="23"/>
      <c r="F73" s="4" t="str">
        <f>경동전체1!J73</f>
        <v>22231</v>
      </c>
      <c r="G73" s="23"/>
      <c r="H73" s="2" t="str">
        <f>경동전체1!H73</f>
        <v>010-2631-8314</v>
      </c>
      <c r="I73" s="2" t="str">
        <f>경동전체1!I73&amp;""</f>
        <v>010-2631-8314</v>
      </c>
      <c r="J73" s="2" t="s">
        <v>36</v>
      </c>
      <c r="K73" s="2" t="str">
        <f>IF(LEFT(경동전체1!G73,1)="","따사룸",경동전체1!G73)</f>
        <v>★증정★테이프20mx1</v>
      </c>
      <c r="L73" s="4" t="str">
        <f t="shared" si="4"/>
        <v>1</v>
      </c>
      <c r="M73" s="1" t="str">
        <f>IF(LEFT(경동전체1!D73,1)="2","비닐",IF(LEFT(경동전체1!O73,1)="박","박스","비닐"))</f>
        <v>박스</v>
      </c>
      <c r="N73" s="25">
        <v>1</v>
      </c>
      <c r="O73" s="25">
        <v>1</v>
      </c>
      <c r="P73" s="25">
        <v>1</v>
      </c>
      <c r="Q73" s="25">
        <v>1</v>
      </c>
      <c r="R73" s="1" t="str">
        <f t="shared" si="5"/>
        <v>50</v>
      </c>
      <c r="S73" s="1">
        <f>경동전체1!B73</f>
        <v>12100</v>
      </c>
      <c r="T73" s="1" t="str">
        <f t="shared" si="6"/>
        <v>100</v>
      </c>
      <c r="U73" s="5" t="str">
        <f t="shared" si="7"/>
        <v>0</v>
      </c>
      <c r="V73" s="26">
        <v>0</v>
      </c>
      <c r="W73" s="26">
        <v>0</v>
      </c>
      <c r="X73" s="2" t="str">
        <f>SUBSTITUTE(SUBSTITUTE(SUBSTITUTE(SUBSTITUTE(SUBSTITUTE(SUBSTITUTE(SUBSTITUTE(SUBSTITUTE(SUBSTITUTE(SUBSTITUTE(SUBSTITUTE(SUBSTITUTE(SUBSTITUTE(경동전체1!D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(110)22T마블3mx1</v>
      </c>
    </row>
    <row r="74" spans="1:24" ht="23.25" customHeight="1" x14ac:dyDescent="0.3">
      <c r="A74" s="2" t="str">
        <f>경동전체1!A74</f>
        <v>류홍렬</v>
      </c>
      <c r="B74" s="13" t="str">
        <f>SUBSTITUTE(SUBSTITUTE(SUBSTITUTE(SUBSTITUTE(SUBSTITUTE(SUBSTITUTE(SUBSTITUTE(SUBSTITUTE(SUBSTITUTE(SUBSTITUTE(SUBSTITUTE(SUBSTITUTE(SUBSTITUTE(경동전체1!K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당진시 수청1로 51 (수청동, 호반써밋 시그니처 2차) 201동 302호</v>
      </c>
      <c r="C74" s="30" t="str">
        <f>경동전체1!E74</f>
        <v>★당일배송★</v>
      </c>
      <c r="D74" s="23"/>
      <c r="E74" s="23"/>
      <c r="F74" s="4" t="str">
        <f>경동전체1!J74</f>
        <v>31817</v>
      </c>
      <c r="G74" s="23"/>
      <c r="H74" s="2" t="str">
        <f>경동전체1!H74</f>
        <v>010-7411-1873</v>
      </c>
      <c r="I74" s="2" t="str">
        <f>경동전체1!I74&amp;""</f>
        <v>010-7411-1873</v>
      </c>
      <c r="J74" s="2" t="s">
        <v>36</v>
      </c>
      <c r="K74" s="2" t="str">
        <f>IF(LEFT(경동전체1!G74,1)="","따사룸",경동전체1!G74)</f>
        <v>따사룸</v>
      </c>
      <c r="L74" s="4" t="str">
        <f t="shared" si="4"/>
        <v>1</v>
      </c>
      <c r="M74" s="1" t="str">
        <f>IF(LEFT(경동전체1!D74,1)="2","비닐",IF(LEFT(경동전체1!O74,1)="박","박스","비닐"))</f>
        <v>비닐</v>
      </c>
      <c r="N74" s="25">
        <v>1</v>
      </c>
      <c r="O74" s="25">
        <v>1</v>
      </c>
      <c r="P74" s="25">
        <v>1</v>
      </c>
      <c r="Q74" s="25">
        <v>1</v>
      </c>
      <c r="R74" s="1" t="str">
        <f t="shared" si="5"/>
        <v>50</v>
      </c>
      <c r="S74" s="1">
        <f>경동전체1!B74</f>
        <v>12700</v>
      </c>
      <c r="T74" s="1" t="str">
        <f t="shared" si="6"/>
        <v>100</v>
      </c>
      <c r="U74" s="5" t="str">
        <f t="shared" si="7"/>
        <v>0</v>
      </c>
      <c r="V74" s="26">
        <v>0</v>
      </c>
      <c r="W74" s="26">
        <v>0</v>
      </c>
      <c r="X74" s="2" t="str">
        <f>SUBSTITUTE(SUBSTITUTE(SUBSTITUTE(SUBSTITUTE(SUBSTITUTE(SUBSTITUTE(SUBSTITUTE(SUBSTITUTE(SUBSTITUTE(SUBSTITUTE(SUBSTITUTE(SUBSTITUTE(SUBSTITUTE(경동전체1!D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플러스♥25T크림그레이(50)x2</v>
      </c>
    </row>
    <row r="75" spans="1:24" ht="23.25" customHeight="1" x14ac:dyDescent="0.3">
      <c r="A75" s="2" t="str">
        <f>경동전체1!A75</f>
        <v>류홍렬</v>
      </c>
      <c r="B75" s="13" t="str">
        <f>SUBSTITUTE(SUBSTITUTE(SUBSTITUTE(SUBSTITUTE(SUBSTITUTE(SUBSTITUTE(SUBSTITUTE(SUBSTITUTE(SUBSTITUTE(SUBSTITUTE(SUBSTITUTE(SUBSTITUTE(SUBSTITUTE(경동전체1!K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당진시 수청1로 51 (수청동, 호반써밋 시그니처 2차) 201동 302호</v>
      </c>
      <c r="C75" s="30" t="str">
        <f>경동전체1!E75</f>
        <v>★당일배송★</v>
      </c>
      <c r="D75" s="23"/>
      <c r="E75" s="23"/>
      <c r="F75" s="4" t="str">
        <f>경동전체1!J75</f>
        <v>31817</v>
      </c>
      <c r="G75" s="23"/>
      <c r="H75" s="2" t="str">
        <f>경동전체1!H75</f>
        <v>010-7411-1873</v>
      </c>
      <c r="I75" s="2" t="str">
        <f>경동전체1!I75&amp;""</f>
        <v>010-7411-1873</v>
      </c>
      <c r="J75" s="2" t="s">
        <v>36</v>
      </c>
      <c r="K75" s="2" t="str">
        <f>IF(LEFT(경동전체1!G75,1)="","따사룸",경동전체1!G75)</f>
        <v>따사룸</v>
      </c>
      <c r="L75" s="4" t="str">
        <f t="shared" si="4"/>
        <v>1</v>
      </c>
      <c r="M75" s="1" t="str">
        <f>IF(LEFT(경동전체1!D75,1)="2","비닐",IF(LEFT(경동전체1!O75,1)="박","박스","비닐"))</f>
        <v>비닐</v>
      </c>
      <c r="N75" s="25">
        <v>1</v>
      </c>
      <c r="O75" s="25">
        <v>1</v>
      </c>
      <c r="P75" s="25">
        <v>1</v>
      </c>
      <c r="Q75" s="25">
        <v>1</v>
      </c>
      <c r="R75" s="1" t="str">
        <f t="shared" si="5"/>
        <v>50</v>
      </c>
      <c r="S75" s="1">
        <f>경동전체1!B75</f>
        <v>0</v>
      </c>
      <c r="T75" s="1" t="str">
        <f t="shared" si="6"/>
        <v>100</v>
      </c>
      <c r="U75" s="5" t="str">
        <f t="shared" si="7"/>
        <v>0</v>
      </c>
      <c r="V75" s="26">
        <v>0</v>
      </c>
      <c r="W75" s="26">
        <v>0</v>
      </c>
      <c r="X75" s="2" t="str">
        <f>SUBSTITUTE(SUBSTITUTE(SUBSTITUTE(SUBSTITUTE(SUBSTITUTE(SUBSTITUTE(SUBSTITUTE(SUBSTITUTE(SUBSTITUTE(SUBSTITUTE(SUBSTITUTE(SUBSTITUTE(SUBSTITUTE(경동전체1!D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플러스♥25T크림그레이(100)x4</v>
      </c>
    </row>
    <row r="76" spans="1:24" ht="23.25" customHeight="1" x14ac:dyDescent="0.3">
      <c r="A76" s="2">
        <f>경동전체1!A76</f>
        <v>0</v>
      </c>
      <c r="B76" s="13" t="str">
        <f>SUBSTITUTE(SUBSTITUTE(SUBSTITUTE(SUBSTITUTE(SUBSTITUTE(SUBSTITUTE(SUBSTITUTE(SUBSTITUTE(SUBSTITUTE(SUBSTITUTE(SUBSTITUTE(SUBSTITUTE(SUBSTITUTE(경동전체1!K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76" s="30">
        <f>경동전체1!E76</f>
        <v>0</v>
      </c>
      <c r="D76" s="23"/>
      <c r="E76" s="23"/>
      <c r="F76" s="4">
        <f>경동전체1!J76</f>
        <v>0</v>
      </c>
      <c r="G76" s="23"/>
      <c r="H76" s="2">
        <f>경동전체1!H76</f>
        <v>0</v>
      </c>
      <c r="I76" s="2" t="str">
        <f>경동전체1!I76&amp;""</f>
        <v/>
      </c>
      <c r="J76" s="2" t="s">
        <v>36</v>
      </c>
      <c r="K76" s="2" t="str">
        <f>IF(LEFT(경동전체1!G76,1)="","따사룸",경동전체1!G76)</f>
        <v>따사룸</v>
      </c>
      <c r="L76" s="4" t="str">
        <f t="shared" si="4"/>
        <v>1</v>
      </c>
      <c r="M76" s="1" t="str">
        <f>IF(LEFT(경동전체1!D76,1)="2","비닐",IF(LEFT(경동전체1!O76,1)="박","박스","비닐"))</f>
        <v>비닐</v>
      </c>
      <c r="N76" s="25">
        <v>1</v>
      </c>
      <c r="O76" s="25">
        <v>1</v>
      </c>
      <c r="P76" s="25">
        <v>1</v>
      </c>
      <c r="Q76" s="25">
        <v>1</v>
      </c>
      <c r="R76" s="1" t="str">
        <f t="shared" si="5"/>
        <v>50</v>
      </c>
      <c r="S76" s="1">
        <f>경동전체1!B76</f>
        <v>0</v>
      </c>
      <c r="T76" s="1" t="str">
        <f t="shared" si="6"/>
        <v>100</v>
      </c>
      <c r="U76" s="5" t="str">
        <f t="shared" si="7"/>
        <v>0</v>
      </c>
      <c r="V76" s="26">
        <v>0</v>
      </c>
      <c r="W76" s="26">
        <v>0</v>
      </c>
      <c r="X76" s="2" t="str">
        <f>SUBSTITUTE(SUBSTITUTE(SUBSTITUTE(SUBSTITUTE(SUBSTITUTE(SUBSTITUTE(SUBSTITUTE(SUBSTITUTE(SUBSTITUTE(SUBSTITUTE(SUBSTITUTE(SUBSTITUTE(SUBSTITUTE(경동전체1!D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77" spans="1:24" ht="23.25" customHeight="1" x14ac:dyDescent="0.3">
      <c r="A77" s="2">
        <f>경동전체1!A77</f>
        <v>0</v>
      </c>
      <c r="B77" s="13" t="str">
        <f>SUBSTITUTE(SUBSTITUTE(SUBSTITUTE(SUBSTITUTE(SUBSTITUTE(SUBSTITUTE(SUBSTITUTE(SUBSTITUTE(SUBSTITUTE(SUBSTITUTE(SUBSTITUTE(SUBSTITUTE(SUBSTITUTE(경동전체1!K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77" s="30">
        <f>경동전체1!E77</f>
        <v>0</v>
      </c>
      <c r="D77" s="23"/>
      <c r="E77" s="23"/>
      <c r="F77" s="4">
        <f>경동전체1!J77</f>
        <v>0</v>
      </c>
      <c r="G77" s="23"/>
      <c r="H77" s="2">
        <f>경동전체1!H77</f>
        <v>0</v>
      </c>
      <c r="I77" s="2" t="str">
        <f>경동전체1!I77&amp;""</f>
        <v/>
      </c>
      <c r="J77" s="2" t="s">
        <v>36</v>
      </c>
      <c r="K77" s="2" t="str">
        <f>IF(LEFT(경동전체1!G77,1)="","따사룸",경동전체1!G77)</f>
        <v>따사룸</v>
      </c>
      <c r="L77" s="4" t="str">
        <f t="shared" si="4"/>
        <v>1</v>
      </c>
      <c r="M77" s="1" t="str">
        <f>IF(LEFT(경동전체1!D77,1)="2","비닐",IF(LEFT(경동전체1!O77,1)="박","박스","비닐"))</f>
        <v>비닐</v>
      </c>
      <c r="N77" s="25">
        <v>1</v>
      </c>
      <c r="O77" s="25">
        <v>1</v>
      </c>
      <c r="P77" s="25">
        <v>1</v>
      </c>
      <c r="Q77" s="25">
        <v>1</v>
      </c>
      <c r="R77" s="1" t="str">
        <f t="shared" si="5"/>
        <v>50</v>
      </c>
      <c r="S77" s="1">
        <f>경동전체1!B77</f>
        <v>0</v>
      </c>
      <c r="T77" s="1" t="str">
        <f t="shared" si="6"/>
        <v>100</v>
      </c>
      <c r="U77" s="5" t="str">
        <f t="shared" si="7"/>
        <v>0</v>
      </c>
      <c r="V77" s="26">
        <v>0</v>
      </c>
      <c r="W77" s="26">
        <v>0</v>
      </c>
      <c r="X77" s="2" t="str">
        <f>SUBSTITUTE(SUBSTITUTE(SUBSTITUTE(SUBSTITUTE(SUBSTITUTE(SUBSTITUTE(SUBSTITUTE(SUBSTITUTE(SUBSTITUTE(SUBSTITUTE(SUBSTITUTE(SUBSTITUTE(SUBSTITUTE(경동전체1!D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78" spans="1:24" ht="23.25" customHeight="1" x14ac:dyDescent="0.3">
      <c r="A78" s="2">
        <f>경동전체1!A78</f>
        <v>0</v>
      </c>
      <c r="B78" s="13" t="str">
        <f>SUBSTITUTE(SUBSTITUTE(SUBSTITUTE(SUBSTITUTE(SUBSTITUTE(SUBSTITUTE(SUBSTITUTE(SUBSTITUTE(SUBSTITUTE(SUBSTITUTE(SUBSTITUTE(SUBSTITUTE(SUBSTITUTE(경동전체1!K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78" s="30">
        <f>경동전체1!E78</f>
        <v>0</v>
      </c>
      <c r="D78" s="23"/>
      <c r="E78" s="23"/>
      <c r="F78" s="4">
        <f>경동전체1!J78</f>
        <v>0</v>
      </c>
      <c r="G78" s="23"/>
      <c r="H78" s="2">
        <f>경동전체1!H78</f>
        <v>0</v>
      </c>
      <c r="I78" s="2" t="str">
        <f>경동전체1!I78&amp;""</f>
        <v/>
      </c>
      <c r="J78" s="2" t="s">
        <v>36</v>
      </c>
      <c r="K78" s="2" t="str">
        <f>IF(LEFT(경동전체1!G78,1)="","따사룸",경동전체1!G78)</f>
        <v>따사룸</v>
      </c>
      <c r="L78" s="4" t="str">
        <f t="shared" si="4"/>
        <v>1</v>
      </c>
      <c r="M78" s="1" t="str">
        <f>IF(LEFT(경동전체1!D78,1)="2","비닐",IF(LEFT(경동전체1!O78,1)="박","박스","비닐"))</f>
        <v>비닐</v>
      </c>
      <c r="N78" s="25">
        <v>1</v>
      </c>
      <c r="O78" s="25">
        <v>1</v>
      </c>
      <c r="P78" s="25">
        <v>1</v>
      </c>
      <c r="Q78" s="25">
        <v>1</v>
      </c>
      <c r="R78" s="1" t="str">
        <f t="shared" si="5"/>
        <v>50</v>
      </c>
      <c r="S78" s="1">
        <f>경동전체1!B78</f>
        <v>0</v>
      </c>
      <c r="T78" s="1" t="str">
        <f t="shared" si="6"/>
        <v>100</v>
      </c>
      <c r="U78" s="5" t="str">
        <f t="shared" si="7"/>
        <v>0</v>
      </c>
      <c r="V78" s="26">
        <v>0</v>
      </c>
      <c r="W78" s="26">
        <v>0</v>
      </c>
      <c r="X78" s="2" t="str">
        <f>SUBSTITUTE(SUBSTITUTE(SUBSTITUTE(SUBSTITUTE(SUBSTITUTE(SUBSTITUTE(SUBSTITUTE(SUBSTITUTE(SUBSTITUTE(SUBSTITUTE(SUBSTITUTE(SUBSTITUTE(SUBSTITUTE(경동전체1!D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79" spans="1:24" ht="23.25" customHeight="1" x14ac:dyDescent="0.3">
      <c r="A79" s="2">
        <f>경동전체1!A79</f>
        <v>0</v>
      </c>
      <c r="B79" s="13" t="str">
        <f>SUBSTITUTE(SUBSTITUTE(SUBSTITUTE(SUBSTITUTE(SUBSTITUTE(SUBSTITUTE(SUBSTITUTE(SUBSTITUTE(SUBSTITUTE(SUBSTITUTE(SUBSTITUTE(SUBSTITUTE(SUBSTITUTE(경동전체1!K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79" s="30">
        <f>경동전체1!E79</f>
        <v>0</v>
      </c>
      <c r="D79" s="23"/>
      <c r="E79" s="23"/>
      <c r="F79" s="4">
        <f>경동전체1!J79</f>
        <v>0</v>
      </c>
      <c r="G79" s="23"/>
      <c r="H79" s="2">
        <f>경동전체1!H79</f>
        <v>0</v>
      </c>
      <c r="I79" s="2" t="str">
        <f>경동전체1!I79&amp;""</f>
        <v/>
      </c>
      <c r="J79" s="2" t="s">
        <v>36</v>
      </c>
      <c r="K79" s="2" t="str">
        <f>IF(LEFT(경동전체1!G79,1)="","따사룸",경동전체1!G79)</f>
        <v>따사룸</v>
      </c>
      <c r="L79" s="4" t="str">
        <f t="shared" si="4"/>
        <v>1</v>
      </c>
      <c r="M79" s="1" t="str">
        <f>IF(LEFT(경동전체1!D79,1)="2","비닐",IF(LEFT(경동전체1!O79,1)="박","박스","비닐"))</f>
        <v>비닐</v>
      </c>
      <c r="N79" s="25">
        <v>1</v>
      </c>
      <c r="O79" s="25">
        <v>1</v>
      </c>
      <c r="P79" s="25">
        <v>1</v>
      </c>
      <c r="Q79" s="25">
        <v>1</v>
      </c>
      <c r="R79" s="1" t="str">
        <f t="shared" si="5"/>
        <v>50</v>
      </c>
      <c r="S79" s="1">
        <f>경동전체1!B79</f>
        <v>0</v>
      </c>
      <c r="T79" s="1" t="str">
        <f t="shared" si="6"/>
        <v>100</v>
      </c>
      <c r="U79" s="5" t="str">
        <f t="shared" si="7"/>
        <v>0</v>
      </c>
      <c r="V79" s="26">
        <v>0</v>
      </c>
      <c r="W79" s="26">
        <v>0</v>
      </c>
      <c r="X79" s="2" t="str">
        <f>SUBSTITUTE(SUBSTITUTE(SUBSTITUTE(SUBSTITUTE(SUBSTITUTE(SUBSTITUTE(SUBSTITUTE(SUBSTITUTE(SUBSTITUTE(SUBSTITUTE(SUBSTITUTE(SUBSTITUTE(SUBSTITUTE(경동전체1!D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0" spans="1:24" ht="23.25" customHeight="1" x14ac:dyDescent="0.3">
      <c r="A80" s="2">
        <f>경동전체1!A80</f>
        <v>0</v>
      </c>
      <c r="B80" s="13" t="str">
        <f>SUBSTITUTE(SUBSTITUTE(SUBSTITUTE(SUBSTITUTE(SUBSTITUTE(SUBSTITUTE(SUBSTITUTE(SUBSTITUTE(SUBSTITUTE(SUBSTITUTE(SUBSTITUTE(SUBSTITUTE(SUBSTITUTE(경동전체1!K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0" s="30">
        <f>경동전체1!E80</f>
        <v>0</v>
      </c>
      <c r="D80" s="23"/>
      <c r="E80" s="23"/>
      <c r="F80" s="4">
        <f>경동전체1!J80</f>
        <v>0</v>
      </c>
      <c r="G80" s="23"/>
      <c r="H80" s="2">
        <f>경동전체1!H80</f>
        <v>0</v>
      </c>
      <c r="I80" s="2" t="str">
        <f>경동전체1!I80&amp;""</f>
        <v/>
      </c>
      <c r="J80" s="2" t="s">
        <v>36</v>
      </c>
      <c r="K80" s="2" t="str">
        <f>IF(LEFT(경동전체1!G80,1)="","따사룸",경동전체1!G80)</f>
        <v>따사룸</v>
      </c>
      <c r="L80" s="4" t="str">
        <f t="shared" si="4"/>
        <v>1</v>
      </c>
      <c r="M80" s="1" t="str">
        <f>IF(LEFT(경동전체1!D80,1)="2","비닐",IF(LEFT(경동전체1!O80,1)="박","박스","비닐"))</f>
        <v>비닐</v>
      </c>
      <c r="N80" s="25">
        <v>1</v>
      </c>
      <c r="O80" s="25">
        <v>1</v>
      </c>
      <c r="P80" s="25">
        <v>1</v>
      </c>
      <c r="Q80" s="25">
        <v>1</v>
      </c>
      <c r="R80" s="1" t="str">
        <f t="shared" si="5"/>
        <v>50</v>
      </c>
      <c r="S80" s="1">
        <f>경동전체1!B80</f>
        <v>0</v>
      </c>
      <c r="T80" s="1" t="str">
        <f t="shared" si="6"/>
        <v>100</v>
      </c>
      <c r="U80" s="5" t="str">
        <f t="shared" si="7"/>
        <v>0</v>
      </c>
      <c r="V80" s="26">
        <v>0</v>
      </c>
      <c r="W80" s="26">
        <v>0</v>
      </c>
      <c r="X80" s="2" t="str">
        <f>SUBSTITUTE(SUBSTITUTE(SUBSTITUTE(SUBSTITUTE(SUBSTITUTE(SUBSTITUTE(SUBSTITUTE(SUBSTITUTE(SUBSTITUTE(SUBSTITUTE(SUBSTITUTE(SUBSTITUTE(SUBSTITUTE(경동전체1!D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1" spans="1:24" ht="23.25" customHeight="1" x14ac:dyDescent="0.3">
      <c r="A81" s="2">
        <f>경동전체1!A81</f>
        <v>0</v>
      </c>
      <c r="B81" s="13" t="str">
        <f>SUBSTITUTE(SUBSTITUTE(SUBSTITUTE(SUBSTITUTE(SUBSTITUTE(SUBSTITUTE(SUBSTITUTE(SUBSTITUTE(SUBSTITUTE(SUBSTITUTE(SUBSTITUTE(SUBSTITUTE(SUBSTITUTE(경동전체1!K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1" s="30">
        <f>경동전체1!E81</f>
        <v>0</v>
      </c>
      <c r="D81" s="23"/>
      <c r="E81" s="23"/>
      <c r="F81" s="4">
        <f>경동전체1!J81</f>
        <v>0</v>
      </c>
      <c r="G81" s="23"/>
      <c r="H81" s="2">
        <f>경동전체1!H81</f>
        <v>0</v>
      </c>
      <c r="I81" s="2" t="str">
        <f>경동전체1!I81&amp;""</f>
        <v/>
      </c>
      <c r="J81" s="2" t="s">
        <v>36</v>
      </c>
      <c r="K81" s="2" t="str">
        <f>IF(LEFT(경동전체1!G81,1)="","따사룸",경동전체1!G81)</f>
        <v>따사룸</v>
      </c>
      <c r="L81" s="4" t="str">
        <f t="shared" si="4"/>
        <v>1</v>
      </c>
      <c r="M81" s="1" t="str">
        <f>IF(LEFT(경동전체1!D81,1)="2","비닐",IF(LEFT(경동전체1!O81,1)="박","박스","비닐"))</f>
        <v>비닐</v>
      </c>
      <c r="N81" s="25">
        <v>1</v>
      </c>
      <c r="O81" s="25">
        <v>1</v>
      </c>
      <c r="P81" s="25">
        <v>1</v>
      </c>
      <c r="Q81" s="25">
        <v>1</v>
      </c>
      <c r="R81" s="1" t="str">
        <f t="shared" si="5"/>
        <v>50</v>
      </c>
      <c r="S81" s="1">
        <f>경동전체1!B81</f>
        <v>0</v>
      </c>
      <c r="T81" s="1" t="str">
        <f t="shared" si="6"/>
        <v>100</v>
      </c>
      <c r="U81" s="5" t="str">
        <f t="shared" si="7"/>
        <v>0</v>
      </c>
      <c r="V81" s="26">
        <v>0</v>
      </c>
      <c r="W81" s="26">
        <v>0</v>
      </c>
      <c r="X81" s="2" t="str">
        <f>SUBSTITUTE(SUBSTITUTE(SUBSTITUTE(SUBSTITUTE(SUBSTITUTE(SUBSTITUTE(SUBSTITUTE(SUBSTITUTE(SUBSTITUTE(SUBSTITUTE(SUBSTITUTE(SUBSTITUTE(SUBSTITUTE(경동전체1!D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2" spans="1:24" ht="23.25" customHeight="1" x14ac:dyDescent="0.3">
      <c r="A82" s="2">
        <f>경동전체1!A82</f>
        <v>0</v>
      </c>
      <c r="B82" s="13" t="str">
        <f>SUBSTITUTE(SUBSTITUTE(SUBSTITUTE(SUBSTITUTE(SUBSTITUTE(SUBSTITUTE(SUBSTITUTE(SUBSTITUTE(SUBSTITUTE(SUBSTITUTE(SUBSTITUTE(SUBSTITUTE(SUBSTITUTE(경동전체1!K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2" s="30">
        <f>경동전체1!E82</f>
        <v>0</v>
      </c>
      <c r="D82" s="23"/>
      <c r="E82" s="23"/>
      <c r="F82" s="4">
        <f>경동전체1!J82</f>
        <v>0</v>
      </c>
      <c r="G82" s="23"/>
      <c r="H82" s="2">
        <f>경동전체1!H82</f>
        <v>0</v>
      </c>
      <c r="I82" s="2" t="str">
        <f>경동전체1!I82&amp;""</f>
        <v/>
      </c>
      <c r="J82" s="2" t="s">
        <v>36</v>
      </c>
      <c r="K82" s="2" t="str">
        <f>IF(LEFT(경동전체1!G82,1)="","따사룸",경동전체1!G82)</f>
        <v>따사룸</v>
      </c>
      <c r="L82" s="4" t="str">
        <f t="shared" si="4"/>
        <v>1</v>
      </c>
      <c r="M82" s="1" t="str">
        <f>IF(LEFT(경동전체1!D82,1)="2","비닐",IF(LEFT(경동전체1!O82,1)="박","박스","비닐"))</f>
        <v>비닐</v>
      </c>
      <c r="N82" s="25">
        <v>1</v>
      </c>
      <c r="O82" s="25">
        <v>1</v>
      </c>
      <c r="P82" s="25">
        <v>1</v>
      </c>
      <c r="Q82" s="25">
        <v>1</v>
      </c>
      <c r="R82" s="1" t="str">
        <f t="shared" si="5"/>
        <v>50</v>
      </c>
      <c r="S82" s="1">
        <f>경동전체1!B82</f>
        <v>0</v>
      </c>
      <c r="T82" s="1" t="str">
        <f t="shared" si="6"/>
        <v>100</v>
      </c>
      <c r="U82" s="5" t="str">
        <f t="shared" si="7"/>
        <v>0</v>
      </c>
      <c r="V82" s="26">
        <v>0</v>
      </c>
      <c r="W82" s="26">
        <v>0</v>
      </c>
      <c r="X82" s="2" t="str">
        <f>SUBSTITUTE(SUBSTITUTE(SUBSTITUTE(SUBSTITUTE(SUBSTITUTE(SUBSTITUTE(SUBSTITUTE(SUBSTITUTE(SUBSTITUTE(SUBSTITUTE(SUBSTITUTE(SUBSTITUTE(SUBSTITUTE(경동전체1!D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3" spans="1:24" ht="23.25" customHeight="1" x14ac:dyDescent="0.3">
      <c r="A83" s="2">
        <f>경동전체1!A83</f>
        <v>0</v>
      </c>
      <c r="B83" s="13" t="str">
        <f>SUBSTITUTE(SUBSTITUTE(SUBSTITUTE(SUBSTITUTE(SUBSTITUTE(SUBSTITUTE(SUBSTITUTE(SUBSTITUTE(SUBSTITUTE(SUBSTITUTE(SUBSTITUTE(SUBSTITUTE(SUBSTITUTE(경동전체1!K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3" s="30">
        <f>경동전체1!E83</f>
        <v>0</v>
      </c>
      <c r="D83" s="23"/>
      <c r="E83" s="23"/>
      <c r="F83" s="4">
        <f>경동전체1!J83</f>
        <v>0</v>
      </c>
      <c r="G83" s="23"/>
      <c r="H83" s="2">
        <f>경동전체1!H83</f>
        <v>0</v>
      </c>
      <c r="I83" s="2" t="str">
        <f>경동전체1!I83&amp;""</f>
        <v/>
      </c>
      <c r="J83" s="2" t="s">
        <v>36</v>
      </c>
      <c r="K83" s="2" t="str">
        <f>IF(LEFT(경동전체1!G83,1)="","따사룸",경동전체1!G83)</f>
        <v>따사룸</v>
      </c>
      <c r="L83" s="4" t="str">
        <f t="shared" si="4"/>
        <v>1</v>
      </c>
      <c r="M83" s="1" t="str">
        <f>IF(LEFT(경동전체1!D83,1)="2","비닐",IF(LEFT(경동전체1!O83,1)="박","박스","비닐"))</f>
        <v>비닐</v>
      </c>
      <c r="N83" s="25">
        <v>1</v>
      </c>
      <c r="O83" s="25">
        <v>1</v>
      </c>
      <c r="P83" s="25">
        <v>1</v>
      </c>
      <c r="Q83" s="25">
        <v>1</v>
      </c>
      <c r="R83" s="1" t="str">
        <f t="shared" si="5"/>
        <v>50</v>
      </c>
      <c r="S83" s="1">
        <f>경동전체1!B83</f>
        <v>0</v>
      </c>
      <c r="T83" s="1" t="str">
        <f t="shared" si="6"/>
        <v>100</v>
      </c>
      <c r="U83" s="5" t="str">
        <f t="shared" si="7"/>
        <v>0</v>
      </c>
      <c r="V83" s="26">
        <v>0</v>
      </c>
      <c r="W83" s="26">
        <v>0</v>
      </c>
      <c r="X83" s="2" t="str">
        <f>SUBSTITUTE(SUBSTITUTE(SUBSTITUTE(SUBSTITUTE(SUBSTITUTE(SUBSTITUTE(SUBSTITUTE(SUBSTITUTE(SUBSTITUTE(SUBSTITUTE(SUBSTITUTE(SUBSTITUTE(SUBSTITUTE(경동전체1!D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4" spans="1:24" ht="23.25" customHeight="1" x14ac:dyDescent="0.3">
      <c r="A84" s="2">
        <f>경동전체1!A84</f>
        <v>0</v>
      </c>
      <c r="B84" s="13" t="str">
        <f>SUBSTITUTE(SUBSTITUTE(SUBSTITUTE(SUBSTITUTE(SUBSTITUTE(SUBSTITUTE(SUBSTITUTE(SUBSTITUTE(SUBSTITUTE(SUBSTITUTE(SUBSTITUTE(SUBSTITUTE(SUBSTITUTE(경동전체1!K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4" s="30">
        <f>경동전체1!E84</f>
        <v>0</v>
      </c>
      <c r="D84" s="23"/>
      <c r="E84" s="23"/>
      <c r="F84" s="4">
        <f>경동전체1!J84</f>
        <v>0</v>
      </c>
      <c r="G84" s="23"/>
      <c r="H84" s="2">
        <f>경동전체1!H84</f>
        <v>0</v>
      </c>
      <c r="I84" s="2" t="str">
        <f>경동전체1!I84&amp;""</f>
        <v/>
      </c>
      <c r="J84" s="2" t="s">
        <v>36</v>
      </c>
      <c r="K84" s="2" t="str">
        <f>IF(LEFT(경동전체1!G84,1)="","따사룸",경동전체1!G84)</f>
        <v>따사룸</v>
      </c>
      <c r="L84" s="4" t="str">
        <f t="shared" si="4"/>
        <v>1</v>
      </c>
      <c r="M84" s="1" t="str">
        <f>IF(LEFT(경동전체1!D84,1)="2","비닐",IF(LEFT(경동전체1!O84,1)="박","박스","비닐"))</f>
        <v>비닐</v>
      </c>
      <c r="N84" s="25">
        <v>1</v>
      </c>
      <c r="O84" s="25">
        <v>1</v>
      </c>
      <c r="P84" s="25">
        <v>1</v>
      </c>
      <c r="Q84" s="25">
        <v>1</v>
      </c>
      <c r="R84" s="1" t="str">
        <f t="shared" si="5"/>
        <v>50</v>
      </c>
      <c r="S84" s="1">
        <f>경동전체1!B84</f>
        <v>0</v>
      </c>
      <c r="T84" s="1" t="str">
        <f t="shared" si="6"/>
        <v>100</v>
      </c>
      <c r="U84" s="5" t="str">
        <f t="shared" si="7"/>
        <v>0</v>
      </c>
      <c r="V84" s="26">
        <v>0</v>
      </c>
      <c r="W84" s="26">
        <v>0</v>
      </c>
      <c r="X84" s="2" t="str">
        <f>SUBSTITUTE(SUBSTITUTE(SUBSTITUTE(SUBSTITUTE(SUBSTITUTE(SUBSTITUTE(SUBSTITUTE(SUBSTITUTE(SUBSTITUTE(SUBSTITUTE(SUBSTITUTE(SUBSTITUTE(SUBSTITUTE(경동전체1!D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5" spans="1:24" ht="23.25" customHeight="1" x14ac:dyDescent="0.3">
      <c r="A85" s="2">
        <f>경동전체1!A85</f>
        <v>0</v>
      </c>
      <c r="B85" s="13" t="str">
        <f>SUBSTITUTE(SUBSTITUTE(SUBSTITUTE(SUBSTITUTE(SUBSTITUTE(SUBSTITUTE(SUBSTITUTE(SUBSTITUTE(SUBSTITUTE(SUBSTITUTE(SUBSTITUTE(SUBSTITUTE(SUBSTITUTE(경동전체1!K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5" s="30">
        <f>경동전체1!E85</f>
        <v>0</v>
      </c>
      <c r="D85" s="23"/>
      <c r="E85" s="23"/>
      <c r="F85" s="4">
        <f>경동전체1!J85</f>
        <v>0</v>
      </c>
      <c r="G85" s="23"/>
      <c r="H85" s="2">
        <f>경동전체1!H85</f>
        <v>0</v>
      </c>
      <c r="I85" s="2" t="str">
        <f>경동전체1!I85&amp;""</f>
        <v/>
      </c>
      <c r="J85" s="2" t="s">
        <v>36</v>
      </c>
      <c r="K85" s="2" t="str">
        <f>IF(LEFT(경동전체1!G85,1)="","따사룸",경동전체1!G85)</f>
        <v>따사룸</v>
      </c>
      <c r="L85" s="4" t="str">
        <f t="shared" si="4"/>
        <v>1</v>
      </c>
      <c r="M85" s="1" t="str">
        <f>IF(LEFT(경동전체1!D85,1)="2","비닐",IF(LEFT(경동전체1!O85,1)="박","박스","비닐"))</f>
        <v>비닐</v>
      </c>
      <c r="N85" s="25">
        <v>1</v>
      </c>
      <c r="O85" s="25">
        <v>1</v>
      </c>
      <c r="P85" s="25">
        <v>1</v>
      </c>
      <c r="Q85" s="25">
        <v>1</v>
      </c>
      <c r="R85" s="1" t="str">
        <f t="shared" si="5"/>
        <v>50</v>
      </c>
      <c r="S85" s="1">
        <f>경동전체1!B85</f>
        <v>0</v>
      </c>
      <c r="T85" s="1" t="str">
        <f t="shared" si="6"/>
        <v>100</v>
      </c>
      <c r="U85" s="5" t="str">
        <f t="shared" si="7"/>
        <v>0</v>
      </c>
      <c r="V85" s="26">
        <v>0</v>
      </c>
      <c r="W85" s="26">
        <v>0</v>
      </c>
      <c r="X85" s="2" t="str">
        <f>SUBSTITUTE(SUBSTITUTE(SUBSTITUTE(SUBSTITUTE(SUBSTITUTE(SUBSTITUTE(SUBSTITUTE(SUBSTITUTE(SUBSTITUTE(SUBSTITUTE(SUBSTITUTE(SUBSTITUTE(SUBSTITUTE(경동전체1!D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6" spans="1:24" ht="23.25" customHeight="1" x14ac:dyDescent="0.3">
      <c r="A86" s="2">
        <f>경동전체1!A86</f>
        <v>0</v>
      </c>
      <c r="B86" s="13" t="str">
        <f>SUBSTITUTE(SUBSTITUTE(SUBSTITUTE(SUBSTITUTE(SUBSTITUTE(SUBSTITUTE(SUBSTITUTE(SUBSTITUTE(SUBSTITUTE(SUBSTITUTE(SUBSTITUTE(SUBSTITUTE(SUBSTITUTE(경동전체1!K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6" s="30">
        <f>경동전체1!E86</f>
        <v>0</v>
      </c>
      <c r="D86" s="23"/>
      <c r="E86" s="23"/>
      <c r="F86" s="4">
        <f>경동전체1!J86</f>
        <v>0</v>
      </c>
      <c r="G86" s="23"/>
      <c r="H86" s="2">
        <f>경동전체1!H86</f>
        <v>0</v>
      </c>
      <c r="I86" s="2" t="str">
        <f>경동전체1!I86&amp;""</f>
        <v/>
      </c>
      <c r="J86" s="2" t="s">
        <v>36</v>
      </c>
      <c r="K86" s="2" t="str">
        <f>IF(LEFT(경동전체1!G86,1)="","따사룸",경동전체1!G86)</f>
        <v>따사룸</v>
      </c>
      <c r="L86" s="4" t="str">
        <f t="shared" si="4"/>
        <v>1</v>
      </c>
      <c r="M86" s="1" t="str">
        <f>IF(LEFT(경동전체1!D86,1)="2","비닐",IF(LEFT(경동전체1!O86,1)="박","박스","비닐"))</f>
        <v>비닐</v>
      </c>
      <c r="N86" s="25">
        <v>1</v>
      </c>
      <c r="O86" s="25">
        <v>1</v>
      </c>
      <c r="P86" s="25">
        <v>1</v>
      </c>
      <c r="Q86" s="25">
        <v>1</v>
      </c>
      <c r="R86" s="1" t="str">
        <f t="shared" si="5"/>
        <v>50</v>
      </c>
      <c r="S86" s="1">
        <f>경동전체1!B86</f>
        <v>0</v>
      </c>
      <c r="T86" s="1" t="str">
        <f t="shared" si="6"/>
        <v>100</v>
      </c>
      <c r="U86" s="5" t="str">
        <f t="shared" si="7"/>
        <v>0</v>
      </c>
      <c r="V86" s="26">
        <v>0</v>
      </c>
      <c r="W86" s="26">
        <v>0</v>
      </c>
      <c r="X86" s="2" t="str">
        <f>SUBSTITUTE(SUBSTITUTE(SUBSTITUTE(SUBSTITUTE(SUBSTITUTE(SUBSTITUTE(SUBSTITUTE(SUBSTITUTE(SUBSTITUTE(SUBSTITUTE(SUBSTITUTE(SUBSTITUTE(SUBSTITUTE(경동전체1!D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7" spans="1:24" ht="23.25" customHeight="1" x14ac:dyDescent="0.3">
      <c r="A87" s="2">
        <f>경동전체1!A87</f>
        <v>0</v>
      </c>
      <c r="B87" s="13" t="str">
        <f>SUBSTITUTE(SUBSTITUTE(SUBSTITUTE(SUBSTITUTE(SUBSTITUTE(SUBSTITUTE(SUBSTITUTE(SUBSTITUTE(SUBSTITUTE(SUBSTITUTE(SUBSTITUTE(SUBSTITUTE(SUBSTITUTE(경동전체1!K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7" s="30">
        <f>경동전체1!E87</f>
        <v>0</v>
      </c>
      <c r="D87" s="23"/>
      <c r="E87" s="23"/>
      <c r="F87" s="4">
        <f>경동전체1!J87</f>
        <v>0</v>
      </c>
      <c r="G87" s="23"/>
      <c r="H87" s="2">
        <f>경동전체1!H87</f>
        <v>0</v>
      </c>
      <c r="I87" s="2" t="str">
        <f>경동전체1!I87&amp;""</f>
        <v/>
      </c>
      <c r="J87" s="2" t="s">
        <v>36</v>
      </c>
      <c r="K87" s="2" t="str">
        <f>IF(LEFT(경동전체1!G87,1)="","따사룸",경동전체1!G87)</f>
        <v>따사룸</v>
      </c>
      <c r="L87" s="4" t="str">
        <f t="shared" si="4"/>
        <v>1</v>
      </c>
      <c r="M87" s="1" t="str">
        <f>IF(LEFT(경동전체1!D87,1)="2","비닐",IF(LEFT(경동전체1!O87,1)="박","박스","비닐"))</f>
        <v>비닐</v>
      </c>
      <c r="N87" s="25">
        <v>1</v>
      </c>
      <c r="O87" s="25">
        <v>1</v>
      </c>
      <c r="P87" s="25">
        <v>1</v>
      </c>
      <c r="Q87" s="25">
        <v>1</v>
      </c>
      <c r="R87" s="1" t="str">
        <f t="shared" si="5"/>
        <v>50</v>
      </c>
      <c r="S87" s="1">
        <f>경동전체1!B87</f>
        <v>0</v>
      </c>
      <c r="T87" s="1" t="str">
        <f t="shared" si="6"/>
        <v>100</v>
      </c>
      <c r="U87" s="5" t="str">
        <f t="shared" si="7"/>
        <v>0</v>
      </c>
      <c r="V87" s="26">
        <v>0</v>
      </c>
      <c r="W87" s="26">
        <v>0</v>
      </c>
      <c r="X87" s="2" t="str">
        <f>SUBSTITUTE(SUBSTITUTE(SUBSTITUTE(SUBSTITUTE(SUBSTITUTE(SUBSTITUTE(SUBSTITUTE(SUBSTITUTE(SUBSTITUTE(SUBSTITUTE(SUBSTITUTE(SUBSTITUTE(SUBSTITUTE(경동전체1!D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8" spans="1:24" ht="23.25" customHeight="1" x14ac:dyDescent="0.3">
      <c r="A88" s="2">
        <f>경동전체1!A88</f>
        <v>0</v>
      </c>
      <c r="B88" s="13" t="str">
        <f>SUBSTITUTE(SUBSTITUTE(SUBSTITUTE(SUBSTITUTE(SUBSTITUTE(SUBSTITUTE(SUBSTITUTE(SUBSTITUTE(SUBSTITUTE(SUBSTITUTE(SUBSTITUTE(SUBSTITUTE(SUBSTITUTE(경동전체1!K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8" s="30">
        <f>경동전체1!E88</f>
        <v>0</v>
      </c>
      <c r="D88" s="23"/>
      <c r="E88" s="23"/>
      <c r="F88" s="4">
        <f>경동전체1!J88</f>
        <v>0</v>
      </c>
      <c r="G88" s="23"/>
      <c r="H88" s="2">
        <f>경동전체1!H88</f>
        <v>0</v>
      </c>
      <c r="I88" s="2" t="str">
        <f>경동전체1!I88&amp;""</f>
        <v/>
      </c>
      <c r="J88" s="2" t="s">
        <v>36</v>
      </c>
      <c r="K88" s="2" t="str">
        <f>IF(LEFT(경동전체1!G88,1)="","따사룸",경동전체1!G88)</f>
        <v>따사룸</v>
      </c>
      <c r="L88" s="4" t="str">
        <f t="shared" si="4"/>
        <v>1</v>
      </c>
      <c r="M88" s="1" t="str">
        <f>IF(LEFT(경동전체1!D88,1)="2","비닐",IF(LEFT(경동전체1!O88,1)="박","박스","비닐"))</f>
        <v>비닐</v>
      </c>
      <c r="N88" s="25">
        <v>1</v>
      </c>
      <c r="O88" s="25">
        <v>1</v>
      </c>
      <c r="P88" s="25">
        <v>1</v>
      </c>
      <c r="Q88" s="25">
        <v>1</v>
      </c>
      <c r="R88" s="1" t="str">
        <f t="shared" si="5"/>
        <v>50</v>
      </c>
      <c r="S88" s="1">
        <f>경동전체1!B88</f>
        <v>0</v>
      </c>
      <c r="T88" s="1" t="str">
        <f t="shared" si="6"/>
        <v>100</v>
      </c>
      <c r="U88" s="5" t="str">
        <f t="shared" si="7"/>
        <v>0</v>
      </c>
      <c r="V88" s="26">
        <v>0</v>
      </c>
      <c r="W88" s="26">
        <v>0</v>
      </c>
      <c r="X88" s="2" t="str">
        <f>SUBSTITUTE(SUBSTITUTE(SUBSTITUTE(SUBSTITUTE(SUBSTITUTE(SUBSTITUTE(SUBSTITUTE(SUBSTITUTE(SUBSTITUTE(SUBSTITUTE(SUBSTITUTE(SUBSTITUTE(SUBSTITUTE(경동전체1!D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89" spans="1:24" ht="23.25" customHeight="1" x14ac:dyDescent="0.3">
      <c r="A89" s="2">
        <f>경동전체1!A89</f>
        <v>0</v>
      </c>
      <c r="B89" s="13" t="str">
        <f>SUBSTITUTE(SUBSTITUTE(SUBSTITUTE(SUBSTITUTE(SUBSTITUTE(SUBSTITUTE(SUBSTITUTE(SUBSTITUTE(SUBSTITUTE(SUBSTITUTE(SUBSTITUTE(SUBSTITUTE(SUBSTITUTE(경동전체1!K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89" s="30">
        <f>경동전체1!E89</f>
        <v>0</v>
      </c>
      <c r="D89" s="23"/>
      <c r="E89" s="23"/>
      <c r="F89" s="4">
        <f>경동전체1!J89</f>
        <v>0</v>
      </c>
      <c r="G89" s="23"/>
      <c r="H89" s="2">
        <f>경동전체1!H89</f>
        <v>0</v>
      </c>
      <c r="I89" s="2" t="str">
        <f>경동전체1!I89&amp;""</f>
        <v/>
      </c>
      <c r="J89" s="2" t="s">
        <v>36</v>
      </c>
      <c r="K89" s="2" t="str">
        <f>IF(LEFT(경동전체1!G89,1)="","따사룸",경동전체1!G89)</f>
        <v>따사룸</v>
      </c>
      <c r="L89" s="4" t="str">
        <f t="shared" si="4"/>
        <v>1</v>
      </c>
      <c r="M89" s="1" t="str">
        <f>IF(LEFT(경동전체1!D89,1)="2","비닐",IF(LEFT(경동전체1!O89,1)="박","박스","비닐"))</f>
        <v>비닐</v>
      </c>
      <c r="N89" s="25">
        <v>1</v>
      </c>
      <c r="O89" s="25">
        <v>1</v>
      </c>
      <c r="P89" s="25">
        <v>1</v>
      </c>
      <c r="Q89" s="25">
        <v>1</v>
      </c>
      <c r="R89" s="1" t="str">
        <f t="shared" si="5"/>
        <v>50</v>
      </c>
      <c r="S89" s="1">
        <f>경동전체1!B89</f>
        <v>0</v>
      </c>
      <c r="T89" s="1" t="str">
        <f t="shared" si="6"/>
        <v>100</v>
      </c>
      <c r="U89" s="5" t="str">
        <f t="shared" si="7"/>
        <v>0</v>
      </c>
      <c r="V89" s="26">
        <v>0</v>
      </c>
      <c r="W89" s="26">
        <v>0</v>
      </c>
      <c r="X89" s="2" t="str">
        <f>SUBSTITUTE(SUBSTITUTE(SUBSTITUTE(SUBSTITUTE(SUBSTITUTE(SUBSTITUTE(SUBSTITUTE(SUBSTITUTE(SUBSTITUTE(SUBSTITUTE(SUBSTITUTE(SUBSTITUTE(SUBSTITUTE(경동전체1!D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0" spans="1:24" ht="23.25" customHeight="1" x14ac:dyDescent="0.3">
      <c r="A90" s="2">
        <f>경동전체1!A90</f>
        <v>0</v>
      </c>
      <c r="B90" s="13" t="str">
        <f>SUBSTITUTE(SUBSTITUTE(SUBSTITUTE(SUBSTITUTE(SUBSTITUTE(SUBSTITUTE(SUBSTITUTE(SUBSTITUTE(SUBSTITUTE(SUBSTITUTE(SUBSTITUTE(SUBSTITUTE(SUBSTITUTE(경동전체1!K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0" s="30">
        <f>경동전체1!E90</f>
        <v>0</v>
      </c>
      <c r="D90" s="23"/>
      <c r="E90" s="23"/>
      <c r="F90" s="4">
        <f>경동전체1!J90</f>
        <v>0</v>
      </c>
      <c r="G90" s="23"/>
      <c r="H90" s="2">
        <f>경동전체1!H90</f>
        <v>0</v>
      </c>
      <c r="I90" s="2" t="str">
        <f>경동전체1!I90&amp;""</f>
        <v/>
      </c>
      <c r="J90" s="2" t="s">
        <v>36</v>
      </c>
      <c r="K90" s="2" t="str">
        <f>IF(LEFT(경동전체1!G90,1)="","따사룸",경동전체1!G90)</f>
        <v>따사룸</v>
      </c>
      <c r="L90" s="4" t="str">
        <f t="shared" si="4"/>
        <v>1</v>
      </c>
      <c r="M90" s="1" t="str">
        <f>IF(LEFT(경동전체1!D90,1)="2","비닐",IF(LEFT(경동전체1!O90,1)="박","박스","비닐"))</f>
        <v>비닐</v>
      </c>
      <c r="N90" s="25">
        <v>1</v>
      </c>
      <c r="O90" s="25">
        <v>1</v>
      </c>
      <c r="P90" s="25">
        <v>1</v>
      </c>
      <c r="Q90" s="25">
        <v>1</v>
      </c>
      <c r="R90" s="1" t="str">
        <f t="shared" si="5"/>
        <v>50</v>
      </c>
      <c r="S90" s="1">
        <f>경동전체1!B90</f>
        <v>0</v>
      </c>
      <c r="T90" s="1" t="str">
        <f t="shared" si="6"/>
        <v>100</v>
      </c>
      <c r="U90" s="5" t="str">
        <f t="shared" si="7"/>
        <v>0</v>
      </c>
      <c r="V90" s="26">
        <v>0</v>
      </c>
      <c r="W90" s="26">
        <v>0</v>
      </c>
      <c r="X90" s="2" t="str">
        <f>SUBSTITUTE(SUBSTITUTE(SUBSTITUTE(SUBSTITUTE(SUBSTITUTE(SUBSTITUTE(SUBSTITUTE(SUBSTITUTE(SUBSTITUTE(SUBSTITUTE(SUBSTITUTE(SUBSTITUTE(SUBSTITUTE(경동전체1!D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1" spans="1:24" ht="23.25" customHeight="1" x14ac:dyDescent="0.3">
      <c r="A91" s="2">
        <f>경동전체1!A91</f>
        <v>0</v>
      </c>
      <c r="B91" s="13" t="str">
        <f>SUBSTITUTE(SUBSTITUTE(SUBSTITUTE(SUBSTITUTE(SUBSTITUTE(SUBSTITUTE(SUBSTITUTE(SUBSTITUTE(SUBSTITUTE(SUBSTITUTE(SUBSTITUTE(SUBSTITUTE(SUBSTITUTE(경동전체1!K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1" s="30">
        <f>경동전체1!E91</f>
        <v>0</v>
      </c>
      <c r="D91" s="23"/>
      <c r="E91" s="23"/>
      <c r="F91" s="4">
        <f>경동전체1!J91</f>
        <v>0</v>
      </c>
      <c r="G91" s="23"/>
      <c r="H91" s="2">
        <f>경동전체1!H91</f>
        <v>0</v>
      </c>
      <c r="I91" s="2" t="str">
        <f>경동전체1!I91&amp;""</f>
        <v/>
      </c>
      <c r="J91" s="2" t="s">
        <v>36</v>
      </c>
      <c r="K91" s="2" t="str">
        <f>IF(LEFT(경동전체1!G91,1)="","따사룸",경동전체1!G91)</f>
        <v>따사룸</v>
      </c>
      <c r="L91" s="4" t="str">
        <f t="shared" si="4"/>
        <v>1</v>
      </c>
      <c r="M91" s="1" t="str">
        <f>IF(LEFT(경동전체1!D91,1)="2","비닐",IF(LEFT(경동전체1!O91,1)="박","박스","비닐"))</f>
        <v>비닐</v>
      </c>
      <c r="N91" s="25">
        <v>1</v>
      </c>
      <c r="O91" s="25">
        <v>1</v>
      </c>
      <c r="P91" s="25">
        <v>1</v>
      </c>
      <c r="Q91" s="25">
        <v>1</v>
      </c>
      <c r="R91" s="1" t="str">
        <f t="shared" si="5"/>
        <v>50</v>
      </c>
      <c r="S91" s="1">
        <f>경동전체1!B91</f>
        <v>0</v>
      </c>
      <c r="T91" s="1" t="str">
        <f t="shared" si="6"/>
        <v>100</v>
      </c>
      <c r="U91" s="5" t="str">
        <f t="shared" si="7"/>
        <v>0</v>
      </c>
      <c r="V91" s="26">
        <v>0</v>
      </c>
      <c r="W91" s="26">
        <v>0</v>
      </c>
      <c r="X91" s="2" t="str">
        <f>SUBSTITUTE(SUBSTITUTE(SUBSTITUTE(SUBSTITUTE(SUBSTITUTE(SUBSTITUTE(SUBSTITUTE(SUBSTITUTE(SUBSTITUTE(SUBSTITUTE(SUBSTITUTE(SUBSTITUTE(SUBSTITUTE(경동전체1!D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2" spans="1:24" ht="23.25" customHeight="1" x14ac:dyDescent="0.3">
      <c r="A92" s="2">
        <f>경동전체1!A92</f>
        <v>0</v>
      </c>
      <c r="B92" s="13" t="str">
        <f>SUBSTITUTE(SUBSTITUTE(SUBSTITUTE(SUBSTITUTE(SUBSTITUTE(SUBSTITUTE(SUBSTITUTE(SUBSTITUTE(SUBSTITUTE(SUBSTITUTE(SUBSTITUTE(SUBSTITUTE(SUBSTITUTE(경동전체1!K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2" s="30">
        <f>경동전체1!E92</f>
        <v>0</v>
      </c>
      <c r="D92" s="23"/>
      <c r="E92" s="23"/>
      <c r="F92" s="4">
        <f>경동전체1!J92</f>
        <v>0</v>
      </c>
      <c r="G92" s="23"/>
      <c r="H92" s="2">
        <f>경동전체1!H92</f>
        <v>0</v>
      </c>
      <c r="I92" s="2" t="str">
        <f>경동전체1!I92&amp;""</f>
        <v/>
      </c>
      <c r="J92" s="2" t="s">
        <v>36</v>
      </c>
      <c r="K92" s="2" t="str">
        <f>IF(LEFT(경동전체1!G92,1)="","따사룸",경동전체1!G92)</f>
        <v>따사룸</v>
      </c>
      <c r="L92" s="4" t="str">
        <f t="shared" si="4"/>
        <v>1</v>
      </c>
      <c r="M92" s="1" t="str">
        <f>IF(LEFT(경동전체1!D92,1)="2","비닐",IF(LEFT(경동전체1!O92,1)="박","박스","비닐"))</f>
        <v>비닐</v>
      </c>
      <c r="N92" s="25">
        <v>1</v>
      </c>
      <c r="O92" s="25">
        <v>1</v>
      </c>
      <c r="P92" s="25">
        <v>1</v>
      </c>
      <c r="Q92" s="25">
        <v>1</v>
      </c>
      <c r="R92" s="1" t="str">
        <f t="shared" si="5"/>
        <v>50</v>
      </c>
      <c r="S92" s="1">
        <f>경동전체1!B92</f>
        <v>0</v>
      </c>
      <c r="T92" s="1" t="str">
        <f t="shared" si="6"/>
        <v>100</v>
      </c>
      <c r="U92" s="5" t="str">
        <f t="shared" si="7"/>
        <v>0</v>
      </c>
      <c r="V92" s="26">
        <v>0</v>
      </c>
      <c r="W92" s="26">
        <v>0</v>
      </c>
      <c r="X92" s="2" t="str">
        <f>SUBSTITUTE(SUBSTITUTE(SUBSTITUTE(SUBSTITUTE(SUBSTITUTE(SUBSTITUTE(SUBSTITUTE(SUBSTITUTE(SUBSTITUTE(SUBSTITUTE(SUBSTITUTE(SUBSTITUTE(SUBSTITUTE(경동전체1!D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3" spans="1:24" ht="23.25" customHeight="1" x14ac:dyDescent="0.3">
      <c r="A93" s="2">
        <f>경동전체1!A93</f>
        <v>0</v>
      </c>
      <c r="B93" s="13" t="str">
        <f>SUBSTITUTE(SUBSTITUTE(SUBSTITUTE(SUBSTITUTE(SUBSTITUTE(SUBSTITUTE(SUBSTITUTE(SUBSTITUTE(SUBSTITUTE(SUBSTITUTE(SUBSTITUTE(SUBSTITUTE(SUBSTITUTE(경동전체1!K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3" s="30">
        <f>경동전체1!E93</f>
        <v>0</v>
      </c>
      <c r="D93" s="23"/>
      <c r="E93" s="23"/>
      <c r="F93" s="4">
        <f>경동전체1!J93</f>
        <v>0</v>
      </c>
      <c r="G93" s="23"/>
      <c r="H93" s="2">
        <f>경동전체1!H93</f>
        <v>0</v>
      </c>
      <c r="I93" s="2" t="str">
        <f>경동전체1!I93&amp;""</f>
        <v/>
      </c>
      <c r="J93" s="2" t="s">
        <v>36</v>
      </c>
      <c r="K93" s="2" t="str">
        <f>IF(LEFT(경동전체1!G93,1)="","따사룸",경동전체1!G93)</f>
        <v>따사룸</v>
      </c>
      <c r="L93" s="4" t="str">
        <f t="shared" si="4"/>
        <v>1</v>
      </c>
      <c r="M93" s="1" t="str">
        <f>IF(LEFT(경동전체1!D93,1)="2","비닐",IF(LEFT(경동전체1!O93,1)="박","박스","비닐"))</f>
        <v>비닐</v>
      </c>
      <c r="N93" s="25">
        <v>1</v>
      </c>
      <c r="O93" s="25">
        <v>1</v>
      </c>
      <c r="P93" s="25">
        <v>1</v>
      </c>
      <c r="Q93" s="25">
        <v>1</v>
      </c>
      <c r="R93" s="1" t="str">
        <f t="shared" si="5"/>
        <v>50</v>
      </c>
      <c r="S93" s="1">
        <f>경동전체1!B93</f>
        <v>0</v>
      </c>
      <c r="T93" s="1" t="str">
        <f t="shared" si="6"/>
        <v>100</v>
      </c>
      <c r="U93" s="5" t="str">
        <f t="shared" si="7"/>
        <v>0</v>
      </c>
      <c r="V93" s="26">
        <v>0</v>
      </c>
      <c r="W93" s="26">
        <v>0</v>
      </c>
      <c r="X93" s="2" t="str">
        <f>SUBSTITUTE(SUBSTITUTE(SUBSTITUTE(SUBSTITUTE(SUBSTITUTE(SUBSTITUTE(SUBSTITUTE(SUBSTITUTE(SUBSTITUTE(SUBSTITUTE(SUBSTITUTE(SUBSTITUTE(SUBSTITUTE(경동전체1!D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4" spans="1:24" ht="23.25" customHeight="1" x14ac:dyDescent="0.3">
      <c r="A94" s="2">
        <f>경동전체1!A94</f>
        <v>0</v>
      </c>
      <c r="B94" s="13" t="str">
        <f>SUBSTITUTE(SUBSTITUTE(SUBSTITUTE(SUBSTITUTE(SUBSTITUTE(SUBSTITUTE(SUBSTITUTE(SUBSTITUTE(SUBSTITUTE(SUBSTITUTE(SUBSTITUTE(SUBSTITUTE(SUBSTITUTE(경동전체1!K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4" s="30">
        <f>경동전체1!E94</f>
        <v>0</v>
      </c>
      <c r="D94" s="23"/>
      <c r="E94" s="23"/>
      <c r="F94" s="4">
        <f>경동전체1!J94</f>
        <v>0</v>
      </c>
      <c r="G94" s="23"/>
      <c r="H94" s="2">
        <f>경동전체1!H94</f>
        <v>0</v>
      </c>
      <c r="I94" s="2" t="str">
        <f>경동전체1!I94&amp;""</f>
        <v/>
      </c>
      <c r="J94" s="2" t="s">
        <v>36</v>
      </c>
      <c r="K94" s="2" t="str">
        <f>IF(LEFT(경동전체1!G94,1)="","따사룸",경동전체1!G94)</f>
        <v>따사룸</v>
      </c>
      <c r="L94" s="4" t="str">
        <f t="shared" si="4"/>
        <v>1</v>
      </c>
      <c r="M94" s="1" t="str">
        <f>IF(LEFT(경동전체1!D94,1)="2","비닐",IF(LEFT(경동전체1!O94,1)="박","박스","비닐"))</f>
        <v>비닐</v>
      </c>
      <c r="N94" s="25">
        <v>1</v>
      </c>
      <c r="O94" s="25">
        <v>1</v>
      </c>
      <c r="P94" s="25">
        <v>1</v>
      </c>
      <c r="Q94" s="25">
        <v>1</v>
      </c>
      <c r="R94" s="1" t="str">
        <f t="shared" si="5"/>
        <v>50</v>
      </c>
      <c r="S94" s="1">
        <f>경동전체1!B94</f>
        <v>0</v>
      </c>
      <c r="T94" s="1" t="str">
        <f t="shared" si="6"/>
        <v>100</v>
      </c>
      <c r="U94" s="5" t="str">
        <f t="shared" si="7"/>
        <v>0</v>
      </c>
      <c r="V94" s="26">
        <v>0</v>
      </c>
      <c r="W94" s="26">
        <v>0</v>
      </c>
      <c r="X94" s="2" t="str">
        <f>SUBSTITUTE(SUBSTITUTE(SUBSTITUTE(SUBSTITUTE(SUBSTITUTE(SUBSTITUTE(SUBSTITUTE(SUBSTITUTE(SUBSTITUTE(SUBSTITUTE(SUBSTITUTE(SUBSTITUTE(SUBSTITUTE(경동전체1!D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5" spans="1:24" ht="23.25" customHeight="1" x14ac:dyDescent="0.3">
      <c r="A95" s="2">
        <f>경동전체1!A95</f>
        <v>0</v>
      </c>
      <c r="B95" s="13" t="str">
        <f>SUBSTITUTE(SUBSTITUTE(SUBSTITUTE(SUBSTITUTE(SUBSTITUTE(SUBSTITUTE(SUBSTITUTE(SUBSTITUTE(SUBSTITUTE(SUBSTITUTE(SUBSTITUTE(SUBSTITUTE(SUBSTITUTE(경동전체1!K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5" s="30">
        <f>경동전체1!E95</f>
        <v>0</v>
      </c>
      <c r="D95" s="23"/>
      <c r="E95" s="23"/>
      <c r="F95" s="4">
        <f>경동전체1!J95</f>
        <v>0</v>
      </c>
      <c r="G95" s="23"/>
      <c r="H95" s="2">
        <f>경동전체1!H95</f>
        <v>0</v>
      </c>
      <c r="I95" s="2" t="str">
        <f>경동전체1!I95&amp;""</f>
        <v/>
      </c>
      <c r="J95" s="2" t="s">
        <v>36</v>
      </c>
      <c r="K95" s="2" t="str">
        <f>IF(LEFT(경동전체1!G95,1)="","따사룸",경동전체1!G95)</f>
        <v>따사룸</v>
      </c>
      <c r="L95" s="4" t="str">
        <f t="shared" si="4"/>
        <v>1</v>
      </c>
      <c r="M95" s="1" t="str">
        <f>IF(LEFT(경동전체1!D95,1)="2","비닐",IF(LEFT(경동전체1!O95,1)="박","박스","비닐"))</f>
        <v>비닐</v>
      </c>
      <c r="N95" s="25">
        <v>1</v>
      </c>
      <c r="O95" s="25">
        <v>1</v>
      </c>
      <c r="P95" s="25">
        <v>1</v>
      </c>
      <c r="Q95" s="25">
        <v>1</v>
      </c>
      <c r="R95" s="1" t="str">
        <f t="shared" si="5"/>
        <v>50</v>
      </c>
      <c r="S95" s="1">
        <f>경동전체1!B95</f>
        <v>0</v>
      </c>
      <c r="T95" s="1" t="str">
        <f t="shared" si="6"/>
        <v>100</v>
      </c>
      <c r="U95" s="5" t="str">
        <f t="shared" si="7"/>
        <v>0</v>
      </c>
      <c r="V95" s="26">
        <v>0</v>
      </c>
      <c r="W95" s="26">
        <v>0</v>
      </c>
      <c r="X95" s="2" t="str">
        <f>SUBSTITUTE(SUBSTITUTE(SUBSTITUTE(SUBSTITUTE(SUBSTITUTE(SUBSTITUTE(SUBSTITUTE(SUBSTITUTE(SUBSTITUTE(SUBSTITUTE(SUBSTITUTE(SUBSTITUTE(SUBSTITUTE(경동전체1!D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6" spans="1:24" ht="23.25" customHeight="1" x14ac:dyDescent="0.3">
      <c r="A96" s="2">
        <f>경동전체1!A96</f>
        <v>0</v>
      </c>
      <c r="B96" s="13" t="str">
        <f>SUBSTITUTE(SUBSTITUTE(SUBSTITUTE(SUBSTITUTE(SUBSTITUTE(SUBSTITUTE(SUBSTITUTE(SUBSTITUTE(SUBSTITUTE(SUBSTITUTE(SUBSTITUTE(SUBSTITUTE(SUBSTITUTE(경동전체1!K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6" s="30">
        <f>경동전체1!E96</f>
        <v>0</v>
      </c>
      <c r="D96" s="23"/>
      <c r="E96" s="23"/>
      <c r="F96" s="4">
        <f>경동전체1!J96</f>
        <v>0</v>
      </c>
      <c r="G96" s="23"/>
      <c r="H96" s="2">
        <f>경동전체1!H96</f>
        <v>0</v>
      </c>
      <c r="I96" s="2" t="str">
        <f>경동전체1!I96&amp;""</f>
        <v/>
      </c>
      <c r="J96" s="2" t="s">
        <v>36</v>
      </c>
      <c r="K96" s="2" t="str">
        <f>IF(LEFT(경동전체1!G96,1)="","따사룸",경동전체1!G96)</f>
        <v>따사룸</v>
      </c>
      <c r="L96" s="4" t="str">
        <f t="shared" si="4"/>
        <v>1</v>
      </c>
      <c r="M96" s="1" t="str">
        <f>IF(LEFT(경동전체1!D96,1)="2","비닐",IF(LEFT(경동전체1!O96,1)="박","박스","비닐"))</f>
        <v>비닐</v>
      </c>
      <c r="N96" s="25">
        <v>1</v>
      </c>
      <c r="O96" s="25">
        <v>1</v>
      </c>
      <c r="P96" s="25">
        <v>1</v>
      </c>
      <c r="Q96" s="25">
        <v>1</v>
      </c>
      <c r="R96" s="1" t="str">
        <f t="shared" si="5"/>
        <v>50</v>
      </c>
      <c r="S96" s="1">
        <f>경동전체1!B96</f>
        <v>0</v>
      </c>
      <c r="T96" s="1" t="str">
        <f t="shared" si="6"/>
        <v>100</v>
      </c>
      <c r="U96" s="5" t="str">
        <f t="shared" si="7"/>
        <v>0</v>
      </c>
      <c r="V96" s="26">
        <v>0</v>
      </c>
      <c r="W96" s="26">
        <v>0</v>
      </c>
      <c r="X96" s="2" t="str">
        <f>SUBSTITUTE(SUBSTITUTE(SUBSTITUTE(SUBSTITUTE(SUBSTITUTE(SUBSTITUTE(SUBSTITUTE(SUBSTITUTE(SUBSTITUTE(SUBSTITUTE(SUBSTITUTE(SUBSTITUTE(SUBSTITUTE(경동전체1!D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7" spans="1:24" ht="23.25" customHeight="1" x14ac:dyDescent="0.3">
      <c r="A97" s="2">
        <f>경동전체1!A97</f>
        <v>0</v>
      </c>
      <c r="B97" s="13" t="str">
        <f>SUBSTITUTE(SUBSTITUTE(SUBSTITUTE(SUBSTITUTE(SUBSTITUTE(SUBSTITUTE(SUBSTITUTE(SUBSTITUTE(SUBSTITUTE(SUBSTITUTE(SUBSTITUTE(SUBSTITUTE(SUBSTITUTE(경동전체1!K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7" s="30">
        <f>경동전체1!E97</f>
        <v>0</v>
      </c>
      <c r="D97" s="23"/>
      <c r="E97" s="23"/>
      <c r="F97" s="4">
        <f>경동전체1!J97</f>
        <v>0</v>
      </c>
      <c r="G97" s="23"/>
      <c r="H97" s="2">
        <f>경동전체1!H97</f>
        <v>0</v>
      </c>
      <c r="I97" s="2" t="str">
        <f>경동전체1!I97&amp;""</f>
        <v/>
      </c>
      <c r="J97" s="2" t="s">
        <v>36</v>
      </c>
      <c r="K97" s="2" t="str">
        <f>IF(LEFT(경동전체1!G97,1)="","따사룸",경동전체1!G97)</f>
        <v>따사룸</v>
      </c>
      <c r="L97" s="4" t="str">
        <f t="shared" si="4"/>
        <v>1</v>
      </c>
      <c r="M97" s="1" t="str">
        <f>IF(LEFT(경동전체1!D97,1)="2","비닐",IF(LEFT(경동전체1!O97,1)="박","박스","비닐"))</f>
        <v>비닐</v>
      </c>
      <c r="N97" s="25">
        <v>1</v>
      </c>
      <c r="O97" s="25">
        <v>1</v>
      </c>
      <c r="P97" s="25">
        <v>1</v>
      </c>
      <c r="Q97" s="25">
        <v>1</v>
      </c>
      <c r="R97" s="1" t="str">
        <f t="shared" si="5"/>
        <v>50</v>
      </c>
      <c r="S97" s="1">
        <f>경동전체1!B97</f>
        <v>0</v>
      </c>
      <c r="T97" s="1" t="str">
        <f t="shared" si="6"/>
        <v>100</v>
      </c>
      <c r="U97" s="5" t="str">
        <f t="shared" si="7"/>
        <v>0</v>
      </c>
      <c r="V97" s="26">
        <v>0</v>
      </c>
      <c r="W97" s="26">
        <v>0</v>
      </c>
      <c r="X97" s="2" t="str">
        <f>SUBSTITUTE(SUBSTITUTE(SUBSTITUTE(SUBSTITUTE(SUBSTITUTE(SUBSTITUTE(SUBSTITUTE(SUBSTITUTE(SUBSTITUTE(SUBSTITUTE(SUBSTITUTE(SUBSTITUTE(SUBSTITUTE(경동전체1!D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8" spans="1:24" ht="23.25" customHeight="1" x14ac:dyDescent="0.3">
      <c r="A98" s="2">
        <f>경동전체1!A98</f>
        <v>0</v>
      </c>
      <c r="B98" s="13" t="str">
        <f>SUBSTITUTE(SUBSTITUTE(SUBSTITUTE(SUBSTITUTE(SUBSTITUTE(SUBSTITUTE(SUBSTITUTE(SUBSTITUTE(SUBSTITUTE(SUBSTITUTE(SUBSTITUTE(SUBSTITUTE(SUBSTITUTE(경동전체1!K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8" s="30">
        <f>경동전체1!E98</f>
        <v>0</v>
      </c>
      <c r="D98" s="23"/>
      <c r="E98" s="23"/>
      <c r="F98" s="4">
        <f>경동전체1!J98</f>
        <v>0</v>
      </c>
      <c r="G98" s="23"/>
      <c r="H98" s="2">
        <f>경동전체1!H98</f>
        <v>0</v>
      </c>
      <c r="I98" s="2" t="str">
        <f>경동전체1!I98&amp;""</f>
        <v/>
      </c>
      <c r="J98" s="2" t="s">
        <v>36</v>
      </c>
      <c r="K98" s="2" t="str">
        <f>IF(LEFT(경동전체1!G98,1)="","따사룸",경동전체1!G98)</f>
        <v>따사룸</v>
      </c>
      <c r="L98" s="4" t="str">
        <f t="shared" si="4"/>
        <v>1</v>
      </c>
      <c r="M98" s="1" t="str">
        <f>IF(LEFT(경동전체1!D98,1)="2","비닐",IF(LEFT(경동전체1!O98,1)="박","박스","비닐"))</f>
        <v>비닐</v>
      </c>
      <c r="N98" s="25">
        <v>1</v>
      </c>
      <c r="O98" s="25">
        <v>1</v>
      </c>
      <c r="P98" s="25">
        <v>1</v>
      </c>
      <c r="Q98" s="25">
        <v>1</v>
      </c>
      <c r="R98" s="1" t="str">
        <f t="shared" si="5"/>
        <v>50</v>
      </c>
      <c r="S98" s="1">
        <f>경동전체1!B98</f>
        <v>0</v>
      </c>
      <c r="T98" s="1" t="str">
        <f t="shared" si="6"/>
        <v>100</v>
      </c>
      <c r="U98" s="5" t="str">
        <f t="shared" si="7"/>
        <v>0</v>
      </c>
      <c r="V98" s="26">
        <v>0</v>
      </c>
      <c r="W98" s="26">
        <v>0</v>
      </c>
      <c r="X98" s="2" t="str">
        <f>SUBSTITUTE(SUBSTITUTE(SUBSTITUTE(SUBSTITUTE(SUBSTITUTE(SUBSTITUTE(SUBSTITUTE(SUBSTITUTE(SUBSTITUTE(SUBSTITUTE(SUBSTITUTE(SUBSTITUTE(SUBSTITUTE(경동전체1!D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9" spans="1:24" ht="23.25" customHeight="1" x14ac:dyDescent="0.3">
      <c r="A99" s="2">
        <f>경동전체1!A99</f>
        <v>0</v>
      </c>
      <c r="B99" s="13" t="str">
        <f>SUBSTITUTE(SUBSTITUTE(SUBSTITUTE(SUBSTITUTE(SUBSTITUTE(SUBSTITUTE(SUBSTITUTE(SUBSTITUTE(SUBSTITUTE(SUBSTITUTE(SUBSTITUTE(SUBSTITUTE(SUBSTITUTE(경동전체1!K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9" s="30">
        <f>경동전체1!E99</f>
        <v>0</v>
      </c>
      <c r="D99" s="23"/>
      <c r="E99" s="23"/>
      <c r="F99" s="4">
        <f>경동전체1!J99</f>
        <v>0</v>
      </c>
      <c r="G99" s="23"/>
      <c r="H99" s="2">
        <f>경동전체1!H99</f>
        <v>0</v>
      </c>
      <c r="I99" s="2" t="str">
        <f>경동전체1!I99&amp;""</f>
        <v/>
      </c>
      <c r="J99" s="2" t="s">
        <v>36</v>
      </c>
      <c r="K99" s="2" t="str">
        <f>IF(LEFT(경동전체1!G99,1)="","따사룸",경동전체1!G99)</f>
        <v>따사룸</v>
      </c>
      <c r="L99" s="4" t="str">
        <f t="shared" si="4"/>
        <v>1</v>
      </c>
      <c r="M99" s="1" t="str">
        <f>IF(LEFT(경동전체1!D99,1)="2","비닐",IF(LEFT(경동전체1!O99,1)="박","박스","비닐"))</f>
        <v>비닐</v>
      </c>
      <c r="N99" s="25">
        <v>1</v>
      </c>
      <c r="O99" s="25">
        <v>1</v>
      </c>
      <c r="P99" s="25">
        <v>1</v>
      </c>
      <c r="Q99" s="25">
        <v>1</v>
      </c>
      <c r="R99" s="1" t="str">
        <f t="shared" si="5"/>
        <v>50</v>
      </c>
      <c r="S99" s="1">
        <f>경동전체1!B99</f>
        <v>0</v>
      </c>
      <c r="T99" s="1" t="str">
        <f t="shared" si="6"/>
        <v>100</v>
      </c>
      <c r="U99" s="5" t="str">
        <f t="shared" si="7"/>
        <v>0</v>
      </c>
      <c r="V99" s="26">
        <v>0</v>
      </c>
      <c r="W99" s="26">
        <v>0</v>
      </c>
      <c r="X99" s="2" t="str">
        <f>SUBSTITUTE(SUBSTITUTE(SUBSTITUTE(SUBSTITUTE(SUBSTITUTE(SUBSTITUTE(SUBSTITUTE(SUBSTITUTE(SUBSTITUTE(SUBSTITUTE(SUBSTITUTE(SUBSTITUTE(SUBSTITUTE(경동전체1!D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0" spans="1:24" ht="23.25" customHeight="1" x14ac:dyDescent="0.3">
      <c r="A100" s="2">
        <f>경동전체1!A100</f>
        <v>0</v>
      </c>
      <c r="B100" s="13" t="str">
        <f>SUBSTITUTE(SUBSTITUTE(SUBSTITUTE(SUBSTITUTE(SUBSTITUTE(SUBSTITUTE(SUBSTITUTE(SUBSTITUTE(SUBSTITUTE(SUBSTITUTE(SUBSTITUTE(SUBSTITUTE(SUBSTITUTE(경동전체1!K100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0" s="30">
        <f>경동전체1!E100</f>
        <v>0</v>
      </c>
      <c r="D100" s="23"/>
      <c r="E100" s="23"/>
      <c r="F100" s="4">
        <f>경동전체1!J100</f>
        <v>0</v>
      </c>
      <c r="G100" s="23"/>
      <c r="H100" s="2">
        <f>경동전체1!H100</f>
        <v>0</v>
      </c>
      <c r="I100" s="2" t="str">
        <f>경동전체1!I100&amp;""</f>
        <v/>
      </c>
      <c r="J100" s="2" t="s">
        <v>36</v>
      </c>
      <c r="K100" s="2" t="str">
        <f>IF(LEFT(경동전체1!G100,1)="","따사룸",경동전체1!G100)</f>
        <v>따사룸</v>
      </c>
      <c r="L100" s="4" t="str">
        <f t="shared" si="4"/>
        <v>1</v>
      </c>
      <c r="M100" s="1" t="str">
        <f>IF(LEFT(경동전체1!D100,1)="2","비닐",IF(LEFT(경동전체1!O100,1)="박","박스","비닐"))</f>
        <v>비닐</v>
      </c>
      <c r="N100" s="25">
        <v>1</v>
      </c>
      <c r="O100" s="25">
        <v>1</v>
      </c>
      <c r="P100" s="25">
        <v>1</v>
      </c>
      <c r="Q100" s="25">
        <v>1</v>
      </c>
      <c r="R100" s="1" t="str">
        <f t="shared" si="5"/>
        <v>50</v>
      </c>
      <c r="S100" s="1">
        <f>경동전체1!B100</f>
        <v>0</v>
      </c>
      <c r="T100" s="1" t="str">
        <f t="shared" si="6"/>
        <v>100</v>
      </c>
      <c r="U100" s="5" t="str">
        <f t="shared" si="7"/>
        <v>0</v>
      </c>
      <c r="V100" s="26">
        <v>0</v>
      </c>
      <c r="W100" s="26">
        <v>0</v>
      </c>
      <c r="X100" s="2" t="str">
        <f>SUBSTITUTE(SUBSTITUTE(SUBSTITUTE(SUBSTITUTE(SUBSTITUTE(SUBSTITUTE(SUBSTITUTE(SUBSTITUTE(SUBSTITUTE(SUBSTITUTE(SUBSTITUTE(SUBSTITUTE(SUBSTITUTE(경동전체1!D100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1" spans="1:24" ht="23.25" customHeight="1" x14ac:dyDescent="0.3">
      <c r="A101" s="2">
        <f>경동전체1!A101</f>
        <v>0</v>
      </c>
      <c r="B101" s="13" t="str">
        <f>SUBSTITUTE(SUBSTITUTE(SUBSTITUTE(SUBSTITUTE(SUBSTITUTE(SUBSTITUTE(SUBSTITUTE(SUBSTITUTE(SUBSTITUTE(SUBSTITUTE(SUBSTITUTE(SUBSTITUTE(SUBSTITUTE(경동전체1!K101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1" s="30">
        <f>경동전체1!E101</f>
        <v>0</v>
      </c>
      <c r="D101" s="23"/>
      <c r="E101" s="23"/>
      <c r="F101" s="4">
        <f>경동전체1!J101</f>
        <v>0</v>
      </c>
      <c r="G101" s="23"/>
      <c r="H101" s="2">
        <f>경동전체1!H101</f>
        <v>0</v>
      </c>
      <c r="I101" s="2" t="str">
        <f>경동전체1!I101&amp;""</f>
        <v/>
      </c>
      <c r="J101" s="2" t="s">
        <v>36</v>
      </c>
      <c r="K101" s="2" t="str">
        <f>IF(LEFT(경동전체1!G101,1)="","따사룸",경동전체1!G101)</f>
        <v>따사룸</v>
      </c>
      <c r="L101" s="4" t="str">
        <f t="shared" si="4"/>
        <v>1</v>
      </c>
      <c r="M101" s="1" t="str">
        <f>IF(LEFT(경동전체1!D101,1)="2","비닐",IF(LEFT(경동전체1!O101,1)="박","박스","비닐"))</f>
        <v>비닐</v>
      </c>
      <c r="N101" s="25">
        <v>1</v>
      </c>
      <c r="O101" s="25">
        <v>1</v>
      </c>
      <c r="P101" s="25">
        <v>1</v>
      </c>
      <c r="Q101" s="25">
        <v>1</v>
      </c>
      <c r="R101" s="1" t="str">
        <f t="shared" si="5"/>
        <v>50</v>
      </c>
      <c r="S101" s="1">
        <f>경동전체1!B101</f>
        <v>0</v>
      </c>
      <c r="T101" s="1" t="str">
        <f t="shared" si="6"/>
        <v>100</v>
      </c>
      <c r="U101" s="5" t="str">
        <f t="shared" si="7"/>
        <v>0</v>
      </c>
      <c r="V101" s="26">
        <v>0</v>
      </c>
      <c r="W101" s="26">
        <v>0</v>
      </c>
      <c r="X101" s="2" t="str">
        <f>SUBSTITUTE(SUBSTITUTE(SUBSTITUTE(SUBSTITUTE(SUBSTITUTE(SUBSTITUTE(SUBSTITUTE(SUBSTITUTE(SUBSTITUTE(SUBSTITUTE(SUBSTITUTE(SUBSTITUTE(SUBSTITUTE(경동전체1!D101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2" spans="1:24" ht="23.25" customHeight="1" x14ac:dyDescent="0.3">
      <c r="A102" s="2">
        <f>경동전체1!A102</f>
        <v>0</v>
      </c>
      <c r="B102" s="13" t="str">
        <f>SUBSTITUTE(SUBSTITUTE(SUBSTITUTE(SUBSTITUTE(SUBSTITUTE(SUBSTITUTE(SUBSTITUTE(SUBSTITUTE(SUBSTITUTE(SUBSTITUTE(SUBSTITUTE(SUBSTITUTE(SUBSTITUTE(경동전체1!K102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2" s="30">
        <f>경동전체1!E102</f>
        <v>0</v>
      </c>
      <c r="D102" s="23"/>
      <c r="E102" s="23"/>
      <c r="F102" s="4">
        <f>경동전체1!J102</f>
        <v>0</v>
      </c>
      <c r="G102" s="23"/>
      <c r="H102" s="2">
        <f>경동전체1!H102</f>
        <v>0</v>
      </c>
      <c r="I102" s="2" t="str">
        <f>경동전체1!I102&amp;""</f>
        <v/>
      </c>
      <c r="J102" s="2" t="s">
        <v>36</v>
      </c>
      <c r="K102" s="2" t="str">
        <f>IF(LEFT(경동전체1!G102,1)="","따사룸",경동전체1!G102)</f>
        <v>따사룸</v>
      </c>
      <c r="L102" s="4" t="str">
        <f t="shared" si="4"/>
        <v>1</v>
      </c>
      <c r="M102" s="1" t="str">
        <f>IF(LEFT(경동전체1!D102,1)="2","비닐",IF(LEFT(경동전체1!O102,1)="박","박스","비닐"))</f>
        <v>비닐</v>
      </c>
      <c r="N102" s="25">
        <v>1</v>
      </c>
      <c r="O102" s="25">
        <v>1</v>
      </c>
      <c r="P102" s="25">
        <v>1</v>
      </c>
      <c r="Q102" s="25">
        <v>1</v>
      </c>
      <c r="R102" s="1" t="str">
        <f t="shared" si="5"/>
        <v>50</v>
      </c>
      <c r="S102" s="1">
        <f>경동전체1!B102</f>
        <v>0</v>
      </c>
      <c r="T102" s="1" t="str">
        <f t="shared" si="6"/>
        <v>100</v>
      </c>
      <c r="U102" s="5" t="str">
        <f t="shared" si="7"/>
        <v>0</v>
      </c>
      <c r="V102" s="26">
        <v>0</v>
      </c>
      <c r="W102" s="26">
        <v>0</v>
      </c>
      <c r="X102" s="2" t="str">
        <f>SUBSTITUTE(SUBSTITUTE(SUBSTITUTE(SUBSTITUTE(SUBSTITUTE(SUBSTITUTE(SUBSTITUTE(SUBSTITUTE(SUBSTITUTE(SUBSTITUTE(SUBSTITUTE(SUBSTITUTE(SUBSTITUTE(경동전체1!D102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3" spans="1:24" ht="23.25" customHeight="1" x14ac:dyDescent="0.3">
      <c r="A103" s="2">
        <f>경동전체1!A103</f>
        <v>0</v>
      </c>
      <c r="B103" s="13" t="str">
        <f>SUBSTITUTE(SUBSTITUTE(SUBSTITUTE(SUBSTITUTE(SUBSTITUTE(SUBSTITUTE(SUBSTITUTE(SUBSTITUTE(SUBSTITUTE(SUBSTITUTE(SUBSTITUTE(SUBSTITUTE(SUBSTITUTE(경동전체1!K103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3" s="30">
        <f>경동전체1!E103</f>
        <v>0</v>
      </c>
      <c r="D103" s="23"/>
      <c r="E103" s="23"/>
      <c r="F103" s="4">
        <f>경동전체1!J103</f>
        <v>0</v>
      </c>
      <c r="G103" s="23"/>
      <c r="H103" s="2">
        <f>경동전체1!H103</f>
        <v>0</v>
      </c>
      <c r="I103" s="2" t="str">
        <f>경동전체1!I103&amp;""</f>
        <v/>
      </c>
      <c r="J103" s="2" t="s">
        <v>36</v>
      </c>
      <c r="K103" s="2" t="str">
        <f>IF(LEFT(경동전체1!G103,1)="","따사룸",경동전체1!G103)</f>
        <v>따사룸</v>
      </c>
      <c r="L103" s="4" t="str">
        <f t="shared" si="4"/>
        <v>1</v>
      </c>
      <c r="M103" s="1" t="str">
        <f>IF(LEFT(경동전체1!D103,1)="2","비닐",IF(LEFT(경동전체1!O103,1)="박","박스","비닐"))</f>
        <v>비닐</v>
      </c>
      <c r="N103" s="25">
        <v>1</v>
      </c>
      <c r="O103" s="25">
        <v>1</v>
      </c>
      <c r="P103" s="25">
        <v>1</v>
      </c>
      <c r="Q103" s="25">
        <v>1</v>
      </c>
      <c r="R103" s="1" t="str">
        <f t="shared" si="5"/>
        <v>50</v>
      </c>
      <c r="S103" s="1">
        <f>경동전체1!B103</f>
        <v>0</v>
      </c>
      <c r="T103" s="1" t="str">
        <f t="shared" si="6"/>
        <v>100</v>
      </c>
      <c r="U103" s="5" t="str">
        <f t="shared" si="7"/>
        <v>0</v>
      </c>
      <c r="V103" s="26">
        <v>0</v>
      </c>
      <c r="W103" s="26">
        <v>0</v>
      </c>
      <c r="X103" s="2" t="str">
        <f>SUBSTITUTE(SUBSTITUTE(SUBSTITUTE(SUBSTITUTE(SUBSTITUTE(SUBSTITUTE(SUBSTITUTE(SUBSTITUTE(SUBSTITUTE(SUBSTITUTE(SUBSTITUTE(SUBSTITUTE(SUBSTITUTE(경동전체1!D103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4" spans="1:24" ht="23.25" customHeight="1" x14ac:dyDescent="0.3">
      <c r="A104" s="2">
        <f>경동전체1!A104</f>
        <v>0</v>
      </c>
      <c r="B104" s="13" t="str">
        <f>SUBSTITUTE(SUBSTITUTE(SUBSTITUTE(SUBSTITUTE(SUBSTITUTE(SUBSTITUTE(SUBSTITUTE(SUBSTITUTE(SUBSTITUTE(SUBSTITUTE(SUBSTITUTE(SUBSTITUTE(SUBSTITUTE(경동전체1!K104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4" s="30">
        <f>경동전체1!E104</f>
        <v>0</v>
      </c>
      <c r="D104" s="23"/>
      <c r="E104" s="23"/>
      <c r="F104" s="4">
        <f>경동전체1!J104</f>
        <v>0</v>
      </c>
      <c r="G104" s="23"/>
      <c r="H104" s="2">
        <f>경동전체1!H104</f>
        <v>0</v>
      </c>
      <c r="I104" s="2" t="str">
        <f>경동전체1!I104&amp;""</f>
        <v/>
      </c>
      <c r="J104" s="2" t="s">
        <v>36</v>
      </c>
      <c r="K104" s="2" t="str">
        <f>IF(LEFT(경동전체1!G104,1)="","따사룸",경동전체1!G104)</f>
        <v>따사룸</v>
      </c>
      <c r="L104" s="4" t="str">
        <f t="shared" si="4"/>
        <v>1</v>
      </c>
      <c r="M104" s="1" t="str">
        <f>IF(LEFT(경동전체1!D104,1)="2","비닐",IF(LEFT(경동전체1!O104,1)="박","박스","비닐"))</f>
        <v>비닐</v>
      </c>
      <c r="N104" s="25">
        <v>1</v>
      </c>
      <c r="O104" s="25">
        <v>1</v>
      </c>
      <c r="P104" s="25">
        <v>1</v>
      </c>
      <c r="Q104" s="25">
        <v>1</v>
      </c>
      <c r="R104" s="1" t="str">
        <f t="shared" si="5"/>
        <v>50</v>
      </c>
      <c r="S104" s="1">
        <f>경동전체1!B104</f>
        <v>0</v>
      </c>
      <c r="T104" s="1" t="str">
        <f t="shared" si="6"/>
        <v>100</v>
      </c>
      <c r="U104" s="5" t="str">
        <f t="shared" si="7"/>
        <v>0</v>
      </c>
      <c r="V104" s="26">
        <v>0</v>
      </c>
      <c r="W104" s="26">
        <v>0</v>
      </c>
      <c r="X104" s="2" t="str">
        <f>SUBSTITUTE(SUBSTITUTE(SUBSTITUTE(SUBSTITUTE(SUBSTITUTE(SUBSTITUTE(SUBSTITUTE(SUBSTITUTE(SUBSTITUTE(SUBSTITUTE(SUBSTITUTE(SUBSTITUTE(SUBSTITUTE(경동전체1!D104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5" spans="1:24" ht="23.25" customHeight="1" x14ac:dyDescent="0.3">
      <c r="A105" s="2">
        <f>경동전체1!A105</f>
        <v>0</v>
      </c>
      <c r="B105" s="13" t="str">
        <f>SUBSTITUTE(SUBSTITUTE(SUBSTITUTE(SUBSTITUTE(SUBSTITUTE(SUBSTITUTE(SUBSTITUTE(SUBSTITUTE(SUBSTITUTE(SUBSTITUTE(SUBSTITUTE(SUBSTITUTE(SUBSTITUTE(경동전체1!K105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5" s="30">
        <f>경동전체1!E105</f>
        <v>0</v>
      </c>
      <c r="D105" s="23"/>
      <c r="E105" s="23"/>
      <c r="F105" s="4">
        <f>경동전체1!J105</f>
        <v>0</v>
      </c>
      <c r="G105" s="23"/>
      <c r="H105" s="2">
        <f>경동전체1!H105</f>
        <v>0</v>
      </c>
      <c r="I105" s="2" t="str">
        <f>경동전체1!I105&amp;""</f>
        <v/>
      </c>
      <c r="J105" s="2" t="s">
        <v>36</v>
      </c>
      <c r="K105" s="2" t="str">
        <f>IF(LEFT(경동전체1!G105,1)="","따사룸",경동전체1!G105)</f>
        <v>따사룸</v>
      </c>
      <c r="L105" s="4" t="str">
        <f t="shared" si="4"/>
        <v>1</v>
      </c>
      <c r="M105" s="1" t="str">
        <f>IF(LEFT(경동전체1!D105,1)="2","비닐",IF(LEFT(경동전체1!O105,1)="박","박스","비닐"))</f>
        <v>비닐</v>
      </c>
      <c r="N105" s="25">
        <v>1</v>
      </c>
      <c r="O105" s="25">
        <v>1</v>
      </c>
      <c r="P105" s="25">
        <v>1</v>
      </c>
      <c r="Q105" s="25">
        <v>1</v>
      </c>
      <c r="R105" s="1" t="str">
        <f t="shared" si="5"/>
        <v>50</v>
      </c>
      <c r="S105" s="1">
        <f>경동전체1!B105</f>
        <v>0</v>
      </c>
      <c r="T105" s="1" t="str">
        <f t="shared" si="6"/>
        <v>100</v>
      </c>
      <c r="U105" s="5" t="str">
        <f t="shared" si="7"/>
        <v>0</v>
      </c>
      <c r="V105" s="26">
        <v>0</v>
      </c>
      <c r="W105" s="26">
        <v>0</v>
      </c>
      <c r="X105" s="2" t="str">
        <f>SUBSTITUTE(SUBSTITUTE(SUBSTITUTE(SUBSTITUTE(SUBSTITUTE(SUBSTITUTE(SUBSTITUTE(SUBSTITUTE(SUBSTITUTE(SUBSTITUTE(SUBSTITUTE(SUBSTITUTE(SUBSTITUTE(경동전체1!D105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6" spans="1:24" ht="23.25" customHeight="1" x14ac:dyDescent="0.3">
      <c r="A106" s="2">
        <f>경동전체1!A106</f>
        <v>0</v>
      </c>
      <c r="B106" s="13" t="str">
        <f>SUBSTITUTE(SUBSTITUTE(SUBSTITUTE(SUBSTITUTE(SUBSTITUTE(SUBSTITUTE(SUBSTITUTE(SUBSTITUTE(SUBSTITUTE(SUBSTITUTE(SUBSTITUTE(SUBSTITUTE(SUBSTITUTE(경동전체1!K106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6" s="30">
        <f>경동전체1!E106</f>
        <v>0</v>
      </c>
      <c r="D106" s="23"/>
      <c r="E106" s="23"/>
      <c r="F106" s="4">
        <f>경동전체1!J106</f>
        <v>0</v>
      </c>
      <c r="G106" s="23"/>
      <c r="H106" s="2">
        <f>경동전체1!H106</f>
        <v>0</v>
      </c>
      <c r="I106" s="2" t="str">
        <f>경동전체1!I106&amp;""</f>
        <v/>
      </c>
      <c r="J106" s="2" t="s">
        <v>36</v>
      </c>
      <c r="K106" s="2" t="str">
        <f>IF(LEFT(경동전체1!G106,1)="","따사룸",경동전체1!G106)</f>
        <v>따사룸</v>
      </c>
      <c r="L106" s="4" t="str">
        <f t="shared" si="4"/>
        <v>1</v>
      </c>
      <c r="M106" s="1" t="str">
        <f>IF(LEFT(경동전체1!D106,1)="2","비닐",IF(LEFT(경동전체1!O106,1)="박","박스","비닐"))</f>
        <v>비닐</v>
      </c>
      <c r="N106" s="25">
        <v>1</v>
      </c>
      <c r="O106" s="25">
        <v>1</v>
      </c>
      <c r="P106" s="25">
        <v>1</v>
      </c>
      <c r="Q106" s="25">
        <v>1</v>
      </c>
      <c r="R106" s="1" t="str">
        <f t="shared" si="5"/>
        <v>50</v>
      </c>
      <c r="S106" s="1">
        <f>경동전체1!B106</f>
        <v>0</v>
      </c>
      <c r="T106" s="1" t="str">
        <f t="shared" si="6"/>
        <v>100</v>
      </c>
      <c r="U106" s="5" t="str">
        <f t="shared" si="7"/>
        <v>0</v>
      </c>
      <c r="V106" s="26">
        <v>0</v>
      </c>
      <c r="W106" s="26">
        <v>0</v>
      </c>
      <c r="X106" s="2" t="str">
        <f>SUBSTITUTE(SUBSTITUTE(SUBSTITUTE(SUBSTITUTE(SUBSTITUTE(SUBSTITUTE(SUBSTITUTE(SUBSTITUTE(SUBSTITUTE(SUBSTITUTE(SUBSTITUTE(SUBSTITUTE(SUBSTITUTE(경동전체1!D106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7" spans="1:24" ht="23.25" customHeight="1" x14ac:dyDescent="0.3">
      <c r="A107" s="2">
        <f>경동전체1!A107</f>
        <v>0</v>
      </c>
      <c r="B107" s="13" t="str">
        <f>SUBSTITUTE(SUBSTITUTE(SUBSTITUTE(SUBSTITUTE(SUBSTITUTE(SUBSTITUTE(SUBSTITUTE(SUBSTITUTE(SUBSTITUTE(SUBSTITUTE(SUBSTITUTE(SUBSTITUTE(SUBSTITUTE(경동전체1!K107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7" s="30">
        <f>경동전체1!E107</f>
        <v>0</v>
      </c>
      <c r="D107" s="23"/>
      <c r="E107" s="23"/>
      <c r="F107" s="4">
        <f>경동전체1!J107</f>
        <v>0</v>
      </c>
      <c r="G107" s="23"/>
      <c r="H107" s="2">
        <f>경동전체1!H107</f>
        <v>0</v>
      </c>
      <c r="I107" s="2" t="str">
        <f>경동전체1!I107&amp;""</f>
        <v/>
      </c>
      <c r="J107" s="2" t="s">
        <v>36</v>
      </c>
      <c r="K107" s="2" t="str">
        <f>IF(LEFT(경동전체1!G107,1)="","따사룸",경동전체1!G107)</f>
        <v>따사룸</v>
      </c>
      <c r="L107" s="4" t="str">
        <f t="shared" si="4"/>
        <v>1</v>
      </c>
      <c r="M107" s="1" t="str">
        <f>IF(LEFT(경동전체1!D107,1)="2","비닐",IF(LEFT(경동전체1!O107,1)="박","박스","비닐"))</f>
        <v>비닐</v>
      </c>
      <c r="N107" s="25">
        <v>1</v>
      </c>
      <c r="O107" s="25">
        <v>1</v>
      </c>
      <c r="P107" s="25">
        <v>1</v>
      </c>
      <c r="Q107" s="25">
        <v>1</v>
      </c>
      <c r="R107" s="1" t="str">
        <f t="shared" si="5"/>
        <v>50</v>
      </c>
      <c r="S107" s="1">
        <f>경동전체1!B107</f>
        <v>0</v>
      </c>
      <c r="T107" s="1" t="str">
        <f t="shared" si="6"/>
        <v>100</v>
      </c>
      <c r="U107" s="5" t="str">
        <f t="shared" si="7"/>
        <v>0</v>
      </c>
      <c r="V107" s="26">
        <v>0</v>
      </c>
      <c r="W107" s="26">
        <v>0</v>
      </c>
      <c r="X107" s="2" t="str">
        <f>SUBSTITUTE(SUBSTITUTE(SUBSTITUTE(SUBSTITUTE(SUBSTITUTE(SUBSTITUTE(SUBSTITUTE(SUBSTITUTE(SUBSTITUTE(SUBSTITUTE(SUBSTITUTE(SUBSTITUTE(SUBSTITUTE(경동전체1!D107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8" spans="1:24" ht="23.25" customHeight="1" x14ac:dyDescent="0.3">
      <c r="A108" s="2">
        <f>경동전체1!A108</f>
        <v>0</v>
      </c>
      <c r="B108" s="13" t="str">
        <f>SUBSTITUTE(SUBSTITUTE(SUBSTITUTE(SUBSTITUTE(SUBSTITUTE(SUBSTITUTE(SUBSTITUTE(SUBSTITUTE(SUBSTITUTE(SUBSTITUTE(SUBSTITUTE(SUBSTITUTE(SUBSTITUTE(경동전체1!K108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8" s="30">
        <f>경동전체1!E108</f>
        <v>0</v>
      </c>
      <c r="D108" s="23"/>
      <c r="E108" s="23"/>
      <c r="F108" s="4">
        <f>경동전체1!J108</f>
        <v>0</v>
      </c>
      <c r="G108" s="23"/>
      <c r="H108" s="2">
        <f>경동전체1!H108</f>
        <v>0</v>
      </c>
      <c r="I108" s="2" t="str">
        <f>경동전체1!I108&amp;""</f>
        <v/>
      </c>
      <c r="J108" s="2" t="s">
        <v>36</v>
      </c>
      <c r="K108" s="2" t="str">
        <f>IF(LEFT(경동전체1!G108,1)="","따사룸",경동전체1!G108)</f>
        <v>따사룸</v>
      </c>
      <c r="L108" s="4" t="str">
        <f t="shared" si="4"/>
        <v>1</v>
      </c>
      <c r="M108" s="1" t="str">
        <f>IF(LEFT(경동전체1!D108,1)="2","비닐",IF(LEFT(경동전체1!O108,1)="박","박스","비닐"))</f>
        <v>비닐</v>
      </c>
      <c r="N108" s="25">
        <v>1</v>
      </c>
      <c r="O108" s="25">
        <v>1</v>
      </c>
      <c r="P108" s="25">
        <v>1</v>
      </c>
      <c r="Q108" s="25">
        <v>1</v>
      </c>
      <c r="R108" s="1" t="str">
        <f t="shared" si="5"/>
        <v>50</v>
      </c>
      <c r="S108" s="1">
        <f>경동전체1!B108</f>
        <v>0</v>
      </c>
      <c r="T108" s="1" t="str">
        <f t="shared" si="6"/>
        <v>100</v>
      </c>
      <c r="U108" s="5" t="str">
        <f t="shared" si="7"/>
        <v>0</v>
      </c>
      <c r="V108" s="26">
        <v>0</v>
      </c>
      <c r="W108" s="26">
        <v>0</v>
      </c>
      <c r="X108" s="2" t="str">
        <f>SUBSTITUTE(SUBSTITUTE(SUBSTITUTE(SUBSTITUTE(SUBSTITUTE(SUBSTITUTE(SUBSTITUTE(SUBSTITUTE(SUBSTITUTE(SUBSTITUTE(SUBSTITUTE(SUBSTITUTE(SUBSTITUTE(경동전체1!D108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9" spans="1:24" ht="23.25" customHeight="1" x14ac:dyDescent="0.3">
      <c r="A109" s="2">
        <f>경동전체1!A109</f>
        <v>0</v>
      </c>
      <c r="B109" s="13" t="str">
        <f>SUBSTITUTE(SUBSTITUTE(SUBSTITUTE(SUBSTITUTE(SUBSTITUTE(SUBSTITUTE(SUBSTITUTE(SUBSTITUTE(SUBSTITUTE(SUBSTITUTE(SUBSTITUTE(SUBSTITUTE(SUBSTITUTE(경동전체1!K109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9" s="30">
        <f>경동전체1!E109</f>
        <v>0</v>
      </c>
      <c r="D109" s="23"/>
      <c r="E109" s="23"/>
      <c r="F109" s="4">
        <f>경동전체1!J109</f>
        <v>0</v>
      </c>
      <c r="G109" s="23"/>
      <c r="H109" s="2">
        <f>경동전체1!H109</f>
        <v>0</v>
      </c>
      <c r="I109" s="2" t="str">
        <f>경동전체1!I109&amp;""</f>
        <v/>
      </c>
      <c r="J109" s="2" t="s">
        <v>36</v>
      </c>
      <c r="K109" s="2" t="str">
        <f>IF(LEFT(경동전체1!G109,1)="","따사룸",경동전체1!G109)</f>
        <v>따사룸</v>
      </c>
      <c r="L109" s="4" t="str">
        <f t="shared" si="4"/>
        <v>1</v>
      </c>
      <c r="M109" s="1" t="str">
        <f>IF(LEFT(경동전체1!D109,1)="2","비닐",IF(LEFT(경동전체1!O109,1)="박","박스","비닐"))</f>
        <v>비닐</v>
      </c>
      <c r="N109" s="25">
        <v>1</v>
      </c>
      <c r="O109" s="25">
        <v>1</v>
      </c>
      <c r="P109" s="25">
        <v>1</v>
      </c>
      <c r="Q109" s="25">
        <v>1</v>
      </c>
      <c r="R109" s="1" t="str">
        <f t="shared" si="5"/>
        <v>50</v>
      </c>
      <c r="S109" s="1">
        <f>경동전체1!B109</f>
        <v>0</v>
      </c>
      <c r="T109" s="1" t="str">
        <f t="shared" si="6"/>
        <v>100</v>
      </c>
      <c r="U109" s="5" t="str">
        <f t="shared" si="7"/>
        <v>0</v>
      </c>
      <c r="V109" s="26">
        <v>0</v>
      </c>
      <c r="W109" s="26">
        <v>0</v>
      </c>
      <c r="X109" s="2" t="str">
        <f>SUBSTITUTE(SUBSTITUTE(SUBSTITUTE(SUBSTITUTE(SUBSTITUTE(SUBSTITUTE(SUBSTITUTE(SUBSTITUTE(SUBSTITUTE(SUBSTITUTE(SUBSTITUTE(SUBSTITUTE(SUBSTITUTE(경동전체1!D109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0" spans="1:24" ht="23.25" customHeight="1" x14ac:dyDescent="0.3">
      <c r="A110" s="2">
        <f>경동전체1!A110</f>
        <v>0</v>
      </c>
      <c r="B110" s="13" t="str">
        <f>SUBSTITUTE(SUBSTITUTE(SUBSTITUTE(SUBSTITUTE(SUBSTITUTE(SUBSTITUTE(SUBSTITUTE(SUBSTITUTE(SUBSTITUTE(SUBSTITUTE(SUBSTITUTE(SUBSTITUTE(SUBSTITUTE(경동전체1!K110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0" s="30">
        <f>경동전체1!E110</f>
        <v>0</v>
      </c>
      <c r="D110" s="23"/>
      <c r="E110" s="23"/>
      <c r="F110" s="4">
        <f>경동전체1!J110</f>
        <v>0</v>
      </c>
      <c r="G110" s="23"/>
      <c r="H110" s="2">
        <f>경동전체1!H110</f>
        <v>0</v>
      </c>
      <c r="I110" s="2" t="str">
        <f>경동전체1!I110&amp;""</f>
        <v/>
      </c>
      <c r="J110" s="2" t="s">
        <v>36</v>
      </c>
      <c r="K110" s="2" t="str">
        <f>IF(LEFT(경동전체1!G110,1)="","따사룸",경동전체1!G110)</f>
        <v>따사룸</v>
      </c>
      <c r="L110" s="4" t="str">
        <f t="shared" si="4"/>
        <v>1</v>
      </c>
      <c r="M110" s="1" t="str">
        <f>IF(LEFT(경동전체1!D110,1)="2","비닐",IF(LEFT(경동전체1!O110,1)="박","박스","비닐"))</f>
        <v>비닐</v>
      </c>
      <c r="N110" s="25">
        <v>1</v>
      </c>
      <c r="O110" s="25">
        <v>1</v>
      </c>
      <c r="P110" s="25">
        <v>1</v>
      </c>
      <c r="Q110" s="25">
        <v>1</v>
      </c>
      <c r="R110" s="1" t="str">
        <f t="shared" si="5"/>
        <v>50</v>
      </c>
      <c r="S110" s="1">
        <f>경동전체1!B110</f>
        <v>0</v>
      </c>
      <c r="T110" s="1" t="str">
        <f t="shared" si="6"/>
        <v>100</v>
      </c>
      <c r="U110" s="5" t="str">
        <f t="shared" si="7"/>
        <v>0</v>
      </c>
      <c r="V110" s="26">
        <v>0</v>
      </c>
      <c r="W110" s="26">
        <v>0</v>
      </c>
      <c r="X110" s="2" t="str">
        <f>SUBSTITUTE(SUBSTITUTE(SUBSTITUTE(SUBSTITUTE(SUBSTITUTE(SUBSTITUTE(SUBSTITUTE(SUBSTITUTE(SUBSTITUTE(SUBSTITUTE(SUBSTITUTE(SUBSTITUTE(SUBSTITUTE(경동전체1!D110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1" spans="1:24" ht="23.25" customHeight="1" x14ac:dyDescent="0.3">
      <c r="A111" s="2">
        <f>경동전체1!A111</f>
        <v>0</v>
      </c>
      <c r="B111" s="13" t="str">
        <f>SUBSTITUTE(SUBSTITUTE(SUBSTITUTE(SUBSTITUTE(SUBSTITUTE(SUBSTITUTE(SUBSTITUTE(SUBSTITUTE(SUBSTITUTE(SUBSTITUTE(SUBSTITUTE(SUBSTITUTE(SUBSTITUTE(경동전체1!K111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1" s="30">
        <f>경동전체1!E111</f>
        <v>0</v>
      </c>
      <c r="D111" s="23"/>
      <c r="E111" s="23"/>
      <c r="F111" s="4">
        <f>경동전체1!J111</f>
        <v>0</v>
      </c>
      <c r="G111" s="23"/>
      <c r="H111" s="2">
        <f>경동전체1!H111</f>
        <v>0</v>
      </c>
      <c r="I111" s="2" t="str">
        <f>경동전체1!I111&amp;""</f>
        <v/>
      </c>
      <c r="J111" s="2" t="s">
        <v>36</v>
      </c>
      <c r="K111" s="2" t="str">
        <f>IF(LEFT(경동전체1!G111,1)="","따사룸",경동전체1!G111)</f>
        <v>따사룸</v>
      </c>
      <c r="L111" s="4" t="str">
        <f t="shared" si="4"/>
        <v>1</v>
      </c>
      <c r="M111" s="1" t="str">
        <f>IF(LEFT(경동전체1!D111,1)="2","비닐",IF(LEFT(경동전체1!O111,1)="박","박스","비닐"))</f>
        <v>비닐</v>
      </c>
      <c r="N111" s="25">
        <v>1</v>
      </c>
      <c r="O111" s="25">
        <v>1</v>
      </c>
      <c r="P111" s="25">
        <v>1</v>
      </c>
      <c r="Q111" s="25">
        <v>1</v>
      </c>
      <c r="R111" s="1" t="str">
        <f t="shared" si="5"/>
        <v>50</v>
      </c>
      <c r="S111" s="1">
        <f>경동전체1!B111</f>
        <v>0</v>
      </c>
      <c r="T111" s="1" t="str">
        <f t="shared" si="6"/>
        <v>100</v>
      </c>
      <c r="U111" s="5" t="str">
        <f t="shared" si="7"/>
        <v>0</v>
      </c>
      <c r="V111" s="26">
        <v>0</v>
      </c>
      <c r="W111" s="26">
        <v>0</v>
      </c>
      <c r="X111" s="2" t="str">
        <f>SUBSTITUTE(SUBSTITUTE(SUBSTITUTE(SUBSTITUTE(SUBSTITUTE(SUBSTITUTE(SUBSTITUTE(SUBSTITUTE(SUBSTITUTE(SUBSTITUTE(SUBSTITUTE(SUBSTITUTE(SUBSTITUTE(경동전체1!D111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2" spans="1:24" ht="23.25" customHeight="1" x14ac:dyDescent="0.3">
      <c r="A112" s="2">
        <f>경동전체1!A112</f>
        <v>0</v>
      </c>
      <c r="B112" s="13" t="str">
        <f>SUBSTITUTE(SUBSTITUTE(SUBSTITUTE(SUBSTITUTE(SUBSTITUTE(SUBSTITUTE(SUBSTITUTE(SUBSTITUTE(SUBSTITUTE(SUBSTITUTE(SUBSTITUTE(SUBSTITUTE(SUBSTITUTE(경동전체1!K112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2" s="30">
        <f>경동전체1!E112</f>
        <v>0</v>
      </c>
      <c r="D112" s="23"/>
      <c r="E112" s="23"/>
      <c r="F112" s="4">
        <f>경동전체1!J112</f>
        <v>0</v>
      </c>
      <c r="G112" s="23"/>
      <c r="H112" s="2">
        <f>경동전체1!H112</f>
        <v>0</v>
      </c>
      <c r="I112" s="2" t="str">
        <f>경동전체1!I112&amp;""</f>
        <v/>
      </c>
      <c r="J112" s="2" t="s">
        <v>36</v>
      </c>
      <c r="K112" s="2" t="str">
        <f>IF(LEFT(경동전체1!G112,1)="","따사룸",경동전체1!G112)</f>
        <v>따사룸</v>
      </c>
      <c r="L112" s="4" t="str">
        <f t="shared" si="4"/>
        <v>1</v>
      </c>
      <c r="M112" s="1" t="str">
        <f>IF(LEFT(경동전체1!D112,1)="2","비닐",IF(LEFT(경동전체1!O112,1)="박","박스","비닐"))</f>
        <v>비닐</v>
      </c>
      <c r="N112" s="25">
        <v>1</v>
      </c>
      <c r="O112" s="25">
        <v>1</v>
      </c>
      <c r="P112" s="25">
        <v>1</v>
      </c>
      <c r="Q112" s="25">
        <v>1</v>
      </c>
      <c r="R112" s="1" t="str">
        <f t="shared" si="5"/>
        <v>50</v>
      </c>
      <c r="S112" s="1">
        <f>경동전체1!B112</f>
        <v>0</v>
      </c>
      <c r="T112" s="1" t="str">
        <f t="shared" si="6"/>
        <v>100</v>
      </c>
      <c r="U112" s="5" t="str">
        <f t="shared" si="7"/>
        <v>0</v>
      </c>
      <c r="V112" s="26">
        <v>0</v>
      </c>
      <c r="W112" s="26">
        <v>0</v>
      </c>
      <c r="X112" s="2" t="str">
        <f>SUBSTITUTE(SUBSTITUTE(SUBSTITUTE(SUBSTITUTE(SUBSTITUTE(SUBSTITUTE(SUBSTITUTE(SUBSTITUTE(SUBSTITUTE(SUBSTITUTE(SUBSTITUTE(SUBSTITUTE(SUBSTITUTE(경동전체1!D112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3" spans="1:24" ht="23.25" customHeight="1" x14ac:dyDescent="0.3">
      <c r="A113" s="2">
        <f>경동전체1!A113</f>
        <v>0</v>
      </c>
      <c r="B113" s="13" t="str">
        <f>SUBSTITUTE(SUBSTITUTE(SUBSTITUTE(SUBSTITUTE(SUBSTITUTE(SUBSTITUTE(SUBSTITUTE(SUBSTITUTE(SUBSTITUTE(SUBSTITUTE(SUBSTITUTE(SUBSTITUTE(SUBSTITUTE(경동전체1!K113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3" s="30">
        <f>경동전체1!E113</f>
        <v>0</v>
      </c>
      <c r="D113" s="23"/>
      <c r="E113" s="23"/>
      <c r="F113" s="4">
        <f>경동전체1!J113</f>
        <v>0</v>
      </c>
      <c r="G113" s="23"/>
      <c r="H113" s="2">
        <f>경동전체1!H113</f>
        <v>0</v>
      </c>
      <c r="I113" s="2" t="str">
        <f>경동전체1!I113&amp;""</f>
        <v/>
      </c>
      <c r="J113" s="2" t="s">
        <v>36</v>
      </c>
      <c r="K113" s="2" t="str">
        <f>IF(LEFT(경동전체1!G113,1)="","따사룸",경동전체1!G113)</f>
        <v>따사룸</v>
      </c>
      <c r="L113" s="4" t="str">
        <f t="shared" si="4"/>
        <v>1</v>
      </c>
      <c r="M113" s="1" t="str">
        <f>IF(LEFT(경동전체1!D113,1)="2","비닐",IF(LEFT(경동전체1!O113,1)="박","박스","비닐"))</f>
        <v>비닐</v>
      </c>
      <c r="N113" s="25">
        <v>1</v>
      </c>
      <c r="O113" s="25">
        <v>1</v>
      </c>
      <c r="P113" s="25">
        <v>1</v>
      </c>
      <c r="Q113" s="25">
        <v>1</v>
      </c>
      <c r="R113" s="1" t="str">
        <f t="shared" si="5"/>
        <v>50</v>
      </c>
      <c r="S113" s="1">
        <f>경동전체1!B113</f>
        <v>0</v>
      </c>
      <c r="T113" s="1" t="str">
        <f t="shared" si="6"/>
        <v>100</v>
      </c>
      <c r="U113" s="5" t="str">
        <f t="shared" si="7"/>
        <v>0</v>
      </c>
      <c r="V113" s="26">
        <v>0</v>
      </c>
      <c r="W113" s="26">
        <v>0</v>
      </c>
      <c r="X113" s="2" t="str">
        <f>SUBSTITUTE(SUBSTITUTE(SUBSTITUTE(SUBSTITUTE(SUBSTITUTE(SUBSTITUTE(SUBSTITUTE(SUBSTITUTE(SUBSTITUTE(SUBSTITUTE(SUBSTITUTE(SUBSTITUTE(SUBSTITUTE(경동전체1!D113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4" spans="1:24" ht="23.25" customHeight="1" x14ac:dyDescent="0.3">
      <c r="A114" s="2">
        <f>경동전체1!A114</f>
        <v>0</v>
      </c>
      <c r="B114" s="13" t="str">
        <f>SUBSTITUTE(SUBSTITUTE(SUBSTITUTE(SUBSTITUTE(SUBSTITUTE(SUBSTITUTE(SUBSTITUTE(SUBSTITUTE(SUBSTITUTE(SUBSTITUTE(SUBSTITUTE(SUBSTITUTE(SUBSTITUTE(경동전체1!K114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4" s="30">
        <f>경동전체1!E114</f>
        <v>0</v>
      </c>
      <c r="D114" s="23"/>
      <c r="E114" s="23"/>
      <c r="F114" s="4">
        <f>경동전체1!J114</f>
        <v>0</v>
      </c>
      <c r="G114" s="23"/>
      <c r="H114" s="2">
        <f>경동전체1!H114</f>
        <v>0</v>
      </c>
      <c r="I114" s="2" t="str">
        <f>경동전체1!I114&amp;""</f>
        <v/>
      </c>
      <c r="J114" s="2" t="s">
        <v>36</v>
      </c>
      <c r="K114" s="2" t="str">
        <f>IF(LEFT(경동전체1!G114,1)="","따사룸",경동전체1!G114)</f>
        <v>따사룸</v>
      </c>
      <c r="L114" s="4" t="str">
        <f t="shared" si="4"/>
        <v>1</v>
      </c>
      <c r="M114" s="1" t="str">
        <f>IF(LEFT(경동전체1!D114,1)="2","비닐",IF(LEFT(경동전체1!O114,1)="박","박스","비닐"))</f>
        <v>비닐</v>
      </c>
      <c r="N114" s="25">
        <v>1</v>
      </c>
      <c r="O114" s="25">
        <v>1</v>
      </c>
      <c r="P114" s="25">
        <v>1</v>
      </c>
      <c r="Q114" s="25">
        <v>1</v>
      </c>
      <c r="R114" s="1" t="str">
        <f t="shared" si="5"/>
        <v>50</v>
      </c>
      <c r="S114" s="1">
        <f>경동전체1!B114</f>
        <v>0</v>
      </c>
      <c r="T114" s="1" t="str">
        <f t="shared" si="6"/>
        <v>100</v>
      </c>
      <c r="U114" s="5" t="str">
        <f t="shared" si="7"/>
        <v>0</v>
      </c>
      <c r="V114" s="26">
        <v>0</v>
      </c>
      <c r="W114" s="26">
        <v>0</v>
      </c>
      <c r="X114" s="2" t="str">
        <f>SUBSTITUTE(SUBSTITUTE(SUBSTITUTE(SUBSTITUTE(SUBSTITUTE(SUBSTITUTE(SUBSTITUTE(SUBSTITUTE(SUBSTITUTE(SUBSTITUTE(SUBSTITUTE(SUBSTITUTE(SUBSTITUTE(경동전체1!D114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5" spans="1:24" ht="23.25" customHeight="1" x14ac:dyDescent="0.3">
      <c r="A115" s="2">
        <f>경동전체1!A115</f>
        <v>0</v>
      </c>
      <c r="B115" s="13" t="str">
        <f>SUBSTITUTE(SUBSTITUTE(SUBSTITUTE(SUBSTITUTE(SUBSTITUTE(SUBSTITUTE(SUBSTITUTE(SUBSTITUTE(SUBSTITUTE(SUBSTITUTE(SUBSTITUTE(SUBSTITUTE(SUBSTITUTE(경동전체1!K115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5" s="30">
        <f>경동전체1!E115</f>
        <v>0</v>
      </c>
      <c r="D115" s="23"/>
      <c r="E115" s="23"/>
      <c r="F115" s="4">
        <f>경동전체1!J115</f>
        <v>0</v>
      </c>
      <c r="G115" s="23"/>
      <c r="H115" s="2">
        <f>경동전체1!H115</f>
        <v>0</v>
      </c>
      <c r="I115" s="2" t="str">
        <f>경동전체1!I115&amp;""</f>
        <v/>
      </c>
      <c r="J115" s="2" t="s">
        <v>36</v>
      </c>
      <c r="K115" s="2" t="str">
        <f>IF(LEFT(경동전체1!G115,1)="","따사룸",경동전체1!G115)</f>
        <v>따사룸</v>
      </c>
      <c r="L115" s="4" t="str">
        <f t="shared" si="4"/>
        <v>1</v>
      </c>
      <c r="M115" s="1" t="str">
        <f>IF(LEFT(경동전체1!D115,1)="2","비닐",IF(LEFT(경동전체1!O115,1)="박","박스","비닐"))</f>
        <v>비닐</v>
      </c>
      <c r="N115" s="25">
        <v>1</v>
      </c>
      <c r="O115" s="25">
        <v>1</v>
      </c>
      <c r="P115" s="25">
        <v>1</v>
      </c>
      <c r="Q115" s="25">
        <v>1</v>
      </c>
      <c r="R115" s="1" t="str">
        <f t="shared" si="5"/>
        <v>50</v>
      </c>
      <c r="S115" s="1">
        <f>경동전체1!B115</f>
        <v>0</v>
      </c>
      <c r="T115" s="1" t="str">
        <f t="shared" si="6"/>
        <v>100</v>
      </c>
      <c r="U115" s="5" t="str">
        <f t="shared" si="7"/>
        <v>0</v>
      </c>
      <c r="V115" s="26">
        <v>0</v>
      </c>
      <c r="W115" s="26">
        <v>0</v>
      </c>
      <c r="X115" s="2" t="str">
        <f>SUBSTITUTE(SUBSTITUTE(SUBSTITUTE(SUBSTITUTE(SUBSTITUTE(SUBSTITUTE(SUBSTITUTE(SUBSTITUTE(SUBSTITUTE(SUBSTITUTE(SUBSTITUTE(SUBSTITUTE(SUBSTITUTE(경동전체1!D115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6" spans="1:24" ht="23.25" customHeight="1" x14ac:dyDescent="0.3">
      <c r="A116" s="2">
        <f>경동전체1!A116</f>
        <v>0</v>
      </c>
      <c r="B116" s="13" t="str">
        <f>SUBSTITUTE(SUBSTITUTE(SUBSTITUTE(SUBSTITUTE(SUBSTITUTE(SUBSTITUTE(SUBSTITUTE(SUBSTITUTE(SUBSTITUTE(SUBSTITUTE(SUBSTITUTE(SUBSTITUTE(SUBSTITUTE(경동전체1!K116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6" s="30">
        <f>경동전체1!E116</f>
        <v>0</v>
      </c>
      <c r="D116" s="23"/>
      <c r="E116" s="23"/>
      <c r="F116" s="4">
        <f>경동전체1!J116</f>
        <v>0</v>
      </c>
      <c r="G116" s="23"/>
      <c r="H116" s="2">
        <f>경동전체1!H116</f>
        <v>0</v>
      </c>
      <c r="I116" s="2" t="str">
        <f>경동전체1!I116&amp;""</f>
        <v/>
      </c>
      <c r="J116" s="2" t="s">
        <v>36</v>
      </c>
      <c r="K116" s="2" t="str">
        <f>IF(LEFT(경동전체1!G116,1)="","따사룸",경동전체1!G116)</f>
        <v>따사룸</v>
      </c>
      <c r="L116" s="4" t="str">
        <f t="shared" si="4"/>
        <v>1</v>
      </c>
      <c r="M116" s="1" t="str">
        <f>IF(LEFT(경동전체1!D116,1)="2","비닐",IF(LEFT(경동전체1!O116,1)="박","박스","비닐"))</f>
        <v>비닐</v>
      </c>
      <c r="N116" s="25">
        <v>1</v>
      </c>
      <c r="O116" s="25">
        <v>1</v>
      </c>
      <c r="P116" s="25">
        <v>1</v>
      </c>
      <c r="Q116" s="25">
        <v>1</v>
      </c>
      <c r="R116" s="1" t="str">
        <f t="shared" si="5"/>
        <v>50</v>
      </c>
      <c r="S116" s="1">
        <f>경동전체1!B116</f>
        <v>0</v>
      </c>
      <c r="T116" s="1" t="str">
        <f t="shared" si="6"/>
        <v>100</v>
      </c>
      <c r="U116" s="5" t="str">
        <f t="shared" si="7"/>
        <v>0</v>
      </c>
      <c r="V116" s="26">
        <v>0</v>
      </c>
      <c r="W116" s="26">
        <v>0</v>
      </c>
      <c r="X116" s="2" t="str">
        <f>SUBSTITUTE(SUBSTITUTE(SUBSTITUTE(SUBSTITUTE(SUBSTITUTE(SUBSTITUTE(SUBSTITUTE(SUBSTITUTE(SUBSTITUTE(SUBSTITUTE(SUBSTITUTE(SUBSTITUTE(SUBSTITUTE(경동전체1!D116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7" spans="1:24" ht="23.25" customHeight="1" x14ac:dyDescent="0.3">
      <c r="A117" s="2">
        <f>경동전체1!A117</f>
        <v>0</v>
      </c>
      <c r="B117" s="13" t="str">
        <f>SUBSTITUTE(SUBSTITUTE(SUBSTITUTE(SUBSTITUTE(SUBSTITUTE(SUBSTITUTE(SUBSTITUTE(SUBSTITUTE(SUBSTITUTE(SUBSTITUTE(SUBSTITUTE(SUBSTITUTE(SUBSTITUTE(경동전체1!K117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7" s="30">
        <f>경동전체1!E117</f>
        <v>0</v>
      </c>
      <c r="D117" s="23"/>
      <c r="E117" s="23"/>
      <c r="F117" s="4">
        <f>경동전체1!J117</f>
        <v>0</v>
      </c>
      <c r="G117" s="23"/>
      <c r="H117" s="2">
        <f>경동전체1!H117</f>
        <v>0</v>
      </c>
      <c r="I117" s="2" t="str">
        <f>경동전체1!I117&amp;""</f>
        <v/>
      </c>
      <c r="J117" s="2" t="s">
        <v>36</v>
      </c>
      <c r="K117" s="2" t="str">
        <f>IF(LEFT(경동전체1!G117,1)="","따사룸",경동전체1!G117)</f>
        <v>따사룸</v>
      </c>
      <c r="L117" s="4" t="str">
        <f t="shared" si="4"/>
        <v>1</v>
      </c>
      <c r="M117" s="1" t="str">
        <f>IF(LEFT(경동전체1!D117,1)="2","비닐",IF(LEFT(경동전체1!O117,1)="박","박스","비닐"))</f>
        <v>비닐</v>
      </c>
      <c r="N117" s="25">
        <v>1</v>
      </c>
      <c r="O117" s="25">
        <v>1</v>
      </c>
      <c r="P117" s="25">
        <v>1</v>
      </c>
      <c r="Q117" s="25">
        <v>1</v>
      </c>
      <c r="R117" s="1" t="str">
        <f t="shared" si="5"/>
        <v>50</v>
      </c>
      <c r="S117" s="1">
        <f>경동전체1!B117</f>
        <v>0</v>
      </c>
      <c r="T117" s="1" t="str">
        <f t="shared" si="6"/>
        <v>100</v>
      </c>
      <c r="U117" s="5" t="str">
        <f t="shared" si="7"/>
        <v>0</v>
      </c>
      <c r="V117" s="26">
        <v>0</v>
      </c>
      <c r="W117" s="26">
        <v>0</v>
      </c>
      <c r="X117" s="2" t="str">
        <f>SUBSTITUTE(SUBSTITUTE(SUBSTITUTE(SUBSTITUTE(SUBSTITUTE(SUBSTITUTE(SUBSTITUTE(SUBSTITUTE(SUBSTITUTE(SUBSTITUTE(SUBSTITUTE(SUBSTITUTE(SUBSTITUTE(경동전체1!D117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8" spans="1:24" ht="23.25" customHeight="1" x14ac:dyDescent="0.3">
      <c r="A118" s="2">
        <f>경동전체1!A118</f>
        <v>0</v>
      </c>
      <c r="B118" s="13" t="str">
        <f>SUBSTITUTE(SUBSTITUTE(SUBSTITUTE(SUBSTITUTE(SUBSTITUTE(SUBSTITUTE(SUBSTITUTE(SUBSTITUTE(SUBSTITUTE(SUBSTITUTE(SUBSTITUTE(SUBSTITUTE(SUBSTITUTE(경동전체1!K118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8" s="30">
        <f>경동전체1!E118</f>
        <v>0</v>
      </c>
      <c r="D118" s="23"/>
      <c r="E118" s="23"/>
      <c r="F118" s="4">
        <f>경동전체1!J118</f>
        <v>0</v>
      </c>
      <c r="G118" s="23"/>
      <c r="H118" s="2">
        <f>경동전체1!H118</f>
        <v>0</v>
      </c>
      <c r="I118" s="2" t="str">
        <f>경동전체1!I118&amp;""</f>
        <v/>
      </c>
      <c r="J118" s="2" t="s">
        <v>36</v>
      </c>
      <c r="K118" s="2" t="str">
        <f>IF(LEFT(경동전체1!G118,1)="","따사룸",경동전체1!G118)</f>
        <v>따사룸</v>
      </c>
      <c r="L118" s="4" t="str">
        <f t="shared" si="4"/>
        <v>1</v>
      </c>
      <c r="M118" s="1" t="str">
        <f>IF(LEFT(경동전체1!D118,1)="2","비닐",IF(LEFT(경동전체1!O118,1)="박","박스","비닐"))</f>
        <v>비닐</v>
      </c>
      <c r="N118" s="25">
        <v>1</v>
      </c>
      <c r="O118" s="25">
        <v>1</v>
      </c>
      <c r="P118" s="25">
        <v>1</v>
      </c>
      <c r="Q118" s="25">
        <v>1</v>
      </c>
      <c r="R118" s="1" t="str">
        <f t="shared" si="5"/>
        <v>50</v>
      </c>
      <c r="S118" s="1">
        <f>경동전체1!B118</f>
        <v>0</v>
      </c>
      <c r="T118" s="1" t="str">
        <f t="shared" si="6"/>
        <v>100</v>
      </c>
      <c r="U118" s="5" t="str">
        <f t="shared" si="7"/>
        <v>0</v>
      </c>
      <c r="V118" s="26">
        <v>0</v>
      </c>
      <c r="W118" s="26">
        <v>0</v>
      </c>
      <c r="X118" s="2" t="str">
        <f>SUBSTITUTE(SUBSTITUTE(SUBSTITUTE(SUBSTITUTE(SUBSTITUTE(SUBSTITUTE(SUBSTITUTE(SUBSTITUTE(SUBSTITUTE(SUBSTITUTE(SUBSTITUTE(SUBSTITUTE(SUBSTITUTE(경동전체1!D118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9" spans="1:24" ht="23.25" customHeight="1" x14ac:dyDescent="0.3">
      <c r="A119" s="2">
        <f>경동전체1!A119</f>
        <v>0</v>
      </c>
      <c r="B119" s="13" t="str">
        <f>SUBSTITUTE(SUBSTITUTE(SUBSTITUTE(SUBSTITUTE(SUBSTITUTE(SUBSTITUTE(SUBSTITUTE(SUBSTITUTE(SUBSTITUTE(SUBSTITUTE(SUBSTITUTE(SUBSTITUTE(SUBSTITUTE(경동전체1!K119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9" s="30">
        <f>경동전체1!E119</f>
        <v>0</v>
      </c>
      <c r="D119" s="23"/>
      <c r="E119" s="23"/>
      <c r="F119" s="4">
        <f>경동전체1!J119</f>
        <v>0</v>
      </c>
      <c r="G119" s="23"/>
      <c r="H119" s="2">
        <f>경동전체1!H119</f>
        <v>0</v>
      </c>
      <c r="I119" s="2" t="str">
        <f>경동전체1!I119&amp;""</f>
        <v/>
      </c>
      <c r="J119" s="2" t="s">
        <v>36</v>
      </c>
      <c r="K119" s="2" t="str">
        <f>IF(LEFT(경동전체1!G119,1)="","따사룸",경동전체1!G119)</f>
        <v>따사룸</v>
      </c>
      <c r="L119" s="4" t="str">
        <f t="shared" si="4"/>
        <v>1</v>
      </c>
      <c r="M119" s="1" t="str">
        <f>IF(LEFT(경동전체1!D119,1)="2","비닐",IF(LEFT(경동전체1!O119,1)="박","박스","비닐"))</f>
        <v>비닐</v>
      </c>
      <c r="N119" s="25">
        <v>1</v>
      </c>
      <c r="O119" s="25">
        <v>1</v>
      </c>
      <c r="P119" s="25">
        <v>1</v>
      </c>
      <c r="Q119" s="25">
        <v>1</v>
      </c>
      <c r="R119" s="1" t="str">
        <f t="shared" si="5"/>
        <v>50</v>
      </c>
      <c r="S119" s="1">
        <f>경동전체1!B119</f>
        <v>0</v>
      </c>
      <c r="T119" s="1" t="str">
        <f t="shared" si="6"/>
        <v>100</v>
      </c>
      <c r="U119" s="5" t="str">
        <f t="shared" si="7"/>
        <v>0</v>
      </c>
      <c r="V119" s="26">
        <v>0</v>
      </c>
      <c r="W119" s="26">
        <v>0</v>
      </c>
      <c r="X119" s="2" t="str">
        <f>SUBSTITUTE(SUBSTITUTE(SUBSTITUTE(SUBSTITUTE(SUBSTITUTE(SUBSTITUTE(SUBSTITUTE(SUBSTITUTE(SUBSTITUTE(SUBSTITUTE(SUBSTITUTE(SUBSTITUTE(SUBSTITUTE(경동전체1!D119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0" spans="1:24" ht="23.25" customHeight="1" x14ac:dyDescent="0.3">
      <c r="A120" s="2">
        <f>경동전체1!A120</f>
        <v>0</v>
      </c>
      <c r="B120" s="13" t="str">
        <f>SUBSTITUTE(SUBSTITUTE(SUBSTITUTE(SUBSTITUTE(SUBSTITUTE(SUBSTITUTE(SUBSTITUTE(SUBSTITUTE(SUBSTITUTE(SUBSTITUTE(SUBSTITUTE(SUBSTITUTE(SUBSTITUTE(경동전체1!K120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0" s="30">
        <f>경동전체1!E120</f>
        <v>0</v>
      </c>
      <c r="D120" s="23"/>
      <c r="E120" s="23"/>
      <c r="F120" s="4">
        <f>경동전체1!J120</f>
        <v>0</v>
      </c>
      <c r="G120" s="23"/>
      <c r="H120" s="2">
        <f>경동전체1!H120</f>
        <v>0</v>
      </c>
      <c r="I120" s="2" t="str">
        <f>경동전체1!I120&amp;""</f>
        <v/>
      </c>
      <c r="J120" s="2" t="s">
        <v>36</v>
      </c>
      <c r="K120" s="2" t="str">
        <f>IF(LEFT(경동전체1!G120,1)="","따사룸",경동전체1!G120)</f>
        <v>따사룸</v>
      </c>
      <c r="L120" s="4" t="str">
        <f t="shared" si="4"/>
        <v>1</v>
      </c>
      <c r="M120" s="1" t="str">
        <f>IF(LEFT(경동전체1!D120,1)="2","비닐",IF(LEFT(경동전체1!O120,1)="박","박스","비닐"))</f>
        <v>비닐</v>
      </c>
      <c r="N120" s="25">
        <v>1</v>
      </c>
      <c r="O120" s="25">
        <v>1</v>
      </c>
      <c r="P120" s="25">
        <v>1</v>
      </c>
      <c r="Q120" s="25">
        <v>1</v>
      </c>
      <c r="R120" s="1" t="str">
        <f t="shared" si="5"/>
        <v>50</v>
      </c>
      <c r="S120" s="1">
        <f>경동전체1!B120</f>
        <v>0</v>
      </c>
      <c r="T120" s="1" t="str">
        <f t="shared" si="6"/>
        <v>100</v>
      </c>
      <c r="U120" s="5" t="str">
        <f t="shared" si="7"/>
        <v>0</v>
      </c>
      <c r="V120" s="26">
        <v>0</v>
      </c>
      <c r="W120" s="26">
        <v>0</v>
      </c>
      <c r="X120" s="2" t="str">
        <f>SUBSTITUTE(SUBSTITUTE(SUBSTITUTE(SUBSTITUTE(SUBSTITUTE(SUBSTITUTE(SUBSTITUTE(SUBSTITUTE(SUBSTITUTE(SUBSTITUTE(SUBSTITUTE(SUBSTITUTE(SUBSTITUTE(경동전체1!D120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1" spans="1:24" ht="23.25" customHeight="1" x14ac:dyDescent="0.3">
      <c r="A121" s="2">
        <f>경동전체1!A121</f>
        <v>0</v>
      </c>
      <c r="B121" s="13" t="str">
        <f>SUBSTITUTE(SUBSTITUTE(SUBSTITUTE(SUBSTITUTE(SUBSTITUTE(SUBSTITUTE(SUBSTITUTE(SUBSTITUTE(SUBSTITUTE(SUBSTITUTE(SUBSTITUTE(SUBSTITUTE(SUBSTITUTE(경동전체1!K121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1" s="30">
        <f>경동전체1!E121</f>
        <v>0</v>
      </c>
      <c r="D121" s="23"/>
      <c r="E121" s="23"/>
      <c r="F121" s="4">
        <f>경동전체1!J121</f>
        <v>0</v>
      </c>
      <c r="G121" s="23"/>
      <c r="H121" s="2">
        <f>경동전체1!H121</f>
        <v>0</v>
      </c>
      <c r="I121" s="2" t="str">
        <f>경동전체1!I121&amp;""</f>
        <v/>
      </c>
      <c r="J121" s="2" t="s">
        <v>36</v>
      </c>
      <c r="K121" s="2" t="str">
        <f>IF(LEFT(경동전체1!G121,1)="","따사룸",경동전체1!G121)</f>
        <v>따사룸</v>
      </c>
      <c r="L121" s="4" t="str">
        <f t="shared" si="4"/>
        <v>1</v>
      </c>
      <c r="M121" s="1" t="str">
        <f>IF(LEFT(경동전체1!D121,1)="2","비닐",IF(LEFT(경동전체1!O121,1)="박","박스","비닐"))</f>
        <v>비닐</v>
      </c>
      <c r="N121" s="25">
        <v>1</v>
      </c>
      <c r="O121" s="25">
        <v>1</v>
      </c>
      <c r="P121" s="25">
        <v>1</v>
      </c>
      <c r="Q121" s="25">
        <v>1</v>
      </c>
      <c r="R121" s="1" t="str">
        <f t="shared" si="5"/>
        <v>50</v>
      </c>
      <c r="S121" s="1">
        <f>경동전체1!B121</f>
        <v>0</v>
      </c>
      <c r="T121" s="1" t="str">
        <f t="shared" si="6"/>
        <v>100</v>
      </c>
      <c r="U121" s="5" t="str">
        <f t="shared" si="7"/>
        <v>0</v>
      </c>
      <c r="V121" s="26">
        <v>0</v>
      </c>
      <c r="W121" s="26">
        <v>0</v>
      </c>
      <c r="X121" s="2" t="str">
        <f>SUBSTITUTE(SUBSTITUTE(SUBSTITUTE(SUBSTITUTE(SUBSTITUTE(SUBSTITUTE(SUBSTITUTE(SUBSTITUTE(SUBSTITUTE(SUBSTITUTE(SUBSTITUTE(SUBSTITUTE(SUBSTITUTE(경동전체1!D121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2" spans="1:24" ht="23.25" customHeight="1" x14ac:dyDescent="0.3">
      <c r="A122" s="2">
        <f>경동전체1!A122</f>
        <v>0</v>
      </c>
      <c r="B122" s="13" t="str">
        <f>SUBSTITUTE(SUBSTITUTE(SUBSTITUTE(SUBSTITUTE(SUBSTITUTE(SUBSTITUTE(SUBSTITUTE(SUBSTITUTE(SUBSTITUTE(SUBSTITUTE(SUBSTITUTE(SUBSTITUTE(SUBSTITUTE(경동전체1!K122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2" s="30">
        <f>경동전체1!E122</f>
        <v>0</v>
      </c>
      <c r="D122" s="23"/>
      <c r="E122" s="23"/>
      <c r="F122" s="4">
        <f>경동전체1!J122</f>
        <v>0</v>
      </c>
      <c r="G122" s="23"/>
      <c r="H122" s="2">
        <f>경동전체1!H122</f>
        <v>0</v>
      </c>
      <c r="I122" s="2" t="str">
        <f>경동전체1!I122&amp;""</f>
        <v/>
      </c>
      <c r="J122" s="2" t="s">
        <v>36</v>
      </c>
      <c r="K122" s="2" t="str">
        <f>IF(LEFT(경동전체1!G122,1)="","따사룸",경동전체1!G122)</f>
        <v>따사룸</v>
      </c>
      <c r="L122" s="4" t="str">
        <f t="shared" si="4"/>
        <v>1</v>
      </c>
      <c r="M122" s="1" t="str">
        <f>IF(LEFT(경동전체1!D122,1)="2","비닐",IF(LEFT(경동전체1!O122,1)="박","박스","비닐"))</f>
        <v>비닐</v>
      </c>
      <c r="N122" s="25">
        <v>1</v>
      </c>
      <c r="O122" s="25">
        <v>1</v>
      </c>
      <c r="P122" s="25">
        <v>1</v>
      </c>
      <c r="Q122" s="25">
        <v>1</v>
      </c>
      <c r="R122" s="1" t="str">
        <f t="shared" si="5"/>
        <v>50</v>
      </c>
      <c r="S122" s="1">
        <f>경동전체1!B122</f>
        <v>0</v>
      </c>
      <c r="T122" s="1" t="str">
        <f t="shared" si="6"/>
        <v>100</v>
      </c>
      <c r="U122" s="5" t="str">
        <f t="shared" si="7"/>
        <v>0</v>
      </c>
      <c r="V122" s="26">
        <v>0</v>
      </c>
      <c r="W122" s="26">
        <v>0</v>
      </c>
      <c r="X122" s="2" t="str">
        <f>SUBSTITUTE(SUBSTITUTE(SUBSTITUTE(SUBSTITUTE(SUBSTITUTE(SUBSTITUTE(SUBSTITUTE(SUBSTITUTE(SUBSTITUTE(SUBSTITUTE(SUBSTITUTE(SUBSTITUTE(SUBSTITUTE(경동전체1!D122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3" spans="1:24" ht="23.25" customHeight="1" x14ac:dyDescent="0.3">
      <c r="A123" s="2">
        <f>경동전체1!A123</f>
        <v>0</v>
      </c>
      <c r="B123" s="13" t="str">
        <f>SUBSTITUTE(SUBSTITUTE(SUBSTITUTE(SUBSTITUTE(SUBSTITUTE(SUBSTITUTE(SUBSTITUTE(SUBSTITUTE(SUBSTITUTE(SUBSTITUTE(SUBSTITUTE(SUBSTITUTE(SUBSTITUTE(경동전체1!K123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3" s="30">
        <f>경동전체1!E123</f>
        <v>0</v>
      </c>
      <c r="D123" s="23"/>
      <c r="E123" s="23"/>
      <c r="F123" s="4">
        <f>경동전체1!J123</f>
        <v>0</v>
      </c>
      <c r="G123" s="23"/>
      <c r="H123" s="2">
        <f>경동전체1!H123</f>
        <v>0</v>
      </c>
      <c r="I123" s="2" t="str">
        <f>경동전체1!I123&amp;""</f>
        <v/>
      </c>
      <c r="J123" s="2" t="s">
        <v>36</v>
      </c>
      <c r="K123" s="2" t="str">
        <f>IF(LEFT(경동전체1!G123,1)="","따사룸",경동전체1!G123)</f>
        <v>따사룸</v>
      </c>
      <c r="L123" s="4" t="str">
        <f t="shared" si="4"/>
        <v>1</v>
      </c>
      <c r="M123" s="1" t="str">
        <f>IF(LEFT(경동전체1!D123,1)="2","비닐",IF(LEFT(경동전체1!O123,1)="박","박스","비닐"))</f>
        <v>비닐</v>
      </c>
      <c r="N123" s="25">
        <v>1</v>
      </c>
      <c r="O123" s="25">
        <v>1</v>
      </c>
      <c r="P123" s="25">
        <v>1</v>
      </c>
      <c r="Q123" s="25">
        <v>1</v>
      </c>
      <c r="R123" s="1" t="str">
        <f t="shared" si="5"/>
        <v>50</v>
      </c>
      <c r="S123" s="1">
        <f>경동전체1!B123</f>
        <v>0</v>
      </c>
      <c r="T123" s="1" t="str">
        <f t="shared" si="6"/>
        <v>100</v>
      </c>
      <c r="U123" s="5" t="str">
        <f t="shared" si="7"/>
        <v>0</v>
      </c>
      <c r="V123" s="26">
        <v>0</v>
      </c>
      <c r="W123" s="26">
        <v>0</v>
      </c>
      <c r="X123" s="2" t="str">
        <f>SUBSTITUTE(SUBSTITUTE(SUBSTITUTE(SUBSTITUTE(SUBSTITUTE(SUBSTITUTE(SUBSTITUTE(SUBSTITUTE(SUBSTITUTE(SUBSTITUTE(SUBSTITUTE(SUBSTITUTE(SUBSTITUTE(경동전체1!D123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4" spans="1:24" ht="23.25" customHeight="1" x14ac:dyDescent="0.3">
      <c r="A124" s="2">
        <f>경동전체1!A124</f>
        <v>0</v>
      </c>
      <c r="B124" s="13" t="str">
        <f>SUBSTITUTE(SUBSTITUTE(SUBSTITUTE(SUBSTITUTE(SUBSTITUTE(SUBSTITUTE(SUBSTITUTE(SUBSTITUTE(SUBSTITUTE(SUBSTITUTE(SUBSTITUTE(SUBSTITUTE(SUBSTITUTE(경동전체1!K124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4" s="30">
        <f>경동전체1!E124</f>
        <v>0</v>
      </c>
      <c r="D124" s="23"/>
      <c r="E124" s="23"/>
      <c r="F124" s="4">
        <f>경동전체1!J124</f>
        <v>0</v>
      </c>
      <c r="G124" s="23"/>
      <c r="H124" s="2">
        <f>경동전체1!H124</f>
        <v>0</v>
      </c>
      <c r="I124" s="2" t="str">
        <f>경동전체1!I124&amp;""</f>
        <v/>
      </c>
      <c r="J124" s="2" t="s">
        <v>36</v>
      </c>
      <c r="K124" s="2" t="str">
        <f>IF(LEFT(경동전체1!G124,1)="","따사룸",경동전체1!G124)</f>
        <v>따사룸</v>
      </c>
      <c r="L124" s="4" t="str">
        <f t="shared" si="4"/>
        <v>1</v>
      </c>
      <c r="M124" s="1" t="str">
        <f>IF(LEFT(경동전체1!D124,1)="2","비닐",IF(LEFT(경동전체1!O124,1)="박","박스","비닐"))</f>
        <v>비닐</v>
      </c>
      <c r="N124" s="25">
        <v>1</v>
      </c>
      <c r="O124" s="25">
        <v>1</v>
      </c>
      <c r="P124" s="25">
        <v>1</v>
      </c>
      <c r="Q124" s="25">
        <v>1</v>
      </c>
      <c r="R124" s="1" t="str">
        <f t="shared" si="5"/>
        <v>50</v>
      </c>
      <c r="S124" s="1">
        <f>경동전체1!B124</f>
        <v>0</v>
      </c>
      <c r="T124" s="1" t="str">
        <f t="shared" si="6"/>
        <v>100</v>
      </c>
      <c r="U124" s="5" t="str">
        <f t="shared" si="7"/>
        <v>0</v>
      </c>
      <c r="V124" s="26">
        <v>0</v>
      </c>
      <c r="W124" s="26">
        <v>0</v>
      </c>
      <c r="X124" s="2" t="str">
        <f>SUBSTITUTE(SUBSTITUTE(SUBSTITUTE(SUBSTITUTE(SUBSTITUTE(SUBSTITUTE(SUBSTITUTE(SUBSTITUTE(SUBSTITUTE(SUBSTITUTE(SUBSTITUTE(SUBSTITUTE(SUBSTITUTE(경동전체1!D124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5" spans="1:24" ht="23.25" customHeight="1" x14ac:dyDescent="0.3">
      <c r="A125" s="2">
        <f>경동전체1!A125</f>
        <v>0</v>
      </c>
      <c r="B125" s="13" t="str">
        <f>SUBSTITUTE(SUBSTITUTE(SUBSTITUTE(SUBSTITUTE(SUBSTITUTE(SUBSTITUTE(SUBSTITUTE(SUBSTITUTE(SUBSTITUTE(SUBSTITUTE(SUBSTITUTE(SUBSTITUTE(SUBSTITUTE(경동전체1!K125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5" s="30">
        <f>경동전체1!E125</f>
        <v>0</v>
      </c>
      <c r="D125" s="23"/>
      <c r="E125" s="23"/>
      <c r="F125" s="4">
        <f>경동전체1!J125</f>
        <v>0</v>
      </c>
      <c r="G125" s="23"/>
      <c r="H125" s="2">
        <f>경동전체1!H125</f>
        <v>0</v>
      </c>
      <c r="I125" s="2" t="str">
        <f>경동전체1!I125&amp;""</f>
        <v/>
      </c>
      <c r="J125" s="2" t="s">
        <v>36</v>
      </c>
      <c r="K125" s="2" t="str">
        <f>IF(LEFT(경동전체1!G125,1)="","따사룸",경동전체1!G125)</f>
        <v>따사룸</v>
      </c>
      <c r="L125" s="4" t="str">
        <f t="shared" si="4"/>
        <v>1</v>
      </c>
      <c r="M125" s="1" t="str">
        <f>IF(LEFT(경동전체1!D125,1)="2","비닐",IF(LEFT(경동전체1!O125,1)="박","박스","비닐"))</f>
        <v>비닐</v>
      </c>
      <c r="N125" s="25">
        <v>1</v>
      </c>
      <c r="O125" s="25">
        <v>1</v>
      </c>
      <c r="P125" s="25">
        <v>1</v>
      </c>
      <c r="Q125" s="25">
        <v>1</v>
      </c>
      <c r="R125" s="1" t="str">
        <f t="shared" si="5"/>
        <v>50</v>
      </c>
      <c r="S125" s="1">
        <f>경동전체1!B125</f>
        <v>0</v>
      </c>
      <c r="T125" s="1" t="str">
        <f t="shared" si="6"/>
        <v>100</v>
      </c>
      <c r="U125" s="5" t="str">
        <f t="shared" si="7"/>
        <v>0</v>
      </c>
      <c r="V125" s="26">
        <v>0</v>
      </c>
      <c r="W125" s="26">
        <v>0</v>
      </c>
      <c r="X125" s="2" t="str">
        <f>SUBSTITUTE(SUBSTITUTE(SUBSTITUTE(SUBSTITUTE(SUBSTITUTE(SUBSTITUTE(SUBSTITUTE(SUBSTITUTE(SUBSTITUTE(SUBSTITUTE(SUBSTITUTE(SUBSTITUTE(SUBSTITUTE(경동전체1!D125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6" spans="1:24" ht="23.25" customHeight="1" x14ac:dyDescent="0.3">
      <c r="A126" s="2">
        <f>경동전체1!A126</f>
        <v>0</v>
      </c>
      <c r="B126" s="13" t="str">
        <f>SUBSTITUTE(SUBSTITUTE(SUBSTITUTE(SUBSTITUTE(SUBSTITUTE(SUBSTITUTE(SUBSTITUTE(SUBSTITUTE(SUBSTITUTE(SUBSTITUTE(SUBSTITUTE(SUBSTITUTE(SUBSTITUTE(경동전체1!K126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6" s="30">
        <f>경동전체1!E126</f>
        <v>0</v>
      </c>
      <c r="D126" s="23"/>
      <c r="E126" s="23"/>
      <c r="F126" s="4">
        <f>경동전체1!J126</f>
        <v>0</v>
      </c>
      <c r="G126" s="23"/>
      <c r="H126" s="2">
        <f>경동전체1!H126</f>
        <v>0</v>
      </c>
      <c r="I126" s="2" t="str">
        <f>경동전체1!I126&amp;""</f>
        <v/>
      </c>
      <c r="J126" s="2" t="s">
        <v>36</v>
      </c>
      <c r="K126" s="2" t="str">
        <f>IF(LEFT(경동전체1!G126,1)="","따사룸",경동전체1!G126)</f>
        <v>따사룸</v>
      </c>
      <c r="L126" s="4" t="str">
        <f t="shared" si="4"/>
        <v>1</v>
      </c>
      <c r="M126" s="1" t="str">
        <f>IF(LEFT(경동전체1!D126,1)="2","비닐",IF(LEFT(경동전체1!O126,1)="박","박스","비닐"))</f>
        <v>비닐</v>
      </c>
      <c r="N126" s="25">
        <v>1</v>
      </c>
      <c r="O126" s="25">
        <v>1</v>
      </c>
      <c r="P126" s="25">
        <v>1</v>
      </c>
      <c r="Q126" s="25">
        <v>1</v>
      </c>
      <c r="R126" s="1" t="str">
        <f t="shared" si="5"/>
        <v>50</v>
      </c>
      <c r="S126" s="1">
        <f>경동전체1!B126</f>
        <v>0</v>
      </c>
      <c r="T126" s="1" t="str">
        <f t="shared" si="6"/>
        <v>100</v>
      </c>
      <c r="U126" s="5" t="str">
        <f t="shared" si="7"/>
        <v>0</v>
      </c>
      <c r="V126" s="26">
        <v>0</v>
      </c>
      <c r="W126" s="26">
        <v>0</v>
      </c>
      <c r="X126" s="2" t="str">
        <f>SUBSTITUTE(SUBSTITUTE(SUBSTITUTE(SUBSTITUTE(SUBSTITUTE(SUBSTITUTE(SUBSTITUTE(SUBSTITUTE(SUBSTITUTE(SUBSTITUTE(SUBSTITUTE(SUBSTITUTE(SUBSTITUTE(경동전체1!D126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7" spans="1:24" ht="23.25" customHeight="1" x14ac:dyDescent="0.3">
      <c r="A127" s="2">
        <f>경동전체1!A127</f>
        <v>0</v>
      </c>
      <c r="B127" s="13" t="str">
        <f>SUBSTITUTE(SUBSTITUTE(SUBSTITUTE(SUBSTITUTE(SUBSTITUTE(SUBSTITUTE(SUBSTITUTE(SUBSTITUTE(SUBSTITUTE(SUBSTITUTE(SUBSTITUTE(SUBSTITUTE(SUBSTITUTE(경동전체1!K127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7" s="30">
        <f>경동전체1!E127</f>
        <v>0</v>
      </c>
      <c r="D127" s="23"/>
      <c r="E127" s="23"/>
      <c r="F127" s="4">
        <f>경동전체1!J127</f>
        <v>0</v>
      </c>
      <c r="G127" s="23"/>
      <c r="H127" s="2">
        <f>경동전체1!H127</f>
        <v>0</v>
      </c>
      <c r="I127" s="2" t="str">
        <f>경동전체1!I127&amp;""</f>
        <v/>
      </c>
      <c r="J127" s="2" t="s">
        <v>36</v>
      </c>
      <c r="K127" s="2" t="str">
        <f>IF(LEFT(경동전체1!G127,1)="","따사룸",경동전체1!G127)</f>
        <v>따사룸</v>
      </c>
      <c r="L127" s="4" t="str">
        <f t="shared" si="4"/>
        <v>1</v>
      </c>
      <c r="M127" s="1" t="str">
        <f>IF(LEFT(경동전체1!D127,1)="2","비닐",IF(LEFT(경동전체1!O127,1)="박","박스","비닐"))</f>
        <v>비닐</v>
      </c>
      <c r="N127" s="25">
        <v>1</v>
      </c>
      <c r="O127" s="25">
        <v>1</v>
      </c>
      <c r="P127" s="25">
        <v>1</v>
      </c>
      <c r="Q127" s="25">
        <v>1</v>
      </c>
      <c r="R127" s="1" t="str">
        <f t="shared" si="5"/>
        <v>50</v>
      </c>
      <c r="S127" s="1">
        <f>경동전체1!B127</f>
        <v>0</v>
      </c>
      <c r="T127" s="1" t="str">
        <f t="shared" si="6"/>
        <v>100</v>
      </c>
      <c r="U127" s="5" t="str">
        <f t="shared" si="7"/>
        <v>0</v>
      </c>
      <c r="V127" s="26">
        <v>0</v>
      </c>
      <c r="W127" s="26">
        <v>0</v>
      </c>
      <c r="X127" s="2" t="str">
        <f>SUBSTITUTE(SUBSTITUTE(SUBSTITUTE(SUBSTITUTE(SUBSTITUTE(SUBSTITUTE(SUBSTITUTE(SUBSTITUTE(SUBSTITUTE(SUBSTITUTE(SUBSTITUTE(SUBSTITUTE(SUBSTITUTE(경동전체1!D127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8" spans="1:24" ht="23.25" customHeight="1" x14ac:dyDescent="0.3">
      <c r="A128" s="2">
        <f>경동전체1!A128</f>
        <v>0</v>
      </c>
      <c r="B128" s="13" t="str">
        <f>SUBSTITUTE(SUBSTITUTE(SUBSTITUTE(SUBSTITUTE(SUBSTITUTE(SUBSTITUTE(SUBSTITUTE(SUBSTITUTE(SUBSTITUTE(SUBSTITUTE(SUBSTITUTE(SUBSTITUTE(SUBSTITUTE(경동전체1!K128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8" s="30">
        <f>경동전체1!E128</f>
        <v>0</v>
      </c>
      <c r="D128" s="23"/>
      <c r="E128" s="23"/>
      <c r="F128" s="4">
        <f>경동전체1!J128</f>
        <v>0</v>
      </c>
      <c r="G128" s="23"/>
      <c r="H128" s="2">
        <f>경동전체1!H128</f>
        <v>0</v>
      </c>
      <c r="I128" s="2" t="str">
        <f>경동전체1!I128&amp;""</f>
        <v/>
      </c>
      <c r="J128" s="2" t="s">
        <v>36</v>
      </c>
      <c r="K128" s="2" t="str">
        <f>IF(LEFT(경동전체1!G128,1)="","따사룸",경동전체1!G128)</f>
        <v>따사룸</v>
      </c>
      <c r="L128" s="4" t="str">
        <f t="shared" si="4"/>
        <v>1</v>
      </c>
      <c r="M128" s="1" t="str">
        <f>IF(LEFT(경동전체1!D128,1)="2","비닐",IF(LEFT(경동전체1!O128,1)="박","박스","비닐"))</f>
        <v>비닐</v>
      </c>
      <c r="N128" s="25">
        <v>1</v>
      </c>
      <c r="O128" s="25">
        <v>1</v>
      </c>
      <c r="P128" s="25">
        <v>1</v>
      </c>
      <c r="Q128" s="25">
        <v>1</v>
      </c>
      <c r="R128" s="1" t="str">
        <f t="shared" si="5"/>
        <v>50</v>
      </c>
      <c r="S128" s="1">
        <f>경동전체1!B128</f>
        <v>0</v>
      </c>
      <c r="T128" s="1" t="str">
        <f t="shared" si="6"/>
        <v>100</v>
      </c>
      <c r="U128" s="5" t="str">
        <f t="shared" si="7"/>
        <v>0</v>
      </c>
      <c r="V128" s="26">
        <v>0</v>
      </c>
      <c r="W128" s="26">
        <v>0</v>
      </c>
      <c r="X128" s="2" t="str">
        <f>SUBSTITUTE(SUBSTITUTE(SUBSTITUTE(SUBSTITUTE(SUBSTITUTE(SUBSTITUTE(SUBSTITUTE(SUBSTITUTE(SUBSTITUTE(SUBSTITUTE(SUBSTITUTE(SUBSTITUTE(SUBSTITUTE(경동전체1!D128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9" spans="1:24" ht="23.25" customHeight="1" x14ac:dyDescent="0.3">
      <c r="A129" s="2">
        <f>경동전체1!A129</f>
        <v>0</v>
      </c>
      <c r="B129" s="13" t="str">
        <f>SUBSTITUTE(SUBSTITUTE(SUBSTITUTE(SUBSTITUTE(SUBSTITUTE(SUBSTITUTE(SUBSTITUTE(SUBSTITUTE(SUBSTITUTE(SUBSTITUTE(SUBSTITUTE(SUBSTITUTE(SUBSTITUTE(경동전체1!K129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9" s="30">
        <f>경동전체1!E129</f>
        <v>0</v>
      </c>
      <c r="D129" s="23"/>
      <c r="E129" s="23"/>
      <c r="F129" s="4">
        <f>경동전체1!J129</f>
        <v>0</v>
      </c>
      <c r="G129" s="23"/>
      <c r="H129" s="2">
        <f>경동전체1!H129</f>
        <v>0</v>
      </c>
      <c r="I129" s="2" t="str">
        <f>경동전체1!I129&amp;""</f>
        <v/>
      </c>
      <c r="J129" s="2" t="s">
        <v>36</v>
      </c>
      <c r="K129" s="2" t="str">
        <f>IF(LEFT(경동전체1!G129,1)="","따사룸",경동전체1!G129)</f>
        <v>따사룸</v>
      </c>
      <c r="L129" s="4" t="str">
        <f t="shared" si="4"/>
        <v>1</v>
      </c>
      <c r="M129" s="1" t="str">
        <f>IF(LEFT(경동전체1!D129,1)="2","비닐",IF(LEFT(경동전체1!O129,1)="박","박스","비닐"))</f>
        <v>비닐</v>
      </c>
      <c r="N129" s="25">
        <v>1</v>
      </c>
      <c r="O129" s="25">
        <v>1</v>
      </c>
      <c r="P129" s="25">
        <v>1</v>
      </c>
      <c r="Q129" s="25">
        <v>1</v>
      </c>
      <c r="R129" s="1" t="str">
        <f t="shared" si="5"/>
        <v>50</v>
      </c>
      <c r="S129" s="1">
        <f>경동전체1!B129</f>
        <v>0</v>
      </c>
      <c r="T129" s="1" t="str">
        <f t="shared" si="6"/>
        <v>100</v>
      </c>
      <c r="U129" s="5" t="str">
        <f t="shared" si="7"/>
        <v>0</v>
      </c>
      <c r="V129" s="26">
        <v>0</v>
      </c>
      <c r="W129" s="26">
        <v>0</v>
      </c>
      <c r="X129" s="2" t="str">
        <f>SUBSTITUTE(SUBSTITUTE(SUBSTITUTE(SUBSTITUTE(SUBSTITUTE(SUBSTITUTE(SUBSTITUTE(SUBSTITUTE(SUBSTITUTE(SUBSTITUTE(SUBSTITUTE(SUBSTITUTE(SUBSTITUTE(경동전체1!D129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0" spans="1:24" ht="23.25" customHeight="1" x14ac:dyDescent="0.3">
      <c r="A130" s="2">
        <f>경동전체1!A130</f>
        <v>0</v>
      </c>
      <c r="B130" s="13" t="str">
        <f>SUBSTITUTE(SUBSTITUTE(SUBSTITUTE(SUBSTITUTE(SUBSTITUTE(SUBSTITUTE(SUBSTITUTE(SUBSTITUTE(SUBSTITUTE(SUBSTITUTE(SUBSTITUTE(SUBSTITUTE(SUBSTITUTE(경동전체1!K130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0" s="30">
        <f>경동전체1!E130</f>
        <v>0</v>
      </c>
      <c r="D130" s="23"/>
      <c r="E130" s="23"/>
      <c r="F130" s="4">
        <f>경동전체1!J130</f>
        <v>0</v>
      </c>
      <c r="G130" s="23"/>
      <c r="H130" s="2">
        <f>경동전체1!H130</f>
        <v>0</v>
      </c>
      <c r="I130" s="2" t="str">
        <f>경동전체1!I130&amp;""</f>
        <v/>
      </c>
      <c r="J130" s="2" t="s">
        <v>36</v>
      </c>
      <c r="K130" s="2" t="str">
        <f>IF(LEFT(경동전체1!G130,1)="","따사룸",경동전체1!G130)</f>
        <v>따사룸</v>
      </c>
      <c r="L130" s="4" t="str">
        <f t="shared" si="4"/>
        <v>1</v>
      </c>
      <c r="M130" s="1" t="str">
        <f>IF(LEFT(경동전체1!D130,1)="2","비닐",IF(LEFT(경동전체1!O130,1)="박","박스","비닐"))</f>
        <v>비닐</v>
      </c>
      <c r="N130" s="25">
        <v>1</v>
      </c>
      <c r="O130" s="25">
        <v>1</v>
      </c>
      <c r="P130" s="25">
        <v>1</v>
      </c>
      <c r="Q130" s="25">
        <v>1</v>
      </c>
      <c r="R130" s="1" t="str">
        <f t="shared" si="5"/>
        <v>50</v>
      </c>
      <c r="S130" s="1">
        <f>경동전체1!B130</f>
        <v>0</v>
      </c>
      <c r="T130" s="1" t="str">
        <f t="shared" si="6"/>
        <v>100</v>
      </c>
      <c r="U130" s="5" t="str">
        <f t="shared" si="7"/>
        <v>0</v>
      </c>
      <c r="V130" s="26">
        <v>0</v>
      </c>
      <c r="W130" s="26">
        <v>0</v>
      </c>
      <c r="X130" s="2" t="str">
        <f>SUBSTITUTE(SUBSTITUTE(SUBSTITUTE(SUBSTITUTE(SUBSTITUTE(SUBSTITUTE(SUBSTITUTE(SUBSTITUTE(SUBSTITUTE(SUBSTITUTE(SUBSTITUTE(SUBSTITUTE(SUBSTITUTE(경동전체1!D130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1" spans="1:24" ht="23.25" customHeight="1" x14ac:dyDescent="0.3">
      <c r="A131" s="2">
        <f>경동전체1!A131</f>
        <v>0</v>
      </c>
      <c r="B131" s="13" t="str">
        <f>SUBSTITUTE(SUBSTITUTE(SUBSTITUTE(SUBSTITUTE(SUBSTITUTE(SUBSTITUTE(SUBSTITUTE(SUBSTITUTE(SUBSTITUTE(SUBSTITUTE(SUBSTITUTE(SUBSTITUTE(SUBSTITUTE(경동전체1!K131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1" s="30">
        <f>경동전체1!E131</f>
        <v>0</v>
      </c>
      <c r="D131" s="23"/>
      <c r="E131" s="23"/>
      <c r="F131" s="4">
        <f>경동전체1!J131</f>
        <v>0</v>
      </c>
      <c r="G131" s="23"/>
      <c r="H131" s="2">
        <f>경동전체1!H131</f>
        <v>0</v>
      </c>
      <c r="I131" s="2" t="str">
        <f>경동전체1!I131&amp;""</f>
        <v/>
      </c>
      <c r="J131" s="2" t="s">
        <v>36</v>
      </c>
      <c r="K131" s="2" t="str">
        <f>IF(LEFT(경동전체1!G131,1)="","따사룸",경동전체1!G131)</f>
        <v>따사룸</v>
      </c>
      <c r="L131" s="4" t="str">
        <f t="shared" ref="L131:L194" si="8">"1"</f>
        <v>1</v>
      </c>
      <c r="M131" s="1" t="str">
        <f>IF(LEFT(경동전체1!D131,1)="2","비닐",IF(LEFT(경동전체1!O131,1)="박","박스","비닐"))</f>
        <v>비닐</v>
      </c>
      <c r="N131" s="25">
        <v>1</v>
      </c>
      <c r="O131" s="25">
        <v>1</v>
      </c>
      <c r="P131" s="25">
        <v>1</v>
      </c>
      <c r="Q131" s="25">
        <v>1</v>
      </c>
      <c r="R131" s="1" t="str">
        <f t="shared" ref="R131:R194" si="9">"50"</f>
        <v>50</v>
      </c>
      <c r="S131" s="1">
        <f>경동전체1!B131</f>
        <v>0</v>
      </c>
      <c r="T131" s="1" t="str">
        <f t="shared" ref="T131:T194" si="10">"100"</f>
        <v>100</v>
      </c>
      <c r="U131" s="5" t="str">
        <f t="shared" ref="U131:U194" si="11">"0"</f>
        <v>0</v>
      </c>
      <c r="V131" s="26">
        <v>0</v>
      </c>
      <c r="W131" s="26">
        <v>0</v>
      </c>
      <c r="X131" s="2" t="str">
        <f>SUBSTITUTE(SUBSTITUTE(SUBSTITUTE(SUBSTITUTE(SUBSTITUTE(SUBSTITUTE(SUBSTITUTE(SUBSTITUTE(SUBSTITUTE(SUBSTITUTE(SUBSTITUTE(SUBSTITUTE(SUBSTITUTE(경동전체1!D131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2" spans="1:24" ht="23.25" customHeight="1" x14ac:dyDescent="0.3">
      <c r="A132" s="2">
        <f>경동전체1!A132</f>
        <v>0</v>
      </c>
      <c r="B132" s="13" t="str">
        <f>SUBSTITUTE(SUBSTITUTE(SUBSTITUTE(SUBSTITUTE(SUBSTITUTE(SUBSTITUTE(SUBSTITUTE(SUBSTITUTE(SUBSTITUTE(SUBSTITUTE(SUBSTITUTE(SUBSTITUTE(SUBSTITUTE(경동전체1!K132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2" s="30">
        <f>경동전체1!E132</f>
        <v>0</v>
      </c>
      <c r="D132" s="23"/>
      <c r="E132" s="23"/>
      <c r="F132" s="4">
        <f>경동전체1!J132</f>
        <v>0</v>
      </c>
      <c r="G132" s="23"/>
      <c r="H132" s="2">
        <f>경동전체1!H132</f>
        <v>0</v>
      </c>
      <c r="I132" s="2" t="str">
        <f>경동전체1!I132&amp;""</f>
        <v/>
      </c>
      <c r="J132" s="2" t="s">
        <v>36</v>
      </c>
      <c r="K132" s="2" t="str">
        <f>IF(LEFT(경동전체1!G132,1)="","따사룸",경동전체1!G132)</f>
        <v>따사룸</v>
      </c>
      <c r="L132" s="4" t="str">
        <f t="shared" si="8"/>
        <v>1</v>
      </c>
      <c r="M132" s="1" t="str">
        <f>IF(LEFT(경동전체1!D132,1)="2","비닐",IF(LEFT(경동전체1!O132,1)="박","박스","비닐"))</f>
        <v>비닐</v>
      </c>
      <c r="N132" s="25">
        <v>1</v>
      </c>
      <c r="O132" s="25">
        <v>1</v>
      </c>
      <c r="P132" s="25">
        <v>1</v>
      </c>
      <c r="Q132" s="25">
        <v>1</v>
      </c>
      <c r="R132" s="1" t="str">
        <f t="shared" si="9"/>
        <v>50</v>
      </c>
      <c r="S132" s="1">
        <f>경동전체1!B132</f>
        <v>0</v>
      </c>
      <c r="T132" s="1" t="str">
        <f t="shared" si="10"/>
        <v>100</v>
      </c>
      <c r="U132" s="5" t="str">
        <f t="shared" si="11"/>
        <v>0</v>
      </c>
      <c r="V132" s="26">
        <v>0</v>
      </c>
      <c r="W132" s="26">
        <v>0</v>
      </c>
      <c r="X132" s="2" t="str">
        <f>SUBSTITUTE(SUBSTITUTE(SUBSTITUTE(SUBSTITUTE(SUBSTITUTE(SUBSTITUTE(SUBSTITUTE(SUBSTITUTE(SUBSTITUTE(SUBSTITUTE(SUBSTITUTE(SUBSTITUTE(SUBSTITUTE(경동전체1!D132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3" spans="1:24" ht="23.25" customHeight="1" x14ac:dyDescent="0.3">
      <c r="A133" s="2">
        <f>경동전체1!A133</f>
        <v>0</v>
      </c>
      <c r="B133" s="13" t="str">
        <f>SUBSTITUTE(SUBSTITUTE(SUBSTITUTE(SUBSTITUTE(SUBSTITUTE(SUBSTITUTE(SUBSTITUTE(SUBSTITUTE(SUBSTITUTE(SUBSTITUTE(SUBSTITUTE(SUBSTITUTE(SUBSTITUTE(경동전체1!K133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3" s="30">
        <f>경동전체1!E133</f>
        <v>0</v>
      </c>
      <c r="D133" s="23"/>
      <c r="E133" s="23"/>
      <c r="F133" s="4">
        <f>경동전체1!J133</f>
        <v>0</v>
      </c>
      <c r="G133" s="23"/>
      <c r="H133" s="2">
        <f>경동전체1!H133</f>
        <v>0</v>
      </c>
      <c r="I133" s="2" t="str">
        <f>경동전체1!I133&amp;""</f>
        <v/>
      </c>
      <c r="J133" s="2" t="s">
        <v>36</v>
      </c>
      <c r="K133" s="2" t="str">
        <f>IF(LEFT(경동전체1!G133,1)="","따사룸",경동전체1!G133)</f>
        <v>따사룸</v>
      </c>
      <c r="L133" s="4" t="str">
        <f t="shared" si="8"/>
        <v>1</v>
      </c>
      <c r="M133" s="1" t="str">
        <f>IF(LEFT(경동전체1!D133,1)="2","비닐",IF(LEFT(경동전체1!O133,1)="박","박스","비닐"))</f>
        <v>비닐</v>
      </c>
      <c r="N133" s="25">
        <v>1</v>
      </c>
      <c r="O133" s="25">
        <v>1</v>
      </c>
      <c r="P133" s="25">
        <v>1</v>
      </c>
      <c r="Q133" s="25">
        <v>1</v>
      </c>
      <c r="R133" s="1" t="str">
        <f t="shared" si="9"/>
        <v>50</v>
      </c>
      <c r="S133" s="1">
        <f>경동전체1!B133</f>
        <v>0</v>
      </c>
      <c r="T133" s="1" t="str">
        <f t="shared" si="10"/>
        <v>100</v>
      </c>
      <c r="U133" s="5" t="str">
        <f t="shared" si="11"/>
        <v>0</v>
      </c>
      <c r="V133" s="26">
        <v>0</v>
      </c>
      <c r="W133" s="26">
        <v>0</v>
      </c>
      <c r="X133" s="2" t="str">
        <f>SUBSTITUTE(SUBSTITUTE(SUBSTITUTE(SUBSTITUTE(SUBSTITUTE(SUBSTITUTE(SUBSTITUTE(SUBSTITUTE(SUBSTITUTE(SUBSTITUTE(SUBSTITUTE(SUBSTITUTE(SUBSTITUTE(경동전체1!D133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4" spans="1:24" ht="23.25" customHeight="1" x14ac:dyDescent="0.3">
      <c r="A134" s="2">
        <f>경동전체1!A134</f>
        <v>0</v>
      </c>
      <c r="B134" s="13" t="str">
        <f>SUBSTITUTE(SUBSTITUTE(SUBSTITUTE(SUBSTITUTE(SUBSTITUTE(SUBSTITUTE(SUBSTITUTE(SUBSTITUTE(SUBSTITUTE(SUBSTITUTE(SUBSTITUTE(SUBSTITUTE(SUBSTITUTE(경동전체1!K134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4" s="30">
        <f>경동전체1!E134</f>
        <v>0</v>
      </c>
      <c r="D134" s="23"/>
      <c r="E134" s="23"/>
      <c r="F134" s="4">
        <f>경동전체1!J134</f>
        <v>0</v>
      </c>
      <c r="G134" s="23"/>
      <c r="H134" s="2">
        <f>경동전체1!H134</f>
        <v>0</v>
      </c>
      <c r="I134" s="2" t="str">
        <f>경동전체1!I134&amp;""</f>
        <v/>
      </c>
      <c r="J134" s="2" t="s">
        <v>36</v>
      </c>
      <c r="K134" s="2" t="str">
        <f>IF(LEFT(경동전체1!G134,1)="","따사룸",경동전체1!G134)</f>
        <v>따사룸</v>
      </c>
      <c r="L134" s="4" t="str">
        <f t="shared" si="8"/>
        <v>1</v>
      </c>
      <c r="M134" s="1" t="str">
        <f>IF(LEFT(경동전체1!D134,1)="2","비닐",IF(LEFT(경동전체1!O134,1)="박","박스","비닐"))</f>
        <v>비닐</v>
      </c>
      <c r="N134" s="25">
        <v>1</v>
      </c>
      <c r="O134" s="25">
        <v>1</v>
      </c>
      <c r="P134" s="25">
        <v>1</v>
      </c>
      <c r="Q134" s="25">
        <v>1</v>
      </c>
      <c r="R134" s="1" t="str">
        <f t="shared" si="9"/>
        <v>50</v>
      </c>
      <c r="S134" s="1">
        <f>경동전체1!B134</f>
        <v>0</v>
      </c>
      <c r="T134" s="1" t="str">
        <f t="shared" si="10"/>
        <v>100</v>
      </c>
      <c r="U134" s="5" t="str">
        <f t="shared" si="11"/>
        <v>0</v>
      </c>
      <c r="V134" s="26">
        <v>0</v>
      </c>
      <c r="W134" s="26">
        <v>0</v>
      </c>
      <c r="X134" s="2" t="str">
        <f>SUBSTITUTE(SUBSTITUTE(SUBSTITUTE(SUBSTITUTE(SUBSTITUTE(SUBSTITUTE(SUBSTITUTE(SUBSTITUTE(SUBSTITUTE(SUBSTITUTE(SUBSTITUTE(SUBSTITUTE(SUBSTITUTE(경동전체1!D134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5" spans="1:24" ht="23.25" customHeight="1" x14ac:dyDescent="0.3">
      <c r="A135" s="2">
        <f>경동전체1!A135</f>
        <v>0</v>
      </c>
      <c r="B135" s="13" t="str">
        <f>SUBSTITUTE(SUBSTITUTE(SUBSTITUTE(SUBSTITUTE(SUBSTITUTE(SUBSTITUTE(SUBSTITUTE(SUBSTITUTE(SUBSTITUTE(SUBSTITUTE(SUBSTITUTE(SUBSTITUTE(SUBSTITUTE(경동전체1!K135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5" s="30">
        <f>경동전체1!E135</f>
        <v>0</v>
      </c>
      <c r="D135" s="23"/>
      <c r="E135" s="23"/>
      <c r="F135" s="4">
        <f>경동전체1!J135</f>
        <v>0</v>
      </c>
      <c r="G135" s="23"/>
      <c r="H135" s="2">
        <f>경동전체1!H135</f>
        <v>0</v>
      </c>
      <c r="I135" s="2" t="str">
        <f>경동전체1!I135&amp;""</f>
        <v/>
      </c>
      <c r="J135" s="2" t="s">
        <v>36</v>
      </c>
      <c r="K135" s="2" t="str">
        <f>IF(LEFT(경동전체1!G135,1)="","따사룸",경동전체1!G135)</f>
        <v>따사룸</v>
      </c>
      <c r="L135" s="4" t="str">
        <f t="shared" si="8"/>
        <v>1</v>
      </c>
      <c r="M135" s="1" t="str">
        <f>IF(LEFT(경동전체1!D135,1)="2","비닐",IF(LEFT(경동전체1!O135,1)="박","박스","비닐"))</f>
        <v>비닐</v>
      </c>
      <c r="N135" s="25">
        <v>1</v>
      </c>
      <c r="O135" s="25">
        <v>1</v>
      </c>
      <c r="P135" s="25">
        <v>1</v>
      </c>
      <c r="Q135" s="25">
        <v>1</v>
      </c>
      <c r="R135" s="1" t="str">
        <f t="shared" si="9"/>
        <v>50</v>
      </c>
      <c r="S135" s="1">
        <f>경동전체1!B135</f>
        <v>0</v>
      </c>
      <c r="T135" s="1" t="str">
        <f t="shared" si="10"/>
        <v>100</v>
      </c>
      <c r="U135" s="5" t="str">
        <f t="shared" si="11"/>
        <v>0</v>
      </c>
      <c r="V135" s="26">
        <v>0</v>
      </c>
      <c r="W135" s="26">
        <v>0</v>
      </c>
      <c r="X135" s="2" t="str">
        <f>SUBSTITUTE(SUBSTITUTE(SUBSTITUTE(SUBSTITUTE(SUBSTITUTE(SUBSTITUTE(SUBSTITUTE(SUBSTITUTE(SUBSTITUTE(SUBSTITUTE(SUBSTITUTE(SUBSTITUTE(SUBSTITUTE(경동전체1!D135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6" spans="1:24" ht="23.25" customHeight="1" x14ac:dyDescent="0.3">
      <c r="A136" s="2">
        <f>경동전체1!A136</f>
        <v>0</v>
      </c>
      <c r="B136" s="13" t="str">
        <f>SUBSTITUTE(SUBSTITUTE(SUBSTITUTE(SUBSTITUTE(SUBSTITUTE(SUBSTITUTE(SUBSTITUTE(SUBSTITUTE(SUBSTITUTE(SUBSTITUTE(SUBSTITUTE(SUBSTITUTE(SUBSTITUTE(경동전체1!K136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6" s="30">
        <f>경동전체1!E136</f>
        <v>0</v>
      </c>
      <c r="D136" s="23"/>
      <c r="E136" s="23"/>
      <c r="F136" s="4">
        <f>경동전체1!J136</f>
        <v>0</v>
      </c>
      <c r="G136" s="23"/>
      <c r="H136" s="2">
        <f>경동전체1!H136</f>
        <v>0</v>
      </c>
      <c r="I136" s="2" t="str">
        <f>경동전체1!I136&amp;""</f>
        <v/>
      </c>
      <c r="J136" s="2" t="s">
        <v>36</v>
      </c>
      <c r="K136" s="2" t="str">
        <f>IF(LEFT(경동전체1!G136,1)="","따사룸",경동전체1!G136)</f>
        <v>따사룸</v>
      </c>
      <c r="L136" s="4" t="str">
        <f t="shared" si="8"/>
        <v>1</v>
      </c>
      <c r="M136" s="1" t="str">
        <f>IF(LEFT(경동전체1!D136,1)="2","비닐",IF(LEFT(경동전체1!O136,1)="박","박스","비닐"))</f>
        <v>비닐</v>
      </c>
      <c r="N136" s="25">
        <v>1</v>
      </c>
      <c r="O136" s="25">
        <v>1</v>
      </c>
      <c r="P136" s="25">
        <v>1</v>
      </c>
      <c r="Q136" s="25">
        <v>1</v>
      </c>
      <c r="R136" s="1" t="str">
        <f t="shared" si="9"/>
        <v>50</v>
      </c>
      <c r="S136" s="1">
        <f>경동전체1!B136</f>
        <v>0</v>
      </c>
      <c r="T136" s="1" t="str">
        <f t="shared" si="10"/>
        <v>100</v>
      </c>
      <c r="U136" s="5" t="str">
        <f t="shared" si="11"/>
        <v>0</v>
      </c>
      <c r="V136" s="26">
        <v>0</v>
      </c>
      <c r="W136" s="26">
        <v>0</v>
      </c>
      <c r="X136" s="2" t="str">
        <f>SUBSTITUTE(SUBSTITUTE(SUBSTITUTE(SUBSTITUTE(SUBSTITUTE(SUBSTITUTE(SUBSTITUTE(SUBSTITUTE(SUBSTITUTE(SUBSTITUTE(SUBSTITUTE(SUBSTITUTE(SUBSTITUTE(경동전체1!D136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7" spans="1:24" ht="23.25" customHeight="1" x14ac:dyDescent="0.3">
      <c r="A137" s="2">
        <f>경동전체1!A137</f>
        <v>0</v>
      </c>
      <c r="B137" s="13" t="str">
        <f>SUBSTITUTE(SUBSTITUTE(SUBSTITUTE(SUBSTITUTE(SUBSTITUTE(SUBSTITUTE(SUBSTITUTE(SUBSTITUTE(SUBSTITUTE(SUBSTITUTE(SUBSTITUTE(SUBSTITUTE(SUBSTITUTE(경동전체1!K137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7" s="30">
        <f>경동전체1!E137</f>
        <v>0</v>
      </c>
      <c r="D137" s="23"/>
      <c r="E137" s="23"/>
      <c r="F137" s="4">
        <f>경동전체1!J137</f>
        <v>0</v>
      </c>
      <c r="G137" s="23"/>
      <c r="H137" s="2">
        <f>경동전체1!H137</f>
        <v>0</v>
      </c>
      <c r="I137" s="2" t="str">
        <f>경동전체1!I137&amp;""</f>
        <v/>
      </c>
      <c r="J137" s="2" t="s">
        <v>36</v>
      </c>
      <c r="K137" s="2" t="str">
        <f>IF(LEFT(경동전체1!G137,1)="","따사룸",경동전체1!G137)</f>
        <v>따사룸</v>
      </c>
      <c r="L137" s="4" t="str">
        <f t="shared" si="8"/>
        <v>1</v>
      </c>
      <c r="M137" s="1" t="str">
        <f>IF(LEFT(경동전체1!D137,1)="2","비닐",IF(LEFT(경동전체1!O137,1)="박","박스","비닐"))</f>
        <v>비닐</v>
      </c>
      <c r="N137" s="25">
        <v>1</v>
      </c>
      <c r="O137" s="25">
        <v>1</v>
      </c>
      <c r="P137" s="25">
        <v>1</v>
      </c>
      <c r="Q137" s="25">
        <v>1</v>
      </c>
      <c r="R137" s="1" t="str">
        <f t="shared" si="9"/>
        <v>50</v>
      </c>
      <c r="S137" s="1">
        <f>경동전체1!B137</f>
        <v>0</v>
      </c>
      <c r="T137" s="1" t="str">
        <f t="shared" si="10"/>
        <v>100</v>
      </c>
      <c r="U137" s="5" t="str">
        <f t="shared" si="11"/>
        <v>0</v>
      </c>
      <c r="V137" s="26">
        <v>0</v>
      </c>
      <c r="W137" s="26">
        <v>0</v>
      </c>
      <c r="X137" s="2" t="str">
        <f>SUBSTITUTE(SUBSTITUTE(SUBSTITUTE(SUBSTITUTE(SUBSTITUTE(SUBSTITUTE(SUBSTITUTE(SUBSTITUTE(SUBSTITUTE(SUBSTITUTE(SUBSTITUTE(SUBSTITUTE(SUBSTITUTE(경동전체1!D137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8" spans="1:24" ht="23.25" customHeight="1" x14ac:dyDescent="0.3">
      <c r="A138" s="2">
        <f>경동전체1!A138</f>
        <v>0</v>
      </c>
      <c r="B138" s="13" t="str">
        <f>SUBSTITUTE(SUBSTITUTE(SUBSTITUTE(SUBSTITUTE(SUBSTITUTE(SUBSTITUTE(SUBSTITUTE(SUBSTITUTE(SUBSTITUTE(SUBSTITUTE(SUBSTITUTE(SUBSTITUTE(SUBSTITUTE(경동전체1!K138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8" s="30">
        <f>경동전체1!E138</f>
        <v>0</v>
      </c>
      <c r="D138" s="23"/>
      <c r="E138" s="23"/>
      <c r="F138" s="4">
        <f>경동전체1!J138</f>
        <v>0</v>
      </c>
      <c r="G138" s="23"/>
      <c r="H138" s="2">
        <f>경동전체1!H138</f>
        <v>0</v>
      </c>
      <c r="I138" s="2" t="str">
        <f>경동전체1!I138&amp;""</f>
        <v/>
      </c>
      <c r="J138" s="2" t="s">
        <v>36</v>
      </c>
      <c r="K138" s="2" t="str">
        <f>IF(LEFT(경동전체1!G138,1)="","따사룸",경동전체1!G138)</f>
        <v>따사룸</v>
      </c>
      <c r="L138" s="4" t="str">
        <f t="shared" si="8"/>
        <v>1</v>
      </c>
      <c r="M138" s="1" t="str">
        <f>IF(LEFT(경동전체1!D138,1)="2","비닐",IF(LEFT(경동전체1!O138,1)="박","박스","비닐"))</f>
        <v>비닐</v>
      </c>
      <c r="N138" s="25">
        <v>1</v>
      </c>
      <c r="O138" s="25">
        <v>1</v>
      </c>
      <c r="P138" s="25">
        <v>1</v>
      </c>
      <c r="Q138" s="25">
        <v>1</v>
      </c>
      <c r="R138" s="1" t="str">
        <f t="shared" si="9"/>
        <v>50</v>
      </c>
      <c r="S138" s="1">
        <f>경동전체1!B138</f>
        <v>0</v>
      </c>
      <c r="T138" s="1" t="str">
        <f t="shared" si="10"/>
        <v>100</v>
      </c>
      <c r="U138" s="5" t="str">
        <f t="shared" si="11"/>
        <v>0</v>
      </c>
      <c r="V138" s="26">
        <v>0</v>
      </c>
      <c r="W138" s="26">
        <v>0</v>
      </c>
      <c r="X138" s="2" t="str">
        <f>SUBSTITUTE(SUBSTITUTE(SUBSTITUTE(SUBSTITUTE(SUBSTITUTE(SUBSTITUTE(SUBSTITUTE(SUBSTITUTE(SUBSTITUTE(SUBSTITUTE(SUBSTITUTE(SUBSTITUTE(SUBSTITUTE(경동전체1!D138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9" spans="1:24" ht="23.25" customHeight="1" x14ac:dyDescent="0.3">
      <c r="A139" s="2">
        <f>경동전체1!A139</f>
        <v>0</v>
      </c>
      <c r="B139" s="13" t="str">
        <f>SUBSTITUTE(SUBSTITUTE(SUBSTITUTE(SUBSTITUTE(SUBSTITUTE(SUBSTITUTE(SUBSTITUTE(SUBSTITUTE(SUBSTITUTE(SUBSTITUTE(SUBSTITUTE(SUBSTITUTE(SUBSTITUTE(경동전체1!K139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9" s="30">
        <f>경동전체1!E139</f>
        <v>0</v>
      </c>
      <c r="D139" s="23"/>
      <c r="E139" s="23"/>
      <c r="F139" s="4">
        <f>경동전체1!J139</f>
        <v>0</v>
      </c>
      <c r="G139" s="23"/>
      <c r="H139" s="2">
        <f>경동전체1!H139</f>
        <v>0</v>
      </c>
      <c r="I139" s="2" t="str">
        <f>경동전체1!I139&amp;""</f>
        <v/>
      </c>
      <c r="J139" s="2" t="s">
        <v>36</v>
      </c>
      <c r="K139" s="2" t="str">
        <f>IF(LEFT(경동전체1!G139,1)="","따사룸",경동전체1!G139)</f>
        <v>따사룸</v>
      </c>
      <c r="L139" s="4" t="str">
        <f t="shared" si="8"/>
        <v>1</v>
      </c>
      <c r="M139" s="1" t="str">
        <f>IF(LEFT(경동전체1!D139,1)="2","비닐",IF(LEFT(경동전체1!O139,1)="박","박스","비닐"))</f>
        <v>비닐</v>
      </c>
      <c r="N139" s="25">
        <v>1</v>
      </c>
      <c r="O139" s="25">
        <v>1</v>
      </c>
      <c r="P139" s="25">
        <v>1</v>
      </c>
      <c r="Q139" s="25">
        <v>1</v>
      </c>
      <c r="R139" s="1" t="str">
        <f t="shared" si="9"/>
        <v>50</v>
      </c>
      <c r="S139" s="1">
        <f>경동전체1!B139</f>
        <v>0</v>
      </c>
      <c r="T139" s="1" t="str">
        <f t="shared" si="10"/>
        <v>100</v>
      </c>
      <c r="U139" s="5" t="str">
        <f t="shared" si="11"/>
        <v>0</v>
      </c>
      <c r="V139" s="26">
        <v>0</v>
      </c>
      <c r="W139" s="26">
        <v>0</v>
      </c>
      <c r="X139" s="2" t="str">
        <f>SUBSTITUTE(SUBSTITUTE(SUBSTITUTE(SUBSTITUTE(SUBSTITUTE(SUBSTITUTE(SUBSTITUTE(SUBSTITUTE(SUBSTITUTE(SUBSTITUTE(SUBSTITUTE(SUBSTITUTE(SUBSTITUTE(경동전체1!D139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0" spans="1:24" ht="23.25" customHeight="1" x14ac:dyDescent="0.3">
      <c r="A140" s="2">
        <f>경동전체1!A140</f>
        <v>0</v>
      </c>
      <c r="B140" s="13" t="str">
        <f>SUBSTITUTE(SUBSTITUTE(SUBSTITUTE(SUBSTITUTE(SUBSTITUTE(SUBSTITUTE(SUBSTITUTE(SUBSTITUTE(SUBSTITUTE(SUBSTITUTE(SUBSTITUTE(SUBSTITUTE(SUBSTITUTE(경동전체1!K140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0" s="30">
        <f>경동전체1!E140</f>
        <v>0</v>
      </c>
      <c r="D140" s="23"/>
      <c r="E140" s="23"/>
      <c r="F140" s="4">
        <f>경동전체1!J140</f>
        <v>0</v>
      </c>
      <c r="G140" s="23"/>
      <c r="H140" s="2">
        <f>경동전체1!H140</f>
        <v>0</v>
      </c>
      <c r="I140" s="2" t="str">
        <f>경동전체1!I140&amp;""</f>
        <v/>
      </c>
      <c r="J140" s="2" t="s">
        <v>36</v>
      </c>
      <c r="K140" s="2" t="str">
        <f>IF(LEFT(경동전체1!G140,1)="","따사룸",경동전체1!G140)</f>
        <v>따사룸</v>
      </c>
      <c r="L140" s="4" t="str">
        <f t="shared" si="8"/>
        <v>1</v>
      </c>
      <c r="M140" s="1" t="str">
        <f>IF(LEFT(경동전체1!D140,1)="2","비닐",IF(LEFT(경동전체1!O140,1)="박","박스","비닐"))</f>
        <v>비닐</v>
      </c>
      <c r="N140" s="25">
        <v>1</v>
      </c>
      <c r="O140" s="25">
        <v>1</v>
      </c>
      <c r="P140" s="25">
        <v>1</v>
      </c>
      <c r="Q140" s="25">
        <v>1</v>
      </c>
      <c r="R140" s="1" t="str">
        <f t="shared" si="9"/>
        <v>50</v>
      </c>
      <c r="S140" s="1">
        <f>경동전체1!B140</f>
        <v>0</v>
      </c>
      <c r="T140" s="1" t="str">
        <f t="shared" si="10"/>
        <v>100</v>
      </c>
      <c r="U140" s="5" t="str">
        <f t="shared" si="11"/>
        <v>0</v>
      </c>
      <c r="V140" s="26">
        <v>0</v>
      </c>
      <c r="W140" s="26">
        <v>0</v>
      </c>
      <c r="X140" s="2" t="str">
        <f>SUBSTITUTE(SUBSTITUTE(SUBSTITUTE(SUBSTITUTE(SUBSTITUTE(SUBSTITUTE(SUBSTITUTE(SUBSTITUTE(SUBSTITUTE(SUBSTITUTE(SUBSTITUTE(SUBSTITUTE(SUBSTITUTE(경동전체1!D140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1" spans="1:24" ht="23.25" customHeight="1" x14ac:dyDescent="0.3">
      <c r="A141" s="2">
        <f>경동전체1!A141</f>
        <v>0</v>
      </c>
      <c r="B141" s="13" t="str">
        <f>SUBSTITUTE(SUBSTITUTE(SUBSTITUTE(SUBSTITUTE(SUBSTITUTE(SUBSTITUTE(SUBSTITUTE(SUBSTITUTE(SUBSTITUTE(SUBSTITUTE(SUBSTITUTE(SUBSTITUTE(SUBSTITUTE(경동전체1!K141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1" s="30">
        <f>경동전체1!E141</f>
        <v>0</v>
      </c>
      <c r="D141" s="23"/>
      <c r="E141" s="23"/>
      <c r="F141" s="4">
        <f>경동전체1!J141</f>
        <v>0</v>
      </c>
      <c r="G141" s="23"/>
      <c r="H141" s="2">
        <f>경동전체1!H141</f>
        <v>0</v>
      </c>
      <c r="I141" s="2" t="str">
        <f>경동전체1!I141&amp;""</f>
        <v/>
      </c>
      <c r="J141" s="2" t="s">
        <v>36</v>
      </c>
      <c r="K141" s="2" t="str">
        <f>IF(LEFT(경동전체1!G141,1)="","따사룸",경동전체1!G141)</f>
        <v>따사룸</v>
      </c>
      <c r="L141" s="4" t="str">
        <f t="shared" si="8"/>
        <v>1</v>
      </c>
      <c r="M141" s="1" t="str">
        <f>IF(LEFT(경동전체1!D141,1)="2","비닐",IF(LEFT(경동전체1!O141,1)="박","박스","비닐"))</f>
        <v>비닐</v>
      </c>
      <c r="N141" s="25">
        <v>1</v>
      </c>
      <c r="O141" s="25">
        <v>1</v>
      </c>
      <c r="P141" s="25">
        <v>1</v>
      </c>
      <c r="Q141" s="25">
        <v>1</v>
      </c>
      <c r="R141" s="1" t="str">
        <f t="shared" si="9"/>
        <v>50</v>
      </c>
      <c r="S141" s="1">
        <f>경동전체1!B141</f>
        <v>0</v>
      </c>
      <c r="T141" s="1" t="str">
        <f t="shared" si="10"/>
        <v>100</v>
      </c>
      <c r="U141" s="5" t="str">
        <f t="shared" si="11"/>
        <v>0</v>
      </c>
      <c r="V141" s="26">
        <v>0</v>
      </c>
      <c r="W141" s="26">
        <v>0</v>
      </c>
      <c r="X141" s="2" t="str">
        <f>SUBSTITUTE(SUBSTITUTE(SUBSTITUTE(SUBSTITUTE(SUBSTITUTE(SUBSTITUTE(SUBSTITUTE(SUBSTITUTE(SUBSTITUTE(SUBSTITUTE(SUBSTITUTE(SUBSTITUTE(SUBSTITUTE(경동전체1!D141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2" spans="1:24" ht="23.25" customHeight="1" x14ac:dyDescent="0.3">
      <c r="A142" s="2">
        <f>경동전체1!A142</f>
        <v>0</v>
      </c>
      <c r="B142" s="13" t="str">
        <f>SUBSTITUTE(SUBSTITUTE(SUBSTITUTE(SUBSTITUTE(SUBSTITUTE(SUBSTITUTE(SUBSTITUTE(SUBSTITUTE(SUBSTITUTE(SUBSTITUTE(SUBSTITUTE(SUBSTITUTE(SUBSTITUTE(경동전체1!K142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2" s="30">
        <f>경동전체1!E142</f>
        <v>0</v>
      </c>
      <c r="D142" s="23"/>
      <c r="E142" s="23"/>
      <c r="F142" s="4">
        <f>경동전체1!J142</f>
        <v>0</v>
      </c>
      <c r="G142" s="23"/>
      <c r="H142" s="2">
        <f>경동전체1!H142</f>
        <v>0</v>
      </c>
      <c r="I142" s="2" t="str">
        <f>경동전체1!I142&amp;""</f>
        <v/>
      </c>
      <c r="J142" s="2" t="s">
        <v>36</v>
      </c>
      <c r="K142" s="2" t="str">
        <f>IF(LEFT(경동전체1!G142,1)="","따사룸",경동전체1!G142)</f>
        <v>따사룸</v>
      </c>
      <c r="L142" s="4" t="str">
        <f t="shared" si="8"/>
        <v>1</v>
      </c>
      <c r="M142" s="1" t="str">
        <f>IF(LEFT(경동전체1!D142,1)="2","비닐",IF(LEFT(경동전체1!O142,1)="박","박스","비닐"))</f>
        <v>비닐</v>
      </c>
      <c r="N142" s="25">
        <v>1</v>
      </c>
      <c r="O142" s="25">
        <v>1</v>
      </c>
      <c r="P142" s="25">
        <v>1</v>
      </c>
      <c r="Q142" s="25">
        <v>1</v>
      </c>
      <c r="R142" s="1" t="str">
        <f t="shared" si="9"/>
        <v>50</v>
      </c>
      <c r="S142" s="1">
        <f>경동전체1!B142</f>
        <v>0</v>
      </c>
      <c r="T142" s="1" t="str">
        <f t="shared" si="10"/>
        <v>100</v>
      </c>
      <c r="U142" s="5" t="str">
        <f t="shared" si="11"/>
        <v>0</v>
      </c>
      <c r="V142" s="26">
        <v>0</v>
      </c>
      <c r="W142" s="26">
        <v>0</v>
      </c>
      <c r="X142" s="2" t="str">
        <f>SUBSTITUTE(SUBSTITUTE(SUBSTITUTE(SUBSTITUTE(SUBSTITUTE(SUBSTITUTE(SUBSTITUTE(SUBSTITUTE(SUBSTITUTE(SUBSTITUTE(SUBSTITUTE(SUBSTITUTE(SUBSTITUTE(경동전체1!D142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3" spans="1:24" ht="23.25" customHeight="1" x14ac:dyDescent="0.3">
      <c r="A143" s="2">
        <f>경동전체1!A143</f>
        <v>0</v>
      </c>
      <c r="B143" s="13" t="str">
        <f>SUBSTITUTE(SUBSTITUTE(SUBSTITUTE(SUBSTITUTE(SUBSTITUTE(SUBSTITUTE(SUBSTITUTE(SUBSTITUTE(SUBSTITUTE(SUBSTITUTE(SUBSTITUTE(SUBSTITUTE(SUBSTITUTE(경동전체1!K143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3" s="30">
        <f>경동전체1!E143</f>
        <v>0</v>
      </c>
      <c r="D143" s="23"/>
      <c r="E143" s="23"/>
      <c r="F143" s="4">
        <f>경동전체1!J143</f>
        <v>0</v>
      </c>
      <c r="G143" s="23"/>
      <c r="H143" s="2">
        <f>경동전체1!H143</f>
        <v>0</v>
      </c>
      <c r="I143" s="2" t="str">
        <f>경동전체1!I143&amp;""</f>
        <v/>
      </c>
      <c r="J143" s="2" t="s">
        <v>36</v>
      </c>
      <c r="K143" s="2" t="str">
        <f>IF(LEFT(경동전체1!G143,1)="","따사룸",경동전체1!G143)</f>
        <v>따사룸</v>
      </c>
      <c r="L143" s="4" t="str">
        <f t="shared" si="8"/>
        <v>1</v>
      </c>
      <c r="M143" s="1" t="str">
        <f>IF(LEFT(경동전체1!D143,1)="2","비닐",IF(LEFT(경동전체1!O143,1)="박","박스","비닐"))</f>
        <v>비닐</v>
      </c>
      <c r="N143" s="25">
        <v>1</v>
      </c>
      <c r="O143" s="25">
        <v>1</v>
      </c>
      <c r="P143" s="25">
        <v>1</v>
      </c>
      <c r="Q143" s="25">
        <v>1</v>
      </c>
      <c r="R143" s="1" t="str">
        <f t="shared" si="9"/>
        <v>50</v>
      </c>
      <c r="S143" s="1">
        <f>경동전체1!B143</f>
        <v>0</v>
      </c>
      <c r="T143" s="1" t="str">
        <f t="shared" si="10"/>
        <v>100</v>
      </c>
      <c r="U143" s="5" t="str">
        <f t="shared" si="11"/>
        <v>0</v>
      </c>
      <c r="V143" s="26">
        <v>0</v>
      </c>
      <c r="W143" s="26">
        <v>0</v>
      </c>
      <c r="X143" s="2" t="str">
        <f>SUBSTITUTE(SUBSTITUTE(SUBSTITUTE(SUBSTITUTE(SUBSTITUTE(SUBSTITUTE(SUBSTITUTE(SUBSTITUTE(SUBSTITUTE(SUBSTITUTE(SUBSTITUTE(SUBSTITUTE(SUBSTITUTE(경동전체1!D143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4" spans="1:24" ht="23.25" customHeight="1" x14ac:dyDescent="0.3">
      <c r="A144" s="2">
        <f>경동전체1!A144</f>
        <v>0</v>
      </c>
      <c r="B144" s="13" t="str">
        <f>SUBSTITUTE(SUBSTITUTE(SUBSTITUTE(SUBSTITUTE(SUBSTITUTE(SUBSTITUTE(SUBSTITUTE(SUBSTITUTE(SUBSTITUTE(SUBSTITUTE(SUBSTITUTE(SUBSTITUTE(SUBSTITUTE(경동전체1!K144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4" s="30">
        <f>경동전체1!E144</f>
        <v>0</v>
      </c>
      <c r="D144" s="23"/>
      <c r="E144" s="23"/>
      <c r="F144" s="4">
        <f>경동전체1!J144</f>
        <v>0</v>
      </c>
      <c r="G144" s="23"/>
      <c r="H144" s="2">
        <f>경동전체1!H144</f>
        <v>0</v>
      </c>
      <c r="I144" s="2" t="str">
        <f>경동전체1!I144&amp;""</f>
        <v/>
      </c>
      <c r="J144" s="2" t="s">
        <v>36</v>
      </c>
      <c r="K144" s="2" t="str">
        <f>IF(LEFT(경동전체1!G144,1)="","따사룸",경동전체1!G144)</f>
        <v>따사룸</v>
      </c>
      <c r="L144" s="4" t="str">
        <f t="shared" si="8"/>
        <v>1</v>
      </c>
      <c r="M144" s="1" t="str">
        <f>IF(LEFT(경동전체1!D144,1)="2","비닐",IF(LEFT(경동전체1!O144,1)="박","박스","비닐"))</f>
        <v>비닐</v>
      </c>
      <c r="N144" s="25">
        <v>1</v>
      </c>
      <c r="O144" s="25">
        <v>1</v>
      </c>
      <c r="P144" s="25">
        <v>1</v>
      </c>
      <c r="Q144" s="25">
        <v>1</v>
      </c>
      <c r="R144" s="1" t="str">
        <f t="shared" si="9"/>
        <v>50</v>
      </c>
      <c r="S144" s="1">
        <f>경동전체1!B144</f>
        <v>0</v>
      </c>
      <c r="T144" s="1" t="str">
        <f t="shared" si="10"/>
        <v>100</v>
      </c>
      <c r="U144" s="5" t="str">
        <f t="shared" si="11"/>
        <v>0</v>
      </c>
      <c r="V144" s="26">
        <v>0</v>
      </c>
      <c r="W144" s="26">
        <v>0</v>
      </c>
      <c r="X144" s="2" t="str">
        <f>SUBSTITUTE(SUBSTITUTE(SUBSTITUTE(SUBSTITUTE(SUBSTITUTE(SUBSTITUTE(SUBSTITUTE(SUBSTITUTE(SUBSTITUTE(SUBSTITUTE(SUBSTITUTE(SUBSTITUTE(SUBSTITUTE(경동전체1!D144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5" spans="1:24" ht="23.25" customHeight="1" x14ac:dyDescent="0.3">
      <c r="A145" s="2">
        <f>경동전체1!A145</f>
        <v>0</v>
      </c>
      <c r="B145" s="13" t="str">
        <f>SUBSTITUTE(SUBSTITUTE(SUBSTITUTE(SUBSTITUTE(SUBSTITUTE(SUBSTITUTE(SUBSTITUTE(SUBSTITUTE(SUBSTITUTE(SUBSTITUTE(SUBSTITUTE(SUBSTITUTE(SUBSTITUTE(경동전체1!K145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5" s="30">
        <f>경동전체1!E145</f>
        <v>0</v>
      </c>
      <c r="D145" s="23"/>
      <c r="E145" s="23"/>
      <c r="F145" s="4">
        <f>경동전체1!J145</f>
        <v>0</v>
      </c>
      <c r="G145" s="23"/>
      <c r="H145" s="2">
        <f>경동전체1!H145</f>
        <v>0</v>
      </c>
      <c r="I145" s="2" t="str">
        <f>경동전체1!I145&amp;""</f>
        <v/>
      </c>
      <c r="J145" s="2" t="s">
        <v>36</v>
      </c>
      <c r="K145" s="2" t="str">
        <f>IF(LEFT(경동전체1!G145,1)="","따사룸",경동전체1!G145)</f>
        <v>따사룸</v>
      </c>
      <c r="L145" s="4" t="str">
        <f t="shared" si="8"/>
        <v>1</v>
      </c>
      <c r="M145" s="1" t="str">
        <f>IF(LEFT(경동전체1!D145,1)="2","비닐",IF(LEFT(경동전체1!O145,1)="박","박스","비닐"))</f>
        <v>비닐</v>
      </c>
      <c r="N145" s="25">
        <v>1</v>
      </c>
      <c r="O145" s="25">
        <v>1</v>
      </c>
      <c r="P145" s="25">
        <v>1</v>
      </c>
      <c r="Q145" s="25">
        <v>1</v>
      </c>
      <c r="R145" s="1" t="str">
        <f t="shared" si="9"/>
        <v>50</v>
      </c>
      <c r="S145" s="1">
        <f>경동전체1!B145</f>
        <v>0</v>
      </c>
      <c r="T145" s="1" t="str">
        <f t="shared" si="10"/>
        <v>100</v>
      </c>
      <c r="U145" s="5" t="str">
        <f t="shared" si="11"/>
        <v>0</v>
      </c>
      <c r="V145" s="26">
        <v>0</v>
      </c>
      <c r="W145" s="26">
        <v>0</v>
      </c>
      <c r="X145" s="2" t="str">
        <f>SUBSTITUTE(SUBSTITUTE(SUBSTITUTE(SUBSTITUTE(SUBSTITUTE(SUBSTITUTE(SUBSTITUTE(SUBSTITUTE(SUBSTITUTE(SUBSTITUTE(SUBSTITUTE(SUBSTITUTE(SUBSTITUTE(경동전체1!D145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6" spans="1:24" ht="23.25" customHeight="1" x14ac:dyDescent="0.3">
      <c r="A146" s="2">
        <f>경동전체1!A146</f>
        <v>0</v>
      </c>
      <c r="B146" s="13" t="str">
        <f>SUBSTITUTE(SUBSTITUTE(SUBSTITUTE(SUBSTITUTE(SUBSTITUTE(SUBSTITUTE(SUBSTITUTE(SUBSTITUTE(SUBSTITUTE(SUBSTITUTE(SUBSTITUTE(SUBSTITUTE(SUBSTITUTE(경동전체1!K146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6" s="30">
        <f>경동전체1!E146</f>
        <v>0</v>
      </c>
      <c r="D146" s="23"/>
      <c r="E146" s="23"/>
      <c r="F146" s="4">
        <f>경동전체1!J146</f>
        <v>0</v>
      </c>
      <c r="G146" s="23"/>
      <c r="H146" s="2">
        <f>경동전체1!H146</f>
        <v>0</v>
      </c>
      <c r="I146" s="2" t="str">
        <f>경동전체1!I146&amp;""</f>
        <v/>
      </c>
      <c r="J146" s="2" t="s">
        <v>36</v>
      </c>
      <c r="K146" s="2" t="str">
        <f>IF(LEFT(경동전체1!G146,1)="","따사룸",경동전체1!G146)</f>
        <v>따사룸</v>
      </c>
      <c r="L146" s="4" t="str">
        <f t="shared" si="8"/>
        <v>1</v>
      </c>
      <c r="M146" s="1" t="str">
        <f>IF(LEFT(경동전체1!D146,1)="2","비닐",IF(LEFT(경동전체1!O146,1)="박","박스","비닐"))</f>
        <v>비닐</v>
      </c>
      <c r="N146" s="25">
        <v>1</v>
      </c>
      <c r="O146" s="25">
        <v>1</v>
      </c>
      <c r="P146" s="25">
        <v>1</v>
      </c>
      <c r="Q146" s="25">
        <v>1</v>
      </c>
      <c r="R146" s="1" t="str">
        <f t="shared" si="9"/>
        <v>50</v>
      </c>
      <c r="S146" s="1">
        <f>경동전체1!B146</f>
        <v>0</v>
      </c>
      <c r="T146" s="1" t="str">
        <f t="shared" si="10"/>
        <v>100</v>
      </c>
      <c r="U146" s="5" t="str">
        <f t="shared" si="11"/>
        <v>0</v>
      </c>
      <c r="V146" s="26">
        <v>0</v>
      </c>
      <c r="W146" s="26">
        <v>0</v>
      </c>
      <c r="X146" s="2" t="str">
        <f>SUBSTITUTE(SUBSTITUTE(SUBSTITUTE(SUBSTITUTE(SUBSTITUTE(SUBSTITUTE(SUBSTITUTE(SUBSTITUTE(SUBSTITUTE(SUBSTITUTE(SUBSTITUTE(SUBSTITUTE(SUBSTITUTE(경동전체1!D146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7" spans="1:24" ht="23.25" customHeight="1" x14ac:dyDescent="0.3">
      <c r="A147" s="2">
        <f>경동전체1!A147</f>
        <v>0</v>
      </c>
      <c r="B147" s="13" t="str">
        <f>SUBSTITUTE(SUBSTITUTE(SUBSTITUTE(SUBSTITUTE(SUBSTITUTE(SUBSTITUTE(SUBSTITUTE(SUBSTITUTE(SUBSTITUTE(SUBSTITUTE(SUBSTITUTE(SUBSTITUTE(SUBSTITUTE(경동전체1!K147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7" s="30">
        <f>경동전체1!E147</f>
        <v>0</v>
      </c>
      <c r="D147" s="23"/>
      <c r="E147" s="23"/>
      <c r="F147" s="4">
        <f>경동전체1!J147</f>
        <v>0</v>
      </c>
      <c r="G147" s="23"/>
      <c r="H147" s="2">
        <f>경동전체1!H147</f>
        <v>0</v>
      </c>
      <c r="I147" s="2" t="str">
        <f>경동전체1!I147&amp;""</f>
        <v/>
      </c>
      <c r="J147" s="2" t="s">
        <v>36</v>
      </c>
      <c r="K147" s="2" t="str">
        <f>IF(LEFT(경동전체1!G147,1)="","따사룸",경동전체1!G147)</f>
        <v>따사룸</v>
      </c>
      <c r="L147" s="4" t="str">
        <f t="shared" si="8"/>
        <v>1</v>
      </c>
      <c r="M147" s="1" t="str">
        <f>IF(LEFT(경동전체1!D147,1)="2","비닐",IF(LEFT(경동전체1!O147,1)="박","박스","비닐"))</f>
        <v>비닐</v>
      </c>
      <c r="N147" s="25">
        <v>1</v>
      </c>
      <c r="O147" s="25">
        <v>1</v>
      </c>
      <c r="P147" s="25">
        <v>1</v>
      </c>
      <c r="Q147" s="25">
        <v>1</v>
      </c>
      <c r="R147" s="1" t="str">
        <f t="shared" si="9"/>
        <v>50</v>
      </c>
      <c r="S147" s="1">
        <f>경동전체1!B147</f>
        <v>0</v>
      </c>
      <c r="T147" s="1" t="str">
        <f t="shared" si="10"/>
        <v>100</v>
      </c>
      <c r="U147" s="5" t="str">
        <f t="shared" si="11"/>
        <v>0</v>
      </c>
      <c r="V147" s="26">
        <v>0</v>
      </c>
      <c r="W147" s="26">
        <v>0</v>
      </c>
      <c r="X147" s="2" t="str">
        <f>SUBSTITUTE(SUBSTITUTE(SUBSTITUTE(SUBSTITUTE(SUBSTITUTE(SUBSTITUTE(SUBSTITUTE(SUBSTITUTE(SUBSTITUTE(SUBSTITUTE(SUBSTITUTE(SUBSTITUTE(SUBSTITUTE(경동전체1!D147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8" spans="1:24" ht="23.25" customHeight="1" x14ac:dyDescent="0.3">
      <c r="A148" s="2">
        <f>경동전체1!A148</f>
        <v>0</v>
      </c>
      <c r="B148" s="13" t="str">
        <f>SUBSTITUTE(SUBSTITUTE(SUBSTITUTE(SUBSTITUTE(SUBSTITUTE(SUBSTITUTE(SUBSTITUTE(SUBSTITUTE(SUBSTITUTE(SUBSTITUTE(SUBSTITUTE(SUBSTITUTE(SUBSTITUTE(경동전체1!K148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8" s="30">
        <f>경동전체1!E148</f>
        <v>0</v>
      </c>
      <c r="D148" s="23"/>
      <c r="E148" s="23"/>
      <c r="F148" s="4">
        <f>경동전체1!J148</f>
        <v>0</v>
      </c>
      <c r="G148" s="23"/>
      <c r="H148" s="2">
        <f>경동전체1!H148</f>
        <v>0</v>
      </c>
      <c r="I148" s="2" t="str">
        <f>경동전체1!I148&amp;""</f>
        <v/>
      </c>
      <c r="J148" s="2" t="s">
        <v>36</v>
      </c>
      <c r="K148" s="2" t="str">
        <f>IF(LEFT(경동전체1!G148,1)="","따사룸",경동전체1!G148)</f>
        <v>따사룸</v>
      </c>
      <c r="L148" s="4" t="str">
        <f t="shared" si="8"/>
        <v>1</v>
      </c>
      <c r="M148" s="1" t="str">
        <f>IF(LEFT(경동전체1!D148,1)="2","비닐",IF(LEFT(경동전체1!O148,1)="박","박스","비닐"))</f>
        <v>비닐</v>
      </c>
      <c r="N148" s="25">
        <v>1</v>
      </c>
      <c r="O148" s="25">
        <v>1</v>
      </c>
      <c r="P148" s="25">
        <v>1</v>
      </c>
      <c r="Q148" s="25">
        <v>1</v>
      </c>
      <c r="R148" s="1" t="str">
        <f t="shared" si="9"/>
        <v>50</v>
      </c>
      <c r="S148" s="1">
        <f>경동전체1!B148</f>
        <v>0</v>
      </c>
      <c r="T148" s="1" t="str">
        <f t="shared" si="10"/>
        <v>100</v>
      </c>
      <c r="U148" s="5" t="str">
        <f t="shared" si="11"/>
        <v>0</v>
      </c>
      <c r="V148" s="26">
        <v>0</v>
      </c>
      <c r="W148" s="26">
        <v>0</v>
      </c>
      <c r="X148" s="2" t="str">
        <f>SUBSTITUTE(SUBSTITUTE(SUBSTITUTE(SUBSTITUTE(SUBSTITUTE(SUBSTITUTE(SUBSTITUTE(SUBSTITUTE(SUBSTITUTE(SUBSTITUTE(SUBSTITUTE(SUBSTITUTE(SUBSTITUTE(경동전체1!D148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9" spans="1:24" ht="23.25" customHeight="1" x14ac:dyDescent="0.3">
      <c r="A149" s="2">
        <f>경동전체1!A149</f>
        <v>0</v>
      </c>
      <c r="B149" s="13" t="str">
        <f>SUBSTITUTE(SUBSTITUTE(SUBSTITUTE(SUBSTITUTE(SUBSTITUTE(SUBSTITUTE(SUBSTITUTE(SUBSTITUTE(SUBSTITUTE(SUBSTITUTE(SUBSTITUTE(SUBSTITUTE(SUBSTITUTE(경동전체1!K149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9" s="30">
        <f>경동전체1!E149</f>
        <v>0</v>
      </c>
      <c r="D149" s="23"/>
      <c r="E149" s="23"/>
      <c r="F149" s="4">
        <f>경동전체1!J149</f>
        <v>0</v>
      </c>
      <c r="G149" s="23"/>
      <c r="H149" s="2">
        <f>경동전체1!H149</f>
        <v>0</v>
      </c>
      <c r="I149" s="2" t="str">
        <f>경동전체1!I149&amp;""</f>
        <v/>
      </c>
      <c r="J149" s="2" t="s">
        <v>36</v>
      </c>
      <c r="K149" s="2" t="str">
        <f>IF(LEFT(경동전체1!G149,1)="","따사룸",경동전체1!G149)</f>
        <v>따사룸</v>
      </c>
      <c r="L149" s="4" t="str">
        <f t="shared" si="8"/>
        <v>1</v>
      </c>
      <c r="M149" s="1" t="str">
        <f>IF(LEFT(경동전체1!D149,1)="2","비닐",IF(LEFT(경동전체1!O149,1)="박","박스","비닐"))</f>
        <v>비닐</v>
      </c>
      <c r="N149" s="25">
        <v>1</v>
      </c>
      <c r="O149" s="25">
        <v>1</v>
      </c>
      <c r="P149" s="25">
        <v>1</v>
      </c>
      <c r="Q149" s="25">
        <v>1</v>
      </c>
      <c r="R149" s="1" t="str">
        <f t="shared" si="9"/>
        <v>50</v>
      </c>
      <c r="S149" s="1">
        <f>경동전체1!B149</f>
        <v>0</v>
      </c>
      <c r="T149" s="1" t="str">
        <f t="shared" si="10"/>
        <v>100</v>
      </c>
      <c r="U149" s="5" t="str">
        <f t="shared" si="11"/>
        <v>0</v>
      </c>
      <c r="V149" s="26">
        <v>0</v>
      </c>
      <c r="W149" s="26">
        <v>0</v>
      </c>
      <c r="X149" s="2" t="str">
        <f>SUBSTITUTE(SUBSTITUTE(SUBSTITUTE(SUBSTITUTE(SUBSTITUTE(SUBSTITUTE(SUBSTITUTE(SUBSTITUTE(SUBSTITUTE(SUBSTITUTE(SUBSTITUTE(SUBSTITUTE(SUBSTITUTE(경동전체1!D149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0" spans="1:24" ht="23.25" customHeight="1" x14ac:dyDescent="0.3">
      <c r="A150" s="2">
        <f>경동전체1!A150</f>
        <v>0</v>
      </c>
      <c r="B150" s="13" t="str">
        <f>SUBSTITUTE(SUBSTITUTE(SUBSTITUTE(SUBSTITUTE(SUBSTITUTE(SUBSTITUTE(SUBSTITUTE(SUBSTITUTE(SUBSTITUTE(SUBSTITUTE(SUBSTITUTE(SUBSTITUTE(SUBSTITUTE(경동전체1!K150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0" s="30">
        <f>경동전체1!E150</f>
        <v>0</v>
      </c>
      <c r="D150" s="23"/>
      <c r="E150" s="23"/>
      <c r="F150" s="4">
        <f>경동전체1!J150</f>
        <v>0</v>
      </c>
      <c r="G150" s="23"/>
      <c r="H150" s="2">
        <f>경동전체1!H150</f>
        <v>0</v>
      </c>
      <c r="I150" s="2" t="str">
        <f>경동전체1!I150&amp;""</f>
        <v/>
      </c>
      <c r="J150" s="2" t="s">
        <v>36</v>
      </c>
      <c r="K150" s="2" t="str">
        <f>IF(LEFT(경동전체1!G150,1)="","따사룸",경동전체1!G150)</f>
        <v>따사룸</v>
      </c>
      <c r="L150" s="4" t="str">
        <f t="shared" si="8"/>
        <v>1</v>
      </c>
      <c r="M150" s="1" t="str">
        <f>IF(LEFT(경동전체1!D150,1)="2","비닐",IF(LEFT(경동전체1!O150,1)="박","박스","비닐"))</f>
        <v>비닐</v>
      </c>
      <c r="N150" s="25">
        <v>1</v>
      </c>
      <c r="O150" s="25">
        <v>1</v>
      </c>
      <c r="P150" s="25">
        <v>1</v>
      </c>
      <c r="Q150" s="25">
        <v>1</v>
      </c>
      <c r="R150" s="1" t="str">
        <f t="shared" si="9"/>
        <v>50</v>
      </c>
      <c r="S150" s="1">
        <f>경동전체1!B150</f>
        <v>0</v>
      </c>
      <c r="T150" s="1" t="str">
        <f t="shared" si="10"/>
        <v>100</v>
      </c>
      <c r="U150" s="5" t="str">
        <f t="shared" si="11"/>
        <v>0</v>
      </c>
      <c r="V150" s="26">
        <v>0</v>
      </c>
      <c r="W150" s="26">
        <v>0</v>
      </c>
      <c r="X150" s="2" t="str">
        <f>SUBSTITUTE(SUBSTITUTE(SUBSTITUTE(SUBSTITUTE(SUBSTITUTE(SUBSTITUTE(SUBSTITUTE(SUBSTITUTE(SUBSTITUTE(SUBSTITUTE(SUBSTITUTE(SUBSTITUTE(SUBSTITUTE(경동전체1!D150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1" spans="1:24" ht="23.25" customHeight="1" x14ac:dyDescent="0.3">
      <c r="A151" s="2">
        <f>경동전체1!A151</f>
        <v>0</v>
      </c>
      <c r="B151" s="13" t="str">
        <f>SUBSTITUTE(SUBSTITUTE(SUBSTITUTE(SUBSTITUTE(SUBSTITUTE(SUBSTITUTE(SUBSTITUTE(SUBSTITUTE(SUBSTITUTE(SUBSTITUTE(SUBSTITUTE(SUBSTITUTE(SUBSTITUTE(경동전체1!K151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1" s="30">
        <f>경동전체1!E151</f>
        <v>0</v>
      </c>
      <c r="D151" s="23"/>
      <c r="E151" s="23"/>
      <c r="F151" s="4">
        <f>경동전체1!J151</f>
        <v>0</v>
      </c>
      <c r="G151" s="23"/>
      <c r="H151" s="2">
        <f>경동전체1!H151</f>
        <v>0</v>
      </c>
      <c r="I151" s="2" t="str">
        <f>경동전체1!I151&amp;""</f>
        <v/>
      </c>
      <c r="J151" s="2" t="s">
        <v>36</v>
      </c>
      <c r="K151" s="2" t="str">
        <f>IF(LEFT(경동전체1!G151,1)="","따사룸",경동전체1!G151)</f>
        <v>따사룸</v>
      </c>
      <c r="L151" s="4" t="str">
        <f t="shared" si="8"/>
        <v>1</v>
      </c>
      <c r="M151" s="1" t="str">
        <f>IF(LEFT(경동전체1!D151,1)="2","비닐",IF(LEFT(경동전체1!O151,1)="박","박스","비닐"))</f>
        <v>비닐</v>
      </c>
      <c r="N151" s="25">
        <v>1</v>
      </c>
      <c r="O151" s="25">
        <v>1</v>
      </c>
      <c r="P151" s="25">
        <v>1</v>
      </c>
      <c r="Q151" s="25">
        <v>1</v>
      </c>
      <c r="R151" s="1" t="str">
        <f t="shared" si="9"/>
        <v>50</v>
      </c>
      <c r="S151" s="1">
        <f>경동전체1!B151</f>
        <v>0</v>
      </c>
      <c r="T151" s="1" t="str">
        <f t="shared" si="10"/>
        <v>100</v>
      </c>
      <c r="U151" s="5" t="str">
        <f t="shared" si="11"/>
        <v>0</v>
      </c>
      <c r="V151" s="26">
        <v>0</v>
      </c>
      <c r="W151" s="26">
        <v>0</v>
      </c>
      <c r="X151" s="2" t="str">
        <f>SUBSTITUTE(SUBSTITUTE(SUBSTITUTE(SUBSTITUTE(SUBSTITUTE(SUBSTITUTE(SUBSTITUTE(SUBSTITUTE(SUBSTITUTE(SUBSTITUTE(SUBSTITUTE(SUBSTITUTE(SUBSTITUTE(경동전체1!D151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2" spans="1:24" ht="23.25" customHeight="1" x14ac:dyDescent="0.3">
      <c r="A152" s="2">
        <f>경동전체1!A152</f>
        <v>0</v>
      </c>
      <c r="B152" s="13" t="str">
        <f>SUBSTITUTE(SUBSTITUTE(SUBSTITUTE(SUBSTITUTE(SUBSTITUTE(SUBSTITUTE(SUBSTITUTE(SUBSTITUTE(SUBSTITUTE(SUBSTITUTE(SUBSTITUTE(SUBSTITUTE(SUBSTITUTE(경동전체1!K152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2" s="30">
        <f>경동전체1!E152</f>
        <v>0</v>
      </c>
      <c r="D152" s="23"/>
      <c r="E152" s="23"/>
      <c r="F152" s="4">
        <f>경동전체1!J152</f>
        <v>0</v>
      </c>
      <c r="G152" s="23"/>
      <c r="H152" s="2">
        <f>경동전체1!H152</f>
        <v>0</v>
      </c>
      <c r="I152" s="2" t="str">
        <f>경동전체1!I152&amp;""</f>
        <v/>
      </c>
      <c r="J152" s="2" t="s">
        <v>36</v>
      </c>
      <c r="K152" s="2" t="str">
        <f>IF(LEFT(경동전체1!G152,1)="","따사룸",경동전체1!G152)</f>
        <v>따사룸</v>
      </c>
      <c r="L152" s="4" t="str">
        <f t="shared" si="8"/>
        <v>1</v>
      </c>
      <c r="M152" s="1" t="str">
        <f>IF(LEFT(경동전체1!D152,1)="2","비닐",IF(LEFT(경동전체1!O152,1)="박","박스","비닐"))</f>
        <v>비닐</v>
      </c>
      <c r="N152" s="25">
        <v>1</v>
      </c>
      <c r="O152" s="25">
        <v>1</v>
      </c>
      <c r="P152" s="25">
        <v>1</v>
      </c>
      <c r="Q152" s="25">
        <v>1</v>
      </c>
      <c r="R152" s="1" t="str">
        <f t="shared" si="9"/>
        <v>50</v>
      </c>
      <c r="S152" s="1">
        <f>경동전체1!B152</f>
        <v>0</v>
      </c>
      <c r="T152" s="1" t="str">
        <f t="shared" si="10"/>
        <v>100</v>
      </c>
      <c r="U152" s="5" t="str">
        <f t="shared" si="11"/>
        <v>0</v>
      </c>
      <c r="V152" s="26">
        <v>0</v>
      </c>
      <c r="W152" s="26">
        <v>0</v>
      </c>
      <c r="X152" s="2" t="str">
        <f>SUBSTITUTE(SUBSTITUTE(SUBSTITUTE(SUBSTITUTE(SUBSTITUTE(SUBSTITUTE(SUBSTITUTE(SUBSTITUTE(SUBSTITUTE(SUBSTITUTE(SUBSTITUTE(SUBSTITUTE(SUBSTITUTE(경동전체1!D152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3" spans="1:24" ht="23.25" customHeight="1" x14ac:dyDescent="0.3">
      <c r="A153" s="2">
        <f>경동전체1!A153</f>
        <v>0</v>
      </c>
      <c r="B153" s="13" t="str">
        <f>SUBSTITUTE(SUBSTITUTE(SUBSTITUTE(SUBSTITUTE(SUBSTITUTE(SUBSTITUTE(SUBSTITUTE(SUBSTITUTE(SUBSTITUTE(SUBSTITUTE(SUBSTITUTE(SUBSTITUTE(SUBSTITUTE(경동전체1!K153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3" s="30">
        <f>경동전체1!E153</f>
        <v>0</v>
      </c>
      <c r="D153" s="23"/>
      <c r="E153" s="23"/>
      <c r="F153" s="4">
        <f>경동전체1!J153</f>
        <v>0</v>
      </c>
      <c r="G153" s="23"/>
      <c r="H153" s="2">
        <f>경동전체1!H153</f>
        <v>0</v>
      </c>
      <c r="I153" s="2" t="str">
        <f>경동전체1!I153&amp;""</f>
        <v/>
      </c>
      <c r="J153" s="2" t="s">
        <v>36</v>
      </c>
      <c r="K153" s="2" t="str">
        <f>IF(LEFT(경동전체1!G153,1)="","따사룸",경동전체1!G153)</f>
        <v>따사룸</v>
      </c>
      <c r="L153" s="4" t="str">
        <f t="shared" si="8"/>
        <v>1</v>
      </c>
      <c r="M153" s="1" t="str">
        <f>IF(LEFT(경동전체1!D153,1)="2","비닐",IF(LEFT(경동전체1!O153,1)="박","박스","비닐"))</f>
        <v>비닐</v>
      </c>
      <c r="N153" s="25">
        <v>1</v>
      </c>
      <c r="O153" s="25">
        <v>1</v>
      </c>
      <c r="P153" s="25">
        <v>1</v>
      </c>
      <c r="Q153" s="25">
        <v>1</v>
      </c>
      <c r="R153" s="1" t="str">
        <f t="shared" si="9"/>
        <v>50</v>
      </c>
      <c r="S153" s="1">
        <f>경동전체1!B153</f>
        <v>0</v>
      </c>
      <c r="T153" s="1" t="str">
        <f t="shared" si="10"/>
        <v>100</v>
      </c>
      <c r="U153" s="5" t="str">
        <f t="shared" si="11"/>
        <v>0</v>
      </c>
      <c r="V153" s="26">
        <v>0</v>
      </c>
      <c r="W153" s="26">
        <v>0</v>
      </c>
      <c r="X153" s="2" t="str">
        <f>SUBSTITUTE(SUBSTITUTE(SUBSTITUTE(SUBSTITUTE(SUBSTITUTE(SUBSTITUTE(SUBSTITUTE(SUBSTITUTE(SUBSTITUTE(SUBSTITUTE(SUBSTITUTE(SUBSTITUTE(SUBSTITUTE(경동전체1!D153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4" spans="1:24" ht="23.25" customHeight="1" x14ac:dyDescent="0.3">
      <c r="A154" s="2">
        <f>경동전체1!A154</f>
        <v>0</v>
      </c>
      <c r="B154" s="13" t="str">
        <f>SUBSTITUTE(SUBSTITUTE(SUBSTITUTE(SUBSTITUTE(SUBSTITUTE(SUBSTITUTE(SUBSTITUTE(SUBSTITUTE(SUBSTITUTE(SUBSTITUTE(SUBSTITUTE(SUBSTITUTE(SUBSTITUTE(경동전체1!K154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4" s="30">
        <f>경동전체1!E154</f>
        <v>0</v>
      </c>
      <c r="D154" s="23"/>
      <c r="E154" s="23"/>
      <c r="F154" s="4">
        <f>경동전체1!J154</f>
        <v>0</v>
      </c>
      <c r="G154" s="23"/>
      <c r="H154" s="2">
        <f>경동전체1!H154</f>
        <v>0</v>
      </c>
      <c r="I154" s="2" t="str">
        <f>경동전체1!I154&amp;""</f>
        <v/>
      </c>
      <c r="J154" s="2" t="s">
        <v>36</v>
      </c>
      <c r="K154" s="2" t="str">
        <f>IF(LEFT(경동전체1!G154,1)="","따사룸",경동전체1!G154)</f>
        <v>따사룸</v>
      </c>
      <c r="L154" s="4" t="str">
        <f t="shared" si="8"/>
        <v>1</v>
      </c>
      <c r="M154" s="1" t="str">
        <f>IF(LEFT(경동전체1!D154,1)="2","비닐",IF(LEFT(경동전체1!O154,1)="박","박스","비닐"))</f>
        <v>비닐</v>
      </c>
      <c r="N154" s="25">
        <v>1</v>
      </c>
      <c r="O154" s="25">
        <v>1</v>
      </c>
      <c r="P154" s="25">
        <v>1</v>
      </c>
      <c r="Q154" s="25">
        <v>1</v>
      </c>
      <c r="R154" s="1" t="str">
        <f t="shared" si="9"/>
        <v>50</v>
      </c>
      <c r="S154" s="1">
        <f>경동전체1!B154</f>
        <v>0</v>
      </c>
      <c r="T154" s="1" t="str">
        <f t="shared" si="10"/>
        <v>100</v>
      </c>
      <c r="U154" s="5" t="str">
        <f t="shared" si="11"/>
        <v>0</v>
      </c>
      <c r="V154" s="26">
        <v>0</v>
      </c>
      <c r="W154" s="26">
        <v>0</v>
      </c>
      <c r="X154" s="2" t="str">
        <f>SUBSTITUTE(SUBSTITUTE(SUBSTITUTE(SUBSTITUTE(SUBSTITUTE(SUBSTITUTE(SUBSTITUTE(SUBSTITUTE(SUBSTITUTE(SUBSTITUTE(SUBSTITUTE(SUBSTITUTE(SUBSTITUTE(경동전체1!D154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5" spans="1:24" ht="23.25" customHeight="1" x14ac:dyDescent="0.3">
      <c r="A155" s="2">
        <f>경동전체1!A155</f>
        <v>0</v>
      </c>
      <c r="B155" s="13" t="str">
        <f>SUBSTITUTE(SUBSTITUTE(SUBSTITUTE(SUBSTITUTE(SUBSTITUTE(SUBSTITUTE(SUBSTITUTE(SUBSTITUTE(SUBSTITUTE(SUBSTITUTE(SUBSTITUTE(SUBSTITUTE(SUBSTITUTE(경동전체1!K155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5" s="30">
        <f>경동전체1!E155</f>
        <v>0</v>
      </c>
      <c r="D155" s="23"/>
      <c r="E155" s="23"/>
      <c r="F155" s="4">
        <f>경동전체1!J155</f>
        <v>0</v>
      </c>
      <c r="G155" s="23"/>
      <c r="H155" s="2">
        <f>경동전체1!H155</f>
        <v>0</v>
      </c>
      <c r="I155" s="2" t="str">
        <f>경동전체1!I155&amp;""</f>
        <v/>
      </c>
      <c r="J155" s="2" t="s">
        <v>36</v>
      </c>
      <c r="K155" s="2" t="str">
        <f>IF(LEFT(경동전체1!G155,1)="","따사룸",경동전체1!G155)</f>
        <v>따사룸</v>
      </c>
      <c r="L155" s="4" t="str">
        <f t="shared" si="8"/>
        <v>1</v>
      </c>
      <c r="M155" s="1" t="str">
        <f>IF(LEFT(경동전체1!D155,1)="2","비닐",IF(LEFT(경동전체1!O155,1)="박","박스","비닐"))</f>
        <v>비닐</v>
      </c>
      <c r="N155" s="25">
        <v>1</v>
      </c>
      <c r="O155" s="25">
        <v>1</v>
      </c>
      <c r="P155" s="25">
        <v>1</v>
      </c>
      <c r="Q155" s="25">
        <v>1</v>
      </c>
      <c r="R155" s="1" t="str">
        <f t="shared" si="9"/>
        <v>50</v>
      </c>
      <c r="S155" s="1">
        <f>경동전체1!B155</f>
        <v>0</v>
      </c>
      <c r="T155" s="1" t="str">
        <f t="shared" si="10"/>
        <v>100</v>
      </c>
      <c r="U155" s="5" t="str">
        <f t="shared" si="11"/>
        <v>0</v>
      </c>
      <c r="V155" s="26">
        <v>0</v>
      </c>
      <c r="W155" s="26">
        <v>0</v>
      </c>
      <c r="X155" s="2" t="str">
        <f>SUBSTITUTE(SUBSTITUTE(SUBSTITUTE(SUBSTITUTE(SUBSTITUTE(SUBSTITUTE(SUBSTITUTE(SUBSTITUTE(SUBSTITUTE(SUBSTITUTE(SUBSTITUTE(SUBSTITUTE(SUBSTITUTE(경동전체1!D155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6" spans="1:24" ht="23.25" customHeight="1" x14ac:dyDescent="0.3">
      <c r="A156" s="2">
        <f>경동전체1!A156</f>
        <v>0</v>
      </c>
      <c r="B156" s="13" t="str">
        <f>SUBSTITUTE(SUBSTITUTE(SUBSTITUTE(SUBSTITUTE(SUBSTITUTE(SUBSTITUTE(SUBSTITUTE(SUBSTITUTE(SUBSTITUTE(SUBSTITUTE(SUBSTITUTE(SUBSTITUTE(SUBSTITUTE(경동전체1!K156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6" s="30">
        <f>경동전체1!E156</f>
        <v>0</v>
      </c>
      <c r="D156" s="23"/>
      <c r="E156" s="23"/>
      <c r="F156" s="4">
        <f>경동전체1!J156</f>
        <v>0</v>
      </c>
      <c r="G156" s="23"/>
      <c r="H156" s="2">
        <f>경동전체1!H156</f>
        <v>0</v>
      </c>
      <c r="I156" s="2" t="str">
        <f>경동전체1!I156&amp;""</f>
        <v/>
      </c>
      <c r="J156" s="2" t="s">
        <v>36</v>
      </c>
      <c r="K156" s="2" t="str">
        <f>IF(LEFT(경동전체1!G156,1)="","따사룸",경동전체1!G156)</f>
        <v>따사룸</v>
      </c>
      <c r="L156" s="4" t="str">
        <f t="shared" si="8"/>
        <v>1</v>
      </c>
      <c r="M156" s="1" t="str">
        <f>IF(LEFT(경동전체1!D156,1)="2","비닐",IF(LEFT(경동전체1!O156,1)="박","박스","비닐"))</f>
        <v>비닐</v>
      </c>
      <c r="N156" s="25">
        <v>1</v>
      </c>
      <c r="O156" s="25">
        <v>1</v>
      </c>
      <c r="P156" s="25">
        <v>1</v>
      </c>
      <c r="Q156" s="25">
        <v>1</v>
      </c>
      <c r="R156" s="1" t="str">
        <f t="shared" si="9"/>
        <v>50</v>
      </c>
      <c r="S156" s="1">
        <f>경동전체1!B156</f>
        <v>0</v>
      </c>
      <c r="T156" s="1" t="str">
        <f t="shared" si="10"/>
        <v>100</v>
      </c>
      <c r="U156" s="5" t="str">
        <f t="shared" si="11"/>
        <v>0</v>
      </c>
      <c r="V156" s="26">
        <v>0</v>
      </c>
      <c r="W156" s="26">
        <v>0</v>
      </c>
      <c r="X156" s="2" t="str">
        <f>SUBSTITUTE(SUBSTITUTE(SUBSTITUTE(SUBSTITUTE(SUBSTITUTE(SUBSTITUTE(SUBSTITUTE(SUBSTITUTE(SUBSTITUTE(SUBSTITUTE(SUBSTITUTE(SUBSTITUTE(SUBSTITUTE(경동전체1!D156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7" spans="1:24" ht="23.25" customHeight="1" x14ac:dyDescent="0.3">
      <c r="A157" s="2">
        <f>경동전체1!A157</f>
        <v>0</v>
      </c>
      <c r="B157" s="13" t="str">
        <f>SUBSTITUTE(SUBSTITUTE(SUBSTITUTE(SUBSTITUTE(SUBSTITUTE(SUBSTITUTE(SUBSTITUTE(SUBSTITUTE(SUBSTITUTE(SUBSTITUTE(SUBSTITUTE(SUBSTITUTE(SUBSTITUTE(경동전체1!K157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7" s="30">
        <f>경동전체1!E157</f>
        <v>0</v>
      </c>
      <c r="D157" s="23"/>
      <c r="E157" s="23"/>
      <c r="F157" s="4">
        <f>경동전체1!J157</f>
        <v>0</v>
      </c>
      <c r="G157" s="23"/>
      <c r="H157" s="2">
        <f>경동전체1!H157</f>
        <v>0</v>
      </c>
      <c r="I157" s="2" t="str">
        <f>경동전체1!I157&amp;""</f>
        <v/>
      </c>
      <c r="J157" s="2" t="s">
        <v>36</v>
      </c>
      <c r="K157" s="2" t="str">
        <f>IF(LEFT(경동전체1!G157,1)="","따사룸",경동전체1!G157)</f>
        <v>따사룸</v>
      </c>
      <c r="L157" s="4" t="str">
        <f t="shared" si="8"/>
        <v>1</v>
      </c>
      <c r="M157" s="1" t="str">
        <f>IF(LEFT(경동전체1!D157,1)="2","비닐",IF(LEFT(경동전체1!O157,1)="박","박스","비닐"))</f>
        <v>비닐</v>
      </c>
      <c r="N157" s="25">
        <v>1</v>
      </c>
      <c r="O157" s="25">
        <v>1</v>
      </c>
      <c r="P157" s="25">
        <v>1</v>
      </c>
      <c r="Q157" s="25">
        <v>1</v>
      </c>
      <c r="R157" s="1" t="str">
        <f t="shared" si="9"/>
        <v>50</v>
      </c>
      <c r="S157" s="1">
        <f>경동전체1!B157</f>
        <v>0</v>
      </c>
      <c r="T157" s="1" t="str">
        <f t="shared" si="10"/>
        <v>100</v>
      </c>
      <c r="U157" s="5" t="str">
        <f t="shared" si="11"/>
        <v>0</v>
      </c>
      <c r="V157" s="26">
        <v>0</v>
      </c>
      <c r="W157" s="26">
        <v>0</v>
      </c>
      <c r="X157" s="2" t="str">
        <f>SUBSTITUTE(SUBSTITUTE(SUBSTITUTE(SUBSTITUTE(SUBSTITUTE(SUBSTITUTE(SUBSTITUTE(SUBSTITUTE(SUBSTITUTE(SUBSTITUTE(SUBSTITUTE(SUBSTITUTE(SUBSTITUTE(경동전체1!D157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8" spans="1:24" ht="23.25" customHeight="1" x14ac:dyDescent="0.3">
      <c r="A158" s="2">
        <f>경동전체1!A158</f>
        <v>0</v>
      </c>
      <c r="B158" s="13" t="str">
        <f>SUBSTITUTE(SUBSTITUTE(SUBSTITUTE(SUBSTITUTE(SUBSTITUTE(SUBSTITUTE(SUBSTITUTE(SUBSTITUTE(SUBSTITUTE(SUBSTITUTE(SUBSTITUTE(SUBSTITUTE(SUBSTITUTE(경동전체1!K158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8" s="30">
        <f>경동전체1!E158</f>
        <v>0</v>
      </c>
      <c r="D158" s="23"/>
      <c r="E158" s="23"/>
      <c r="F158" s="4">
        <f>경동전체1!J158</f>
        <v>0</v>
      </c>
      <c r="G158" s="23"/>
      <c r="H158" s="2">
        <f>경동전체1!H158</f>
        <v>0</v>
      </c>
      <c r="I158" s="2" t="str">
        <f>경동전체1!I158&amp;""</f>
        <v/>
      </c>
      <c r="J158" s="2" t="s">
        <v>36</v>
      </c>
      <c r="K158" s="2" t="str">
        <f>IF(LEFT(경동전체1!G158,1)="","따사룸",경동전체1!G158)</f>
        <v>따사룸</v>
      </c>
      <c r="L158" s="4" t="str">
        <f t="shared" si="8"/>
        <v>1</v>
      </c>
      <c r="M158" s="1" t="str">
        <f>IF(LEFT(경동전체1!D158,1)="2","비닐",IF(LEFT(경동전체1!O158,1)="박","박스","비닐"))</f>
        <v>비닐</v>
      </c>
      <c r="N158" s="25">
        <v>1</v>
      </c>
      <c r="O158" s="25">
        <v>1</v>
      </c>
      <c r="P158" s="25">
        <v>1</v>
      </c>
      <c r="Q158" s="25">
        <v>1</v>
      </c>
      <c r="R158" s="1" t="str">
        <f t="shared" si="9"/>
        <v>50</v>
      </c>
      <c r="S158" s="1">
        <f>경동전체1!B158</f>
        <v>0</v>
      </c>
      <c r="T158" s="1" t="str">
        <f t="shared" si="10"/>
        <v>100</v>
      </c>
      <c r="U158" s="5" t="str">
        <f t="shared" si="11"/>
        <v>0</v>
      </c>
      <c r="V158" s="26">
        <v>0</v>
      </c>
      <c r="W158" s="26">
        <v>0</v>
      </c>
      <c r="X158" s="2" t="str">
        <f>SUBSTITUTE(SUBSTITUTE(SUBSTITUTE(SUBSTITUTE(SUBSTITUTE(SUBSTITUTE(SUBSTITUTE(SUBSTITUTE(SUBSTITUTE(SUBSTITUTE(SUBSTITUTE(SUBSTITUTE(SUBSTITUTE(경동전체1!D158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9" spans="1:24" ht="23.25" customHeight="1" x14ac:dyDescent="0.3">
      <c r="A159" s="2">
        <f>경동전체1!A159</f>
        <v>0</v>
      </c>
      <c r="B159" s="13" t="str">
        <f>SUBSTITUTE(SUBSTITUTE(SUBSTITUTE(SUBSTITUTE(SUBSTITUTE(SUBSTITUTE(SUBSTITUTE(SUBSTITUTE(SUBSTITUTE(SUBSTITUTE(SUBSTITUTE(SUBSTITUTE(SUBSTITUTE(경동전체1!K159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9" s="30">
        <f>경동전체1!E159</f>
        <v>0</v>
      </c>
      <c r="D159" s="23"/>
      <c r="E159" s="23"/>
      <c r="F159" s="4">
        <f>경동전체1!J159</f>
        <v>0</v>
      </c>
      <c r="G159" s="23"/>
      <c r="H159" s="2">
        <f>경동전체1!H159</f>
        <v>0</v>
      </c>
      <c r="I159" s="2" t="str">
        <f>경동전체1!I159&amp;""</f>
        <v/>
      </c>
      <c r="J159" s="2" t="s">
        <v>36</v>
      </c>
      <c r="K159" s="2" t="str">
        <f>IF(LEFT(경동전체1!G159,1)="","따사룸",경동전체1!G159)</f>
        <v>따사룸</v>
      </c>
      <c r="L159" s="4" t="str">
        <f t="shared" si="8"/>
        <v>1</v>
      </c>
      <c r="M159" s="1" t="str">
        <f>IF(LEFT(경동전체1!D159,1)="2","비닐",IF(LEFT(경동전체1!O159,1)="박","박스","비닐"))</f>
        <v>비닐</v>
      </c>
      <c r="N159" s="25">
        <v>1</v>
      </c>
      <c r="O159" s="25">
        <v>1</v>
      </c>
      <c r="P159" s="25">
        <v>1</v>
      </c>
      <c r="Q159" s="25">
        <v>1</v>
      </c>
      <c r="R159" s="1" t="str">
        <f t="shared" si="9"/>
        <v>50</v>
      </c>
      <c r="S159" s="1">
        <f>경동전체1!B159</f>
        <v>0</v>
      </c>
      <c r="T159" s="1" t="str">
        <f t="shared" si="10"/>
        <v>100</v>
      </c>
      <c r="U159" s="5" t="str">
        <f t="shared" si="11"/>
        <v>0</v>
      </c>
      <c r="V159" s="26">
        <v>0</v>
      </c>
      <c r="W159" s="26">
        <v>0</v>
      </c>
      <c r="X159" s="2" t="str">
        <f>SUBSTITUTE(SUBSTITUTE(SUBSTITUTE(SUBSTITUTE(SUBSTITUTE(SUBSTITUTE(SUBSTITUTE(SUBSTITUTE(SUBSTITUTE(SUBSTITUTE(SUBSTITUTE(SUBSTITUTE(SUBSTITUTE(경동전체1!D159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0" spans="1:24" ht="23.25" customHeight="1" x14ac:dyDescent="0.3">
      <c r="A160" s="2">
        <f>경동전체1!A160</f>
        <v>0</v>
      </c>
      <c r="B160" s="13" t="str">
        <f>SUBSTITUTE(SUBSTITUTE(SUBSTITUTE(SUBSTITUTE(SUBSTITUTE(SUBSTITUTE(SUBSTITUTE(SUBSTITUTE(SUBSTITUTE(SUBSTITUTE(SUBSTITUTE(SUBSTITUTE(SUBSTITUTE(경동전체1!K160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0" s="30">
        <f>경동전체1!E160</f>
        <v>0</v>
      </c>
      <c r="D160" s="23"/>
      <c r="E160" s="23"/>
      <c r="F160" s="4">
        <f>경동전체1!J160</f>
        <v>0</v>
      </c>
      <c r="G160" s="23"/>
      <c r="H160" s="2">
        <f>경동전체1!H160</f>
        <v>0</v>
      </c>
      <c r="I160" s="2" t="str">
        <f>경동전체1!I160&amp;""</f>
        <v/>
      </c>
      <c r="J160" s="2" t="s">
        <v>36</v>
      </c>
      <c r="K160" s="2" t="str">
        <f>IF(LEFT(경동전체1!G160,1)="","따사룸",경동전체1!G160)</f>
        <v>따사룸</v>
      </c>
      <c r="L160" s="4" t="str">
        <f t="shared" si="8"/>
        <v>1</v>
      </c>
      <c r="M160" s="1" t="str">
        <f>IF(LEFT(경동전체1!D160,1)="2","비닐",IF(LEFT(경동전체1!O160,1)="박","박스","비닐"))</f>
        <v>비닐</v>
      </c>
      <c r="N160" s="25">
        <v>1</v>
      </c>
      <c r="O160" s="25">
        <v>1</v>
      </c>
      <c r="P160" s="25">
        <v>1</v>
      </c>
      <c r="Q160" s="25">
        <v>1</v>
      </c>
      <c r="R160" s="1" t="str">
        <f t="shared" si="9"/>
        <v>50</v>
      </c>
      <c r="S160" s="1">
        <f>경동전체1!B160</f>
        <v>0</v>
      </c>
      <c r="T160" s="1" t="str">
        <f t="shared" si="10"/>
        <v>100</v>
      </c>
      <c r="U160" s="5" t="str">
        <f t="shared" si="11"/>
        <v>0</v>
      </c>
      <c r="V160" s="26">
        <v>0</v>
      </c>
      <c r="W160" s="26">
        <v>0</v>
      </c>
      <c r="X160" s="2" t="str">
        <f>SUBSTITUTE(SUBSTITUTE(SUBSTITUTE(SUBSTITUTE(SUBSTITUTE(SUBSTITUTE(SUBSTITUTE(SUBSTITUTE(SUBSTITUTE(SUBSTITUTE(SUBSTITUTE(SUBSTITUTE(SUBSTITUTE(경동전체1!D160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1" spans="1:24" ht="23.25" customHeight="1" x14ac:dyDescent="0.3">
      <c r="A161" s="2">
        <f>경동전체1!A161</f>
        <v>0</v>
      </c>
      <c r="B161" s="13" t="str">
        <f>SUBSTITUTE(SUBSTITUTE(SUBSTITUTE(SUBSTITUTE(SUBSTITUTE(SUBSTITUTE(SUBSTITUTE(SUBSTITUTE(SUBSTITUTE(SUBSTITUTE(SUBSTITUTE(SUBSTITUTE(SUBSTITUTE(경동전체1!K161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1" s="30">
        <f>경동전체1!E161</f>
        <v>0</v>
      </c>
      <c r="D161" s="23"/>
      <c r="E161" s="23"/>
      <c r="F161" s="4">
        <f>경동전체1!J161</f>
        <v>0</v>
      </c>
      <c r="G161" s="23"/>
      <c r="H161" s="2">
        <f>경동전체1!H161</f>
        <v>0</v>
      </c>
      <c r="I161" s="2" t="str">
        <f>경동전체1!I161&amp;""</f>
        <v/>
      </c>
      <c r="J161" s="2" t="s">
        <v>36</v>
      </c>
      <c r="K161" s="2" t="str">
        <f>IF(LEFT(경동전체1!G161,1)="","따사룸",경동전체1!G161)</f>
        <v>따사룸</v>
      </c>
      <c r="L161" s="4" t="str">
        <f t="shared" si="8"/>
        <v>1</v>
      </c>
      <c r="M161" s="1" t="str">
        <f>IF(LEFT(경동전체1!D161,1)="2","비닐",IF(LEFT(경동전체1!O161,1)="박","박스","비닐"))</f>
        <v>비닐</v>
      </c>
      <c r="N161" s="25">
        <v>1</v>
      </c>
      <c r="O161" s="25">
        <v>1</v>
      </c>
      <c r="P161" s="25">
        <v>1</v>
      </c>
      <c r="Q161" s="25">
        <v>1</v>
      </c>
      <c r="R161" s="1" t="str">
        <f t="shared" si="9"/>
        <v>50</v>
      </c>
      <c r="S161" s="1">
        <f>경동전체1!B161</f>
        <v>0</v>
      </c>
      <c r="T161" s="1" t="str">
        <f t="shared" si="10"/>
        <v>100</v>
      </c>
      <c r="U161" s="5" t="str">
        <f t="shared" si="11"/>
        <v>0</v>
      </c>
      <c r="V161" s="26">
        <v>0</v>
      </c>
      <c r="W161" s="26">
        <v>0</v>
      </c>
      <c r="X161" s="2" t="str">
        <f>SUBSTITUTE(SUBSTITUTE(SUBSTITUTE(SUBSTITUTE(SUBSTITUTE(SUBSTITUTE(SUBSTITUTE(SUBSTITUTE(SUBSTITUTE(SUBSTITUTE(SUBSTITUTE(SUBSTITUTE(SUBSTITUTE(경동전체1!D161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2" spans="1:24" ht="23.25" customHeight="1" x14ac:dyDescent="0.3">
      <c r="A162" s="2">
        <f>경동전체1!A162</f>
        <v>0</v>
      </c>
      <c r="B162" s="13" t="str">
        <f>SUBSTITUTE(SUBSTITUTE(SUBSTITUTE(SUBSTITUTE(SUBSTITUTE(SUBSTITUTE(SUBSTITUTE(SUBSTITUTE(SUBSTITUTE(SUBSTITUTE(SUBSTITUTE(SUBSTITUTE(SUBSTITUTE(경동전체1!K162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2" s="30">
        <f>경동전체1!E162</f>
        <v>0</v>
      </c>
      <c r="D162" s="23"/>
      <c r="E162" s="23"/>
      <c r="F162" s="4">
        <f>경동전체1!J162</f>
        <v>0</v>
      </c>
      <c r="G162" s="23"/>
      <c r="H162" s="2">
        <f>경동전체1!H162</f>
        <v>0</v>
      </c>
      <c r="I162" s="2" t="str">
        <f>경동전체1!I162&amp;""</f>
        <v/>
      </c>
      <c r="J162" s="2" t="s">
        <v>36</v>
      </c>
      <c r="K162" s="2" t="str">
        <f>IF(LEFT(경동전체1!G162,1)="","따사룸",경동전체1!G162)</f>
        <v>따사룸</v>
      </c>
      <c r="L162" s="4" t="str">
        <f t="shared" si="8"/>
        <v>1</v>
      </c>
      <c r="M162" s="1" t="str">
        <f>IF(LEFT(경동전체1!D162,1)="2","비닐",IF(LEFT(경동전체1!O162,1)="박","박스","비닐"))</f>
        <v>비닐</v>
      </c>
      <c r="N162" s="25">
        <v>1</v>
      </c>
      <c r="O162" s="25">
        <v>1</v>
      </c>
      <c r="P162" s="25">
        <v>1</v>
      </c>
      <c r="Q162" s="25">
        <v>1</v>
      </c>
      <c r="R162" s="1" t="str">
        <f t="shared" si="9"/>
        <v>50</v>
      </c>
      <c r="S162" s="1">
        <f>경동전체1!B162</f>
        <v>0</v>
      </c>
      <c r="T162" s="1" t="str">
        <f t="shared" si="10"/>
        <v>100</v>
      </c>
      <c r="U162" s="5" t="str">
        <f t="shared" si="11"/>
        <v>0</v>
      </c>
      <c r="V162" s="26">
        <v>0</v>
      </c>
      <c r="W162" s="26">
        <v>0</v>
      </c>
      <c r="X162" s="2" t="str">
        <f>SUBSTITUTE(SUBSTITUTE(SUBSTITUTE(SUBSTITUTE(SUBSTITUTE(SUBSTITUTE(SUBSTITUTE(SUBSTITUTE(SUBSTITUTE(SUBSTITUTE(SUBSTITUTE(SUBSTITUTE(SUBSTITUTE(경동전체1!D162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3" spans="1:24" ht="23.25" customHeight="1" x14ac:dyDescent="0.3">
      <c r="A163" s="2">
        <f>경동전체1!A163</f>
        <v>0</v>
      </c>
      <c r="B163" s="13" t="str">
        <f>SUBSTITUTE(SUBSTITUTE(SUBSTITUTE(SUBSTITUTE(SUBSTITUTE(SUBSTITUTE(SUBSTITUTE(SUBSTITUTE(SUBSTITUTE(SUBSTITUTE(SUBSTITUTE(SUBSTITUTE(SUBSTITUTE(경동전체1!K163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3" s="30">
        <f>경동전체1!E163</f>
        <v>0</v>
      </c>
      <c r="D163" s="23"/>
      <c r="E163" s="23"/>
      <c r="F163" s="4">
        <f>경동전체1!J163</f>
        <v>0</v>
      </c>
      <c r="G163" s="23"/>
      <c r="H163" s="2">
        <f>경동전체1!H163</f>
        <v>0</v>
      </c>
      <c r="I163" s="2" t="str">
        <f>경동전체1!I163&amp;""</f>
        <v/>
      </c>
      <c r="J163" s="2" t="s">
        <v>36</v>
      </c>
      <c r="K163" s="2" t="str">
        <f>IF(LEFT(경동전체1!G163,1)="","따사룸",경동전체1!G163)</f>
        <v>따사룸</v>
      </c>
      <c r="L163" s="4" t="str">
        <f t="shared" si="8"/>
        <v>1</v>
      </c>
      <c r="M163" s="1" t="str">
        <f>IF(LEFT(경동전체1!D163,1)="2","비닐",IF(LEFT(경동전체1!O163,1)="박","박스","비닐"))</f>
        <v>비닐</v>
      </c>
      <c r="N163" s="25">
        <v>1</v>
      </c>
      <c r="O163" s="25">
        <v>1</v>
      </c>
      <c r="P163" s="25">
        <v>1</v>
      </c>
      <c r="Q163" s="25">
        <v>1</v>
      </c>
      <c r="R163" s="1" t="str">
        <f t="shared" si="9"/>
        <v>50</v>
      </c>
      <c r="S163" s="1">
        <f>경동전체1!B163</f>
        <v>0</v>
      </c>
      <c r="T163" s="1" t="str">
        <f t="shared" si="10"/>
        <v>100</v>
      </c>
      <c r="U163" s="5" t="str">
        <f t="shared" si="11"/>
        <v>0</v>
      </c>
      <c r="V163" s="26">
        <v>0</v>
      </c>
      <c r="W163" s="26">
        <v>0</v>
      </c>
      <c r="X163" s="2" t="str">
        <f>SUBSTITUTE(SUBSTITUTE(SUBSTITUTE(SUBSTITUTE(SUBSTITUTE(SUBSTITUTE(SUBSTITUTE(SUBSTITUTE(SUBSTITUTE(SUBSTITUTE(SUBSTITUTE(SUBSTITUTE(SUBSTITUTE(경동전체1!D163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4" spans="1:24" ht="23.25" customHeight="1" x14ac:dyDescent="0.3">
      <c r="A164" s="2">
        <f>경동전체1!A164</f>
        <v>0</v>
      </c>
      <c r="B164" s="13" t="str">
        <f>SUBSTITUTE(SUBSTITUTE(SUBSTITUTE(SUBSTITUTE(SUBSTITUTE(SUBSTITUTE(SUBSTITUTE(SUBSTITUTE(SUBSTITUTE(SUBSTITUTE(SUBSTITUTE(SUBSTITUTE(SUBSTITUTE(경동전체1!K164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4" s="30">
        <f>경동전체1!E164</f>
        <v>0</v>
      </c>
      <c r="D164" s="23"/>
      <c r="E164" s="23"/>
      <c r="F164" s="4">
        <f>경동전체1!J164</f>
        <v>0</v>
      </c>
      <c r="G164" s="23"/>
      <c r="H164" s="2">
        <f>경동전체1!H164</f>
        <v>0</v>
      </c>
      <c r="I164" s="2" t="str">
        <f>경동전체1!I164&amp;""</f>
        <v/>
      </c>
      <c r="J164" s="2" t="s">
        <v>36</v>
      </c>
      <c r="K164" s="2" t="str">
        <f>IF(LEFT(경동전체1!G164,1)="","따사룸",경동전체1!G164)</f>
        <v>따사룸</v>
      </c>
      <c r="L164" s="4" t="str">
        <f t="shared" si="8"/>
        <v>1</v>
      </c>
      <c r="M164" s="1" t="str">
        <f>IF(LEFT(경동전체1!D164,1)="2","비닐",IF(LEFT(경동전체1!O164,1)="박","박스","비닐"))</f>
        <v>비닐</v>
      </c>
      <c r="N164" s="25">
        <v>1</v>
      </c>
      <c r="O164" s="25">
        <v>1</v>
      </c>
      <c r="P164" s="25">
        <v>1</v>
      </c>
      <c r="Q164" s="25">
        <v>1</v>
      </c>
      <c r="R164" s="1" t="str">
        <f t="shared" si="9"/>
        <v>50</v>
      </c>
      <c r="S164" s="1">
        <f>경동전체1!B164</f>
        <v>0</v>
      </c>
      <c r="T164" s="1" t="str">
        <f t="shared" si="10"/>
        <v>100</v>
      </c>
      <c r="U164" s="5" t="str">
        <f t="shared" si="11"/>
        <v>0</v>
      </c>
      <c r="V164" s="26">
        <v>0</v>
      </c>
      <c r="W164" s="26">
        <v>0</v>
      </c>
      <c r="X164" s="2" t="str">
        <f>SUBSTITUTE(SUBSTITUTE(SUBSTITUTE(SUBSTITUTE(SUBSTITUTE(SUBSTITUTE(SUBSTITUTE(SUBSTITUTE(SUBSTITUTE(SUBSTITUTE(SUBSTITUTE(SUBSTITUTE(SUBSTITUTE(경동전체1!D164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5" spans="1:24" ht="23.25" customHeight="1" x14ac:dyDescent="0.3">
      <c r="A165" s="2">
        <f>경동전체1!A165</f>
        <v>0</v>
      </c>
      <c r="B165" s="13" t="str">
        <f>SUBSTITUTE(SUBSTITUTE(SUBSTITUTE(SUBSTITUTE(SUBSTITUTE(SUBSTITUTE(SUBSTITUTE(SUBSTITUTE(SUBSTITUTE(SUBSTITUTE(SUBSTITUTE(SUBSTITUTE(SUBSTITUTE(경동전체1!K165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5" s="30">
        <f>경동전체1!E165</f>
        <v>0</v>
      </c>
      <c r="D165" s="23"/>
      <c r="E165" s="23"/>
      <c r="F165" s="4">
        <f>경동전체1!J165</f>
        <v>0</v>
      </c>
      <c r="G165" s="23"/>
      <c r="H165" s="2">
        <f>경동전체1!H165</f>
        <v>0</v>
      </c>
      <c r="I165" s="2" t="str">
        <f>경동전체1!I165&amp;""</f>
        <v/>
      </c>
      <c r="J165" s="2" t="s">
        <v>36</v>
      </c>
      <c r="K165" s="2" t="str">
        <f>IF(LEFT(경동전체1!G165,1)="","따사룸",경동전체1!G165)</f>
        <v>따사룸</v>
      </c>
      <c r="L165" s="4" t="str">
        <f t="shared" si="8"/>
        <v>1</v>
      </c>
      <c r="M165" s="1" t="str">
        <f>IF(LEFT(경동전체1!D165,1)="2","비닐",IF(LEFT(경동전체1!O165,1)="박","박스","비닐"))</f>
        <v>비닐</v>
      </c>
      <c r="N165" s="25">
        <v>1</v>
      </c>
      <c r="O165" s="25">
        <v>1</v>
      </c>
      <c r="P165" s="25">
        <v>1</v>
      </c>
      <c r="Q165" s="25">
        <v>1</v>
      </c>
      <c r="R165" s="1" t="str">
        <f t="shared" si="9"/>
        <v>50</v>
      </c>
      <c r="S165" s="1">
        <f>경동전체1!B165</f>
        <v>0</v>
      </c>
      <c r="T165" s="1" t="str">
        <f t="shared" si="10"/>
        <v>100</v>
      </c>
      <c r="U165" s="5" t="str">
        <f t="shared" si="11"/>
        <v>0</v>
      </c>
      <c r="V165" s="26">
        <v>0</v>
      </c>
      <c r="W165" s="26">
        <v>0</v>
      </c>
      <c r="X165" s="2" t="str">
        <f>SUBSTITUTE(SUBSTITUTE(SUBSTITUTE(SUBSTITUTE(SUBSTITUTE(SUBSTITUTE(SUBSTITUTE(SUBSTITUTE(SUBSTITUTE(SUBSTITUTE(SUBSTITUTE(SUBSTITUTE(SUBSTITUTE(경동전체1!D165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6" spans="1:24" ht="23.25" customHeight="1" x14ac:dyDescent="0.3">
      <c r="A166" s="2">
        <f>경동전체1!A166</f>
        <v>0</v>
      </c>
      <c r="B166" s="13" t="str">
        <f>SUBSTITUTE(SUBSTITUTE(SUBSTITUTE(SUBSTITUTE(SUBSTITUTE(SUBSTITUTE(SUBSTITUTE(SUBSTITUTE(SUBSTITUTE(SUBSTITUTE(SUBSTITUTE(SUBSTITUTE(SUBSTITUTE(경동전체1!K166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6" s="30">
        <f>경동전체1!E166</f>
        <v>0</v>
      </c>
      <c r="D166" s="23"/>
      <c r="E166" s="23"/>
      <c r="F166" s="4">
        <f>경동전체1!J166</f>
        <v>0</v>
      </c>
      <c r="G166" s="23"/>
      <c r="H166" s="2">
        <f>경동전체1!H166</f>
        <v>0</v>
      </c>
      <c r="I166" s="2" t="str">
        <f>경동전체1!I166&amp;""</f>
        <v/>
      </c>
      <c r="J166" s="2" t="s">
        <v>36</v>
      </c>
      <c r="K166" s="2" t="str">
        <f>IF(LEFT(경동전체1!G166,1)="","따사룸",경동전체1!G166)</f>
        <v>따사룸</v>
      </c>
      <c r="L166" s="4" t="str">
        <f t="shared" si="8"/>
        <v>1</v>
      </c>
      <c r="M166" s="1" t="str">
        <f>IF(LEFT(경동전체1!D166,1)="2","비닐",IF(LEFT(경동전체1!O166,1)="박","박스","비닐"))</f>
        <v>비닐</v>
      </c>
      <c r="N166" s="25">
        <v>1</v>
      </c>
      <c r="O166" s="25">
        <v>1</v>
      </c>
      <c r="P166" s="25">
        <v>1</v>
      </c>
      <c r="Q166" s="25">
        <v>1</v>
      </c>
      <c r="R166" s="1" t="str">
        <f t="shared" si="9"/>
        <v>50</v>
      </c>
      <c r="S166" s="1">
        <f>경동전체1!B166</f>
        <v>0</v>
      </c>
      <c r="T166" s="1" t="str">
        <f t="shared" si="10"/>
        <v>100</v>
      </c>
      <c r="U166" s="5" t="str">
        <f t="shared" si="11"/>
        <v>0</v>
      </c>
      <c r="V166" s="26">
        <v>0</v>
      </c>
      <c r="W166" s="26">
        <v>0</v>
      </c>
      <c r="X166" s="2" t="str">
        <f>SUBSTITUTE(SUBSTITUTE(SUBSTITUTE(SUBSTITUTE(SUBSTITUTE(SUBSTITUTE(SUBSTITUTE(SUBSTITUTE(SUBSTITUTE(SUBSTITUTE(SUBSTITUTE(SUBSTITUTE(SUBSTITUTE(경동전체1!D166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7" spans="1:24" ht="23.25" customHeight="1" x14ac:dyDescent="0.3">
      <c r="A167" s="2">
        <f>경동전체1!A167</f>
        <v>0</v>
      </c>
      <c r="B167" s="13" t="str">
        <f>SUBSTITUTE(SUBSTITUTE(SUBSTITUTE(SUBSTITUTE(SUBSTITUTE(SUBSTITUTE(SUBSTITUTE(SUBSTITUTE(SUBSTITUTE(SUBSTITUTE(SUBSTITUTE(SUBSTITUTE(SUBSTITUTE(경동전체1!K167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7" s="30">
        <f>경동전체1!E167</f>
        <v>0</v>
      </c>
      <c r="D167" s="23"/>
      <c r="E167" s="23"/>
      <c r="F167" s="4">
        <f>경동전체1!J167</f>
        <v>0</v>
      </c>
      <c r="G167" s="23"/>
      <c r="H167" s="2">
        <f>경동전체1!H167</f>
        <v>0</v>
      </c>
      <c r="I167" s="2" t="str">
        <f>경동전체1!I167&amp;""</f>
        <v/>
      </c>
      <c r="J167" s="2" t="s">
        <v>36</v>
      </c>
      <c r="K167" s="2" t="str">
        <f>IF(LEFT(경동전체1!G167,1)="","따사룸",경동전체1!G167)</f>
        <v>따사룸</v>
      </c>
      <c r="L167" s="4" t="str">
        <f t="shared" si="8"/>
        <v>1</v>
      </c>
      <c r="M167" s="1" t="str">
        <f>IF(LEFT(경동전체1!D167,1)="2","비닐",IF(LEFT(경동전체1!O167,1)="박","박스","비닐"))</f>
        <v>비닐</v>
      </c>
      <c r="N167" s="25">
        <v>1</v>
      </c>
      <c r="O167" s="25">
        <v>1</v>
      </c>
      <c r="P167" s="25">
        <v>1</v>
      </c>
      <c r="Q167" s="25">
        <v>1</v>
      </c>
      <c r="R167" s="1" t="str">
        <f t="shared" si="9"/>
        <v>50</v>
      </c>
      <c r="S167" s="1">
        <f>경동전체1!B167</f>
        <v>0</v>
      </c>
      <c r="T167" s="1" t="str">
        <f t="shared" si="10"/>
        <v>100</v>
      </c>
      <c r="U167" s="5" t="str">
        <f t="shared" si="11"/>
        <v>0</v>
      </c>
      <c r="V167" s="26">
        <v>0</v>
      </c>
      <c r="W167" s="26">
        <v>0</v>
      </c>
      <c r="X167" s="2" t="str">
        <f>SUBSTITUTE(SUBSTITUTE(SUBSTITUTE(SUBSTITUTE(SUBSTITUTE(SUBSTITUTE(SUBSTITUTE(SUBSTITUTE(SUBSTITUTE(SUBSTITUTE(SUBSTITUTE(SUBSTITUTE(SUBSTITUTE(경동전체1!D167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8" spans="1:24" ht="23.25" customHeight="1" x14ac:dyDescent="0.3">
      <c r="A168" s="2">
        <f>경동전체1!A168</f>
        <v>0</v>
      </c>
      <c r="B168" s="13" t="str">
        <f>SUBSTITUTE(SUBSTITUTE(SUBSTITUTE(SUBSTITUTE(SUBSTITUTE(SUBSTITUTE(SUBSTITUTE(SUBSTITUTE(SUBSTITUTE(SUBSTITUTE(SUBSTITUTE(SUBSTITUTE(SUBSTITUTE(경동전체1!K168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8" s="30">
        <f>경동전체1!E168</f>
        <v>0</v>
      </c>
      <c r="D168" s="23"/>
      <c r="E168" s="23"/>
      <c r="F168" s="4">
        <f>경동전체1!J168</f>
        <v>0</v>
      </c>
      <c r="G168" s="23"/>
      <c r="H168" s="2">
        <f>경동전체1!H168</f>
        <v>0</v>
      </c>
      <c r="I168" s="2" t="str">
        <f>경동전체1!I168&amp;""</f>
        <v/>
      </c>
      <c r="J168" s="2" t="s">
        <v>36</v>
      </c>
      <c r="K168" s="2" t="str">
        <f>IF(LEFT(경동전체1!G168,1)="","따사룸",경동전체1!G168)</f>
        <v>따사룸</v>
      </c>
      <c r="L168" s="4" t="str">
        <f t="shared" si="8"/>
        <v>1</v>
      </c>
      <c r="M168" s="1" t="str">
        <f>IF(LEFT(경동전체1!D168,1)="2","비닐",IF(LEFT(경동전체1!O168,1)="박","박스","비닐"))</f>
        <v>비닐</v>
      </c>
      <c r="N168" s="25">
        <v>1</v>
      </c>
      <c r="O168" s="25">
        <v>1</v>
      </c>
      <c r="P168" s="25">
        <v>1</v>
      </c>
      <c r="Q168" s="25">
        <v>1</v>
      </c>
      <c r="R168" s="1" t="str">
        <f t="shared" si="9"/>
        <v>50</v>
      </c>
      <c r="S168" s="1">
        <f>경동전체1!B168</f>
        <v>0</v>
      </c>
      <c r="T168" s="1" t="str">
        <f t="shared" si="10"/>
        <v>100</v>
      </c>
      <c r="U168" s="5" t="str">
        <f t="shared" si="11"/>
        <v>0</v>
      </c>
      <c r="V168" s="26">
        <v>0</v>
      </c>
      <c r="W168" s="26">
        <v>0</v>
      </c>
      <c r="X168" s="2" t="str">
        <f>SUBSTITUTE(SUBSTITUTE(SUBSTITUTE(SUBSTITUTE(SUBSTITUTE(SUBSTITUTE(SUBSTITUTE(SUBSTITUTE(SUBSTITUTE(SUBSTITUTE(SUBSTITUTE(SUBSTITUTE(SUBSTITUTE(경동전체1!D168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9" spans="1:24" ht="20.25" customHeight="1" x14ac:dyDescent="0.3">
      <c r="A169" s="2">
        <f>경동전체1!A169</f>
        <v>0</v>
      </c>
      <c r="B169" s="13" t="str">
        <f>SUBSTITUTE(SUBSTITUTE(SUBSTITUTE(SUBSTITUTE(SUBSTITUTE(SUBSTITUTE(SUBSTITUTE(SUBSTITUTE(SUBSTITUTE(SUBSTITUTE(SUBSTITUTE(SUBSTITUTE(SUBSTITUTE(경동전체1!K169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9" s="30">
        <f>경동전체1!E169</f>
        <v>0</v>
      </c>
      <c r="D169" s="23"/>
      <c r="E169" s="23"/>
      <c r="F169" s="4">
        <f>경동전체1!J169</f>
        <v>0</v>
      </c>
      <c r="G169" s="23"/>
      <c r="H169" s="2">
        <f>경동전체1!H169</f>
        <v>0</v>
      </c>
      <c r="I169" s="2" t="str">
        <f>경동전체1!I169&amp;""</f>
        <v/>
      </c>
      <c r="J169" s="2" t="s">
        <v>36</v>
      </c>
      <c r="K169" s="2" t="str">
        <f>IF(LEFT(경동전체1!G169,1)="","따사룸",경동전체1!G169)</f>
        <v>따사룸</v>
      </c>
      <c r="L169" s="4" t="str">
        <f t="shared" si="8"/>
        <v>1</v>
      </c>
      <c r="M169" s="1" t="str">
        <f>IF(LEFT(경동전체1!D169,1)="2","비닐",IF(LEFT(경동전체1!O169,1)="박","박스","비닐"))</f>
        <v>비닐</v>
      </c>
      <c r="N169" s="25">
        <v>1</v>
      </c>
      <c r="O169" s="25">
        <v>1</v>
      </c>
      <c r="P169" s="25">
        <v>1</v>
      </c>
      <c r="Q169" s="25">
        <v>1</v>
      </c>
      <c r="R169" s="1" t="str">
        <f t="shared" si="9"/>
        <v>50</v>
      </c>
      <c r="S169" s="1">
        <f>경동전체1!B169</f>
        <v>0</v>
      </c>
      <c r="T169" s="1" t="str">
        <f t="shared" si="10"/>
        <v>100</v>
      </c>
      <c r="U169" s="5" t="str">
        <f t="shared" si="11"/>
        <v>0</v>
      </c>
      <c r="V169" s="26">
        <v>0</v>
      </c>
      <c r="W169" s="26">
        <v>0</v>
      </c>
      <c r="X169" s="2" t="str">
        <f>SUBSTITUTE(SUBSTITUTE(SUBSTITUTE(SUBSTITUTE(SUBSTITUTE(SUBSTITUTE(SUBSTITUTE(SUBSTITUTE(SUBSTITUTE(SUBSTITUTE(SUBSTITUTE(SUBSTITUTE(SUBSTITUTE(경동전체1!D169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0" spans="1:24" ht="20.25" customHeight="1" x14ac:dyDescent="0.3">
      <c r="A170" s="2">
        <f>경동전체1!A170</f>
        <v>0</v>
      </c>
      <c r="B170" s="13" t="str">
        <f>SUBSTITUTE(SUBSTITUTE(SUBSTITUTE(SUBSTITUTE(SUBSTITUTE(SUBSTITUTE(SUBSTITUTE(SUBSTITUTE(SUBSTITUTE(SUBSTITUTE(SUBSTITUTE(SUBSTITUTE(SUBSTITUTE(경동전체1!K170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0" s="30">
        <f>경동전체1!E170</f>
        <v>0</v>
      </c>
      <c r="D170" s="23"/>
      <c r="E170" s="23"/>
      <c r="F170" s="4">
        <f>경동전체1!J170</f>
        <v>0</v>
      </c>
      <c r="G170" s="23"/>
      <c r="H170" s="2">
        <f>경동전체1!H170</f>
        <v>0</v>
      </c>
      <c r="I170" s="2" t="str">
        <f>경동전체1!I170&amp;""</f>
        <v/>
      </c>
      <c r="J170" s="2" t="s">
        <v>36</v>
      </c>
      <c r="K170" s="2" t="str">
        <f>IF(LEFT(경동전체1!G170,1)="","따사룸",경동전체1!G170)</f>
        <v>따사룸</v>
      </c>
      <c r="L170" s="4" t="str">
        <f t="shared" si="8"/>
        <v>1</v>
      </c>
      <c r="M170" s="1" t="str">
        <f>IF(LEFT(경동전체1!D170,1)="2","비닐",IF(LEFT(경동전체1!O170,1)="박","박스","비닐"))</f>
        <v>비닐</v>
      </c>
      <c r="N170" s="25">
        <v>1</v>
      </c>
      <c r="O170" s="25">
        <v>1</v>
      </c>
      <c r="P170" s="25">
        <v>1</v>
      </c>
      <c r="Q170" s="25">
        <v>1</v>
      </c>
      <c r="R170" s="1" t="str">
        <f t="shared" si="9"/>
        <v>50</v>
      </c>
      <c r="S170" s="1">
        <f>경동전체1!B170</f>
        <v>0</v>
      </c>
      <c r="T170" s="1" t="str">
        <f t="shared" si="10"/>
        <v>100</v>
      </c>
      <c r="U170" s="5" t="str">
        <f t="shared" si="11"/>
        <v>0</v>
      </c>
      <c r="V170" s="26">
        <v>0</v>
      </c>
      <c r="W170" s="26">
        <v>0</v>
      </c>
      <c r="X170" s="2" t="str">
        <f>SUBSTITUTE(SUBSTITUTE(SUBSTITUTE(SUBSTITUTE(SUBSTITUTE(SUBSTITUTE(SUBSTITUTE(SUBSTITUTE(SUBSTITUTE(SUBSTITUTE(SUBSTITUTE(SUBSTITUTE(SUBSTITUTE(경동전체1!D170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1" spans="1:24" ht="20.25" customHeight="1" x14ac:dyDescent="0.3">
      <c r="A171" s="2">
        <f>경동전체1!A171</f>
        <v>0</v>
      </c>
      <c r="B171" s="13" t="str">
        <f>SUBSTITUTE(SUBSTITUTE(SUBSTITUTE(SUBSTITUTE(SUBSTITUTE(SUBSTITUTE(SUBSTITUTE(SUBSTITUTE(SUBSTITUTE(SUBSTITUTE(SUBSTITUTE(SUBSTITUTE(SUBSTITUTE(경동전체1!K171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1" s="30">
        <f>경동전체1!E171</f>
        <v>0</v>
      </c>
      <c r="D171" s="23"/>
      <c r="E171" s="23"/>
      <c r="F171" s="4">
        <f>경동전체1!J171</f>
        <v>0</v>
      </c>
      <c r="G171" s="23"/>
      <c r="H171" s="2">
        <f>경동전체1!H171</f>
        <v>0</v>
      </c>
      <c r="I171" s="2" t="str">
        <f>경동전체1!I171&amp;""</f>
        <v/>
      </c>
      <c r="J171" s="2" t="s">
        <v>36</v>
      </c>
      <c r="K171" s="2" t="str">
        <f>IF(LEFT(경동전체1!G171,1)="","따사룸",경동전체1!G171)</f>
        <v>따사룸</v>
      </c>
      <c r="L171" s="4" t="str">
        <f t="shared" si="8"/>
        <v>1</v>
      </c>
      <c r="M171" s="1" t="str">
        <f>IF(LEFT(경동전체1!D171,1)="2","비닐",IF(LEFT(경동전체1!O171,1)="박","박스","비닐"))</f>
        <v>비닐</v>
      </c>
      <c r="N171" s="25">
        <v>1</v>
      </c>
      <c r="O171" s="25">
        <v>1</v>
      </c>
      <c r="P171" s="25">
        <v>1</v>
      </c>
      <c r="Q171" s="25">
        <v>1</v>
      </c>
      <c r="R171" s="1" t="str">
        <f t="shared" si="9"/>
        <v>50</v>
      </c>
      <c r="S171" s="1">
        <f>경동전체1!B171</f>
        <v>0</v>
      </c>
      <c r="T171" s="1" t="str">
        <f t="shared" si="10"/>
        <v>100</v>
      </c>
      <c r="U171" s="5" t="str">
        <f t="shared" si="11"/>
        <v>0</v>
      </c>
      <c r="V171" s="26">
        <v>0</v>
      </c>
      <c r="W171" s="26">
        <v>0</v>
      </c>
      <c r="X171" s="2" t="str">
        <f>SUBSTITUTE(SUBSTITUTE(SUBSTITUTE(SUBSTITUTE(SUBSTITUTE(SUBSTITUTE(SUBSTITUTE(SUBSTITUTE(SUBSTITUTE(SUBSTITUTE(SUBSTITUTE(SUBSTITUTE(SUBSTITUTE(경동전체1!D171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2" spans="1:24" ht="20.25" customHeight="1" x14ac:dyDescent="0.3">
      <c r="A172" s="2">
        <f>경동전체1!A172</f>
        <v>0</v>
      </c>
      <c r="B172" s="13" t="str">
        <f>SUBSTITUTE(SUBSTITUTE(SUBSTITUTE(SUBSTITUTE(SUBSTITUTE(SUBSTITUTE(SUBSTITUTE(SUBSTITUTE(SUBSTITUTE(SUBSTITUTE(SUBSTITUTE(SUBSTITUTE(SUBSTITUTE(경동전체1!K172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2" s="30">
        <f>경동전체1!E172</f>
        <v>0</v>
      </c>
      <c r="D172" s="23"/>
      <c r="E172" s="23"/>
      <c r="F172" s="4">
        <f>경동전체1!J172</f>
        <v>0</v>
      </c>
      <c r="G172" s="23"/>
      <c r="H172" s="2">
        <f>경동전체1!H172</f>
        <v>0</v>
      </c>
      <c r="I172" s="2" t="str">
        <f>경동전체1!I172&amp;""</f>
        <v/>
      </c>
      <c r="J172" s="2" t="s">
        <v>36</v>
      </c>
      <c r="K172" s="2" t="str">
        <f>IF(LEFT(경동전체1!G172,1)="","따사룸",경동전체1!G172)</f>
        <v>따사룸</v>
      </c>
      <c r="L172" s="4" t="str">
        <f t="shared" si="8"/>
        <v>1</v>
      </c>
      <c r="M172" s="1" t="str">
        <f>IF(LEFT(경동전체1!D172,1)="2","비닐",IF(LEFT(경동전체1!O172,1)="박","박스","비닐"))</f>
        <v>비닐</v>
      </c>
      <c r="N172" s="25">
        <v>1</v>
      </c>
      <c r="O172" s="25">
        <v>1</v>
      </c>
      <c r="P172" s="25">
        <v>1</v>
      </c>
      <c r="Q172" s="25">
        <v>1</v>
      </c>
      <c r="R172" s="1" t="str">
        <f t="shared" si="9"/>
        <v>50</v>
      </c>
      <c r="S172" s="1">
        <f>경동전체1!B172</f>
        <v>0</v>
      </c>
      <c r="T172" s="1" t="str">
        <f t="shared" si="10"/>
        <v>100</v>
      </c>
      <c r="U172" s="5" t="str">
        <f t="shared" si="11"/>
        <v>0</v>
      </c>
      <c r="V172" s="26">
        <v>0</v>
      </c>
      <c r="W172" s="26">
        <v>0</v>
      </c>
      <c r="X172" s="2" t="str">
        <f>SUBSTITUTE(SUBSTITUTE(SUBSTITUTE(SUBSTITUTE(SUBSTITUTE(SUBSTITUTE(SUBSTITUTE(SUBSTITUTE(SUBSTITUTE(SUBSTITUTE(SUBSTITUTE(SUBSTITUTE(SUBSTITUTE(경동전체1!D172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3" spans="1:24" ht="20.25" customHeight="1" x14ac:dyDescent="0.3">
      <c r="A173" s="2">
        <f>경동전체1!A173</f>
        <v>0</v>
      </c>
      <c r="B173" s="13" t="str">
        <f>SUBSTITUTE(SUBSTITUTE(SUBSTITUTE(SUBSTITUTE(SUBSTITUTE(SUBSTITUTE(SUBSTITUTE(SUBSTITUTE(SUBSTITUTE(SUBSTITUTE(SUBSTITUTE(SUBSTITUTE(SUBSTITUTE(경동전체1!K173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3" s="30">
        <f>경동전체1!E173</f>
        <v>0</v>
      </c>
      <c r="D173" s="23"/>
      <c r="E173" s="23"/>
      <c r="F173" s="4">
        <f>경동전체1!J173</f>
        <v>0</v>
      </c>
      <c r="G173" s="23"/>
      <c r="H173" s="2">
        <f>경동전체1!H173</f>
        <v>0</v>
      </c>
      <c r="I173" s="2" t="str">
        <f>경동전체1!I173&amp;""</f>
        <v/>
      </c>
      <c r="J173" s="2" t="s">
        <v>36</v>
      </c>
      <c r="K173" s="2" t="str">
        <f>IF(LEFT(경동전체1!G173,1)="","따사룸",경동전체1!G173)</f>
        <v>따사룸</v>
      </c>
      <c r="L173" s="4" t="str">
        <f t="shared" si="8"/>
        <v>1</v>
      </c>
      <c r="M173" s="1" t="str">
        <f>IF(LEFT(경동전체1!D173,1)="2","비닐",IF(LEFT(경동전체1!O173,1)="박","박스","비닐"))</f>
        <v>비닐</v>
      </c>
      <c r="N173" s="25">
        <v>1</v>
      </c>
      <c r="O173" s="25">
        <v>1</v>
      </c>
      <c r="P173" s="25">
        <v>1</v>
      </c>
      <c r="Q173" s="25">
        <v>1</v>
      </c>
      <c r="R173" s="1" t="str">
        <f t="shared" si="9"/>
        <v>50</v>
      </c>
      <c r="S173" s="1">
        <f>경동전체1!B173</f>
        <v>0</v>
      </c>
      <c r="T173" s="1" t="str">
        <f t="shared" si="10"/>
        <v>100</v>
      </c>
      <c r="U173" s="5" t="str">
        <f t="shared" si="11"/>
        <v>0</v>
      </c>
      <c r="V173" s="26">
        <v>0</v>
      </c>
      <c r="W173" s="26">
        <v>0</v>
      </c>
      <c r="X173" s="2" t="str">
        <f>SUBSTITUTE(SUBSTITUTE(SUBSTITUTE(SUBSTITUTE(SUBSTITUTE(SUBSTITUTE(SUBSTITUTE(SUBSTITUTE(SUBSTITUTE(SUBSTITUTE(SUBSTITUTE(SUBSTITUTE(SUBSTITUTE(경동전체1!D173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4" spans="1:24" ht="20.25" customHeight="1" x14ac:dyDescent="0.3">
      <c r="A174" s="2">
        <f>경동전체1!A174</f>
        <v>0</v>
      </c>
      <c r="B174" s="13" t="str">
        <f>SUBSTITUTE(SUBSTITUTE(SUBSTITUTE(SUBSTITUTE(SUBSTITUTE(SUBSTITUTE(SUBSTITUTE(SUBSTITUTE(SUBSTITUTE(SUBSTITUTE(SUBSTITUTE(SUBSTITUTE(SUBSTITUTE(경동전체1!K174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4" s="30">
        <f>경동전체1!E174</f>
        <v>0</v>
      </c>
      <c r="D174" s="23"/>
      <c r="E174" s="23"/>
      <c r="F174" s="4">
        <f>경동전체1!J174</f>
        <v>0</v>
      </c>
      <c r="G174" s="23"/>
      <c r="H174" s="2">
        <f>경동전체1!H174</f>
        <v>0</v>
      </c>
      <c r="I174" s="2" t="str">
        <f>경동전체1!I174&amp;""</f>
        <v/>
      </c>
      <c r="J174" s="2" t="s">
        <v>36</v>
      </c>
      <c r="K174" s="2" t="str">
        <f>IF(LEFT(경동전체1!G174,1)="","따사룸",경동전체1!G174)</f>
        <v>따사룸</v>
      </c>
      <c r="L174" s="4" t="str">
        <f t="shared" si="8"/>
        <v>1</v>
      </c>
      <c r="M174" s="1" t="str">
        <f>IF(LEFT(경동전체1!D174,1)="2","비닐",IF(LEFT(경동전체1!O174,1)="박","박스","비닐"))</f>
        <v>비닐</v>
      </c>
      <c r="N174" s="25">
        <v>1</v>
      </c>
      <c r="O174" s="25">
        <v>1</v>
      </c>
      <c r="P174" s="25">
        <v>1</v>
      </c>
      <c r="Q174" s="25">
        <v>1</v>
      </c>
      <c r="R174" s="1" t="str">
        <f t="shared" si="9"/>
        <v>50</v>
      </c>
      <c r="S174" s="1">
        <f>경동전체1!B174</f>
        <v>0</v>
      </c>
      <c r="T174" s="1" t="str">
        <f t="shared" si="10"/>
        <v>100</v>
      </c>
      <c r="U174" s="5" t="str">
        <f t="shared" si="11"/>
        <v>0</v>
      </c>
      <c r="V174" s="26">
        <v>0</v>
      </c>
      <c r="W174" s="26">
        <v>0</v>
      </c>
      <c r="X174" s="2" t="str">
        <f>SUBSTITUTE(SUBSTITUTE(SUBSTITUTE(SUBSTITUTE(SUBSTITUTE(SUBSTITUTE(SUBSTITUTE(SUBSTITUTE(SUBSTITUTE(SUBSTITUTE(SUBSTITUTE(SUBSTITUTE(SUBSTITUTE(경동전체1!D174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5" spans="1:24" ht="20.25" customHeight="1" x14ac:dyDescent="0.3">
      <c r="A175" s="2">
        <f>경동전체1!A175</f>
        <v>0</v>
      </c>
      <c r="B175" s="13" t="str">
        <f>SUBSTITUTE(SUBSTITUTE(SUBSTITUTE(SUBSTITUTE(SUBSTITUTE(SUBSTITUTE(SUBSTITUTE(SUBSTITUTE(SUBSTITUTE(SUBSTITUTE(SUBSTITUTE(SUBSTITUTE(SUBSTITUTE(경동전체1!K175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5" s="30">
        <f>경동전체1!E175</f>
        <v>0</v>
      </c>
      <c r="D175" s="23"/>
      <c r="E175" s="23"/>
      <c r="F175" s="4">
        <f>경동전체1!J175</f>
        <v>0</v>
      </c>
      <c r="G175" s="23"/>
      <c r="H175" s="2">
        <f>경동전체1!H175</f>
        <v>0</v>
      </c>
      <c r="I175" s="2" t="str">
        <f>경동전체1!I175&amp;""</f>
        <v/>
      </c>
      <c r="J175" s="2" t="s">
        <v>36</v>
      </c>
      <c r="K175" s="2" t="str">
        <f>IF(LEFT(경동전체1!G175,1)="","따사룸",경동전체1!G175)</f>
        <v>따사룸</v>
      </c>
      <c r="L175" s="4" t="str">
        <f t="shared" si="8"/>
        <v>1</v>
      </c>
      <c r="M175" s="1" t="str">
        <f>IF(LEFT(경동전체1!D175,1)="2","비닐",IF(LEFT(경동전체1!O175,1)="박","박스","비닐"))</f>
        <v>비닐</v>
      </c>
      <c r="N175" s="25">
        <v>1</v>
      </c>
      <c r="O175" s="25">
        <v>1</v>
      </c>
      <c r="P175" s="25">
        <v>1</v>
      </c>
      <c r="Q175" s="25">
        <v>1</v>
      </c>
      <c r="R175" s="1" t="str">
        <f t="shared" si="9"/>
        <v>50</v>
      </c>
      <c r="S175" s="1">
        <f>경동전체1!B175</f>
        <v>0</v>
      </c>
      <c r="T175" s="1" t="str">
        <f t="shared" si="10"/>
        <v>100</v>
      </c>
      <c r="U175" s="5" t="str">
        <f t="shared" si="11"/>
        <v>0</v>
      </c>
      <c r="V175" s="26">
        <v>0</v>
      </c>
      <c r="W175" s="26">
        <v>0</v>
      </c>
      <c r="X175" s="2" t="str">
        <f>SUBSTITUTE(SUBSTITUTE(SUBSTITUTE(SUBSTITUTE(SUBSTITUTE(SUBSTITUTE(SUBSTITUTE(SUBSTITUTE(SUBSTITUTE(SUBSTITUTE(SUBSTITUTE(SUBSTITUTE(SUBSTITUTE(경동전체1!D175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6" spans="1:24" ht="20.25" customHeight="1" x14ac:dyDescent="0.3">
      <c r="A176" s="2">
        <f>경동전체1!A176</f>
        <v>0</v>
      </c>
      <c r="B176" s="13" t="str">
        <f>SUBSTITUTE(SUBSTITUTE(SUBSTITUTE(SUBSTITUTE(SUBSTITUTE(SUBSTITUTE(SUBSTITUTE(SUBSTITUTE(SUBSTITUTE(SUBSTITUTE(SUBSTITUTE(SUBSTITUTE(SUBSTITUTE(경동전체1!K176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6" s="30">
        <f>경동전체1!E176</f>
        <v>0</v>
      </c>
      <c r="D176" s="23"/>
      <c r="E176" s="23"/>
      <c r="F176" s="4">
        <f>경동전체1!J176</f>
        <v>0</v>
      </c>
      <c r="G176" s="23"/>
      <c r="H176" s="2">
        <f>경동전체1!H176</f>
        <v>0</v>
      </c>
      <c r="I176" s="2" t="str">
        <f>경동전체1!I176&amp;""</f>
        <v/>
      </c>
      <c r="J176" s="2" t="s">
        <v>36</v>
      </c>
      <c r="K176" s="2" t="str">
        <f>IF(LEFT(경동전체1!G176,1)="","따사룸",경동전체1!G176)</f>
        <v>따사룸</v>
      </c>
      <c r="L176" s="4" t="str">
        <f t="shared" si="8"/>
        <v>1</v>
      </c>
      <c r="M176" s="1" t="str">
        <f>IF(LEFT(경동전체1!D176,1)="2","비닐",IF(LEFT(경동전체1!O176,1)="박","박스","비닐"))</f>
        <v>비닐</v>
      </c>
      <c r="N176" s="25">
        <v>1</v>
      </c>
      <c r="O176" s="25">
        <v>1</v>
      </c>
      <c r="P176" s="25">
        <v>1</v>
      </c>
      <c r="Q176" s="25">
        <v>1</v>
      </c>
      <c r="R176" s="1" t="str">
        <f t="shared" si="9"/>
        <v>50</v>
      </c>
      <c r="S176" s="1">
        <f>경동전체1!B176</f>
        <v>0</v>
      </c>
      <c r="T176" s="1" t="str">
        <f t="shared" si="10"/>
        <v>100</v>
      </c>
      <c r="U176" s="5" t="str">
        <f t="shared" si="11"/>
        <v>0</v>
      </c>
      <c r="V176" s="26">
        <v>0</v>
      </c>
      <c r="W176" s="26">
        <v>0</v>
      </c>
      <c r="X176" s="2" t="str">
        <f>SUBSTITUTE(SUBSTITUTE(SUBSTITUTE(SUBSTITUTE(SUBSTITUTE(SUBSTITUTE(SUBSTITUTE(SUBSTITUTE(SUBSTITUTE(SUBSTITUTE(SUBSTITUTE(SUBSTITUTE(SUBSTITUTE(경동전체1!D176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7" spans="1:24" ht="20.25" customHeight="1" x14ac:dyDescent="0.3">
      <c r="A177" s="2">
        <f>경동전체1!A177</f>
        <v>0</v>
      </c>
      <c r="B177" s="13" t="str">
        <f>SUBSTITUTE(SUBSTITUTE(SUBSTITUTE(SUBSTITUTE(SUBSTITUTE(SUBSTITUTE(SUBSTITUTE(SUBSTITUTE(SUBSTITUTE(SUBSTITUTE(SUBSTITUTE(SUBSTITUTE(SUBSTITUTE(경동전체1!K177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7" s="30">
        <f>경동전체1!E177</f>
        <v>0</v>
      </c>
      <c r="D177" s="23"/>
      <c r="E177" s="23"/>
      <c r="F177" s="4">
        <f>경동전체1!J177</f>
        <v>0</v>
      </c>
      <c r="G177" s="23"/>
      <c r="H177" s="2">
        <f>경동전체1!H177</f>
        <v>0</v>
      </c>
      <c r="I177" s="2" t="str">
        <f>경동전체1!I177&amp;""</f>
        <v/>
      </c>
      <c r="J177" s="2" t="s">
        <v>36</v>
      </c>
      <c r="K177" s="2" t="str">
        <f>IF(LEFT(경동전체1!G177,1)="","따사룸",경동전체1!G177)</f>
        <v>따사룸</v>
      </c>
      <c r="L177" s="4" t="str">
        <f t="shared" si="8"/>
        <v>1</v>
      </c>
      <c r="M177" s="1" t="str">
        <f>IF(LEFT(경동전체1!D177,1)="2","비닐",IF(LEFT(경동전체1!O177,1)="박","박스","비닐"))</f>
        <v>비닐</v>
      </c>
      <c r="N177" s="25">
        <v>1</v>
      </c>
      <c r="O177" s="25">
        <v>1</v>
      </c>
      <c r="P177" s="25">
        <v>1</v>
      </c>
      <c r="Q177" s="25">
        <v>1</v>
      </c>
      <c r="R177" s="1" t="str">
        <f t="shared" si="9"/>
        <v>50</v>
      </c>
      <c r="S177" s="1">
        <f>경동전체1!B177</f>
        <v>0</v>
      </c>
      <c r="T177" s="1" t="str">
        <f t="shared" si="10"/>
        <v>100</v>
      </c>
      <c r="U177" s="5" t="str">
        <f t="shared" si="11"/>
        <v>0</v>
      </c>
      <c r="V177" s="26">
        <v>0</v>
      </c>
      <c r="W177" s="26">
        <v>0</v>
      </c>
      <c r="X177" s="2" t="str">
        <f>SUBSTITUTE(SUBSTITUTE(SUBSTITUTE(SUBSTITUTE(SUBSTITUTE(SUBSTITUTE(SUBSTITUTE(SUBSTITUTE(SUBSTITUTE(SUBSTITUTE(SUBSTITUTE(SUBSTITUTE(SUBSTITUTE(경동전체1!D177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8" spans="1:24" ht="20.25" customHeight="1" x14ac:dyDescent="0.3">
      <c r="A178" s="2">
        <f>경동전체1!A178</f>
        <v>0</v>
      </c>
      <c r="B178" s="13" t="str">
        <f>SUBSTITUTE(SUBSTITUTE(SUBSTITUTE(SUBSTITUTE(SUBSTITUTE(SUBSTITUTE(SUBSTITUTE(SUBSTITUTE(SUBSTITUTE(SUBSTITUTE(SUBSTITUTE(SUBSTITUTE(SUBSTITUTE(경동전체1!K178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8" s="30">
        <f>경동전체1!E178</f>
        <v>0</v>
      </c>
      <c r="D178" s="23"/>
      <c r="E178" s="23"/>
      <c r="F178" s="4">
        <f>경동전체1!J178</f>
        <v>0</v>
      </c>
      <c r="G178" s="23"/>
      <c r="H178" s="2">
        <f>경동전체1!H178</f>
        <v>0</v>
      </c>
      <c r="I178" s="2" t="str">
        <f>경동전체1!I178&amp;""</f>
        <v/>
      </c>
      <c r="J178" s="2" t="s">
        <v>36</v>
      </c>
      <c r="K178" s="2" t="str">
        <f>IF(LEFT(경동전체1!G178,1)="","따사룸",경동전체1!G178)</f>
        <v>따사룸</v>
      </c>
      <c r="L178" s="4" t="str">
        <f t="shared" si="8"/>
        <v>1</v>
      </c>
      <c r="M178" s="1" t="str">
        <f>IF(LEFT(경동전체1!D178,1)="2","비닐",IF(LEFT(경동전체1!O178,1)="박","박스","비닐"))</f>
        <v>비닐</v>
      </c>
      <c r="N178" s="25">
        <v>1</v>
      </c>
      <c r="O178" s="25">
        <v>1</v>
      </c>
      <c r="P178" s="25">
        <v>1</v>
      </c>
      <c r="Q178" s="25">
        <v>1</v>
      </c>
      <c r="R178" s="1" t="str">
        <f t="shared" si="9"/>
        <v>50</v>
      </c>
      <c r="S178" s="1">
        <f>경동전체1!B178</f>
        <v>0</v>
      </c>
      <c r="T178" s="1" t="str">
        <f t="shared" si="10"/>
        <v>100</v>
      </c>
      <c r="U178" s="5" t="str">
        <f t="shared" si="11"/>
        <v>0</v>
      </c>
      <c r="V178" s="26">
        <v>0</v>
      </c>
      <c r="W178" s="26">
        <v>0</v>
      </c>
      <c r="X178" s="2" t="str">
        <f>SUBSTITUTE(SUBSTITUTE(SUBSTITUTE(SUBSTITUTE(SUBSTITUTE(SUBSTITUTE(SUBSTITUTE(SUBSTITUTE(SUBSTITUTE(SUBSTITUTE(SUBSTITUTE(SUBSTITUTE(SUBSTITUTE(경동전체1!D178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9" spans="1:24" ht="20.25" customHeight="1" x14ac:dyDescent="0.3">
      <c r="A179" s="2">
        <f>경동전체1!A179</f>
        <v>0</v>
      </c>
      <c r="B179" s="13" t="str">
        <f>SUBSTITUTE(SUBSTITUTE(SUBSTITUTE(SUBSTITUTE(SUBSTITUTE(SUBSTITUTE(SUBSTITUTE(SUBSTITUTE(SUBSTITUTE(SUBSTITUTE(SUBSTITUTE(SUBSTITUTE(SUBSTITUTE(경동전체1!K179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9" s="30">
        <f>경동전체1!E179</f>
        <v>0</v>
      </c>
      <c r="D179" s="23"/>
      <c r="E179" s="23"/>
      <c r="F179" s="4">
        <f>경동전체1!J179</f>
        <v>0</v>
      </c>
      <c r="G179" s="23"/>
      <c r="H179" s="2">
        <f>경동전체1!H179</f>
        <v>0</v>
      </c>
      <c r="I179" s="2" t="str">
        <f>경동전체1!I179&amp;""</f>
        <v/>
      </c>
      <c r="J179" s="2" t="s">
        <v>36</v>
      </c>
      <c r="K179" s="2" t="str">
        <f>IF(LEFT(경동전체1!G179,1)="","따사룸",경동전체1!G179)</f>
        <v>따사룸</v>
      </c>
      <c r="L179" s="4" t="str">
        <f t="shared" si="8"/>
        <v>1</v>
      </c>
      <c r="M179" s="1" t="str">
        <f>IF(LEFT(경동전체1!D179,1)="2","비닐",IF(LEFT(경동전체1!O179,1)="박","박스","비닐"))</f>
        <v>비닐</v>
      </c>
      <c r="N179" s="25">
        <v>1</v>
      </c>
      <c r="O179" s="25">
        <v>1</v>
      </c>
      <c r="P179" s="25">
        <v>1</v>
      </c>
      <c r="Q179" s="25">
        <v>1</v>
      </c>
      <c r="R179" s="1" t="str">
        <f t="shared" si="9"/>
        <v>50</v>
      </c>
      <c r="S179" s="1">
        <f>경동전체1!B179</f>
        <v>0</v>
      </c>
      <c r="T179" s="1" t="str">
        <f t="shared" si="10"/>
        <v>100</v>
      </c>
      <c r="U179" s="5" t="str">
        <f t="shared" si="11"/>
        <v>0</v>
      </c>
      <c r="V179" s="26">
        <v>0</v>
      </c>
      <c r="W179" s="26">
        <v>0</v>
      </c>
      <c r="X179" s="2" t="str">
        <f>SUBSTITUTE(SUBSTITUTE(SUBSTITUTE(SUBSTITUTE(SUBSTITUTE(SUBSTITUTE(SUBSTITUTE(SUBSTITUTE(SUBSTITUTE(SUBSTITUTE(SUBSTITUTE(SUBSTITUTE(SUBSTITUTE(경동전체1!D179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0" spans="1:24" ht="20.25" customHeight="1" x14ac:dyDescent="0.3">
      <c r="A180" s="2">
        <f>경동전체1!A180</f>
        <v>0</v>
      </c>
      <c r="B180" s="13" t="str">
        <f>SUBSTITUTE(SUBSTITUTE(SUBSTITUTE(SUBSTITUTE(SUBSTITUTE(SUBSTITUTE(SUBSTITUTE(SUBSTITUTE(SUBSTITUTE(SUBSTITUTE(SUBSTITUTE(SUBSTITUTE(SUBSTITUTE(경동전체1!K180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0" s="30">
        <f>경동전체1!E180</f>
        <v>0</v>
      </c>
      <c r="D180" s="23"/>
      <c r="E180" s="23"/>
      <c r="F180" s="4">
        <f>경동전체1!J180</f>
        <v>0</v>
      </c>
      <c r="G180" s="23"/>
      <c r="H180" s="2">
        <f>경동전체1!H180</f>
        <v>0</v>
      </c>
      <c r="I180" s="2" t="str">
        <f>경동전체1!I180&amp;""</f>
        <v/>
      </c>
      <c r="J180" s="2" t="s">
        <v>36</v>
      </c>
      <c r="K180" s="2" t="str">
        <f>IF(LEFT(경동전체1!G180,1)="","따사룸",경동전체1!G180)</f>
        <v>따사룸</v>
      </c>
      <c r="L180" s="4" t="str">
        <f t="shared" si="8"/>
        <v>1</v>
      </c>
      <c r="M180" s="1" t="str">
        <f>IF(LEFT(경동전체1!D180,1)="2","비닐",IF(LEFT(경동전체1!O180,1)="박","박스","비닐"))</f>
        <v>비닐</v>
      </c>
      <c r="N180" s="25">
        <v>1</v>
      </c>
      <c r="O180" s="25">
        <v>1</v>
      </c>
      <c r="P180" s="25">
        <v>1</v>
      </c>
      <c r="Q180" s="25">
        <v>1</v>
      </c>
      <c r="R180" s="1" t="str">
        <f t="shared" si="9"/>
        <v>50</v>
      </c>
      <c r="S180" s="1">
        <f>경동전체1!B180</f>
        <v>0</v>
      </c>
      <c r="T180" s="1" t="str">
        <f t="shared" si="10"/>
        <v>100</v>
      </c>
      <c r="U180" s="5" t="str">
        <f t="shared" si="11"/>
        <v>0</v>
      </c>
      <c r="V180" s="26">
        <v>0</v>
      </c>
      <c r="W180" s="26">
        <v>0</v>
      </c>
      <c r="X180" s="2" t="str">
        <f>SUBSTITUTE(SUBSTITUTE(SUBSTITUTE(SUBSTITUTE(SUBSTITUTE(SUBSTITUTE(SUBSTITUTE(SUBSTITUTE(SUBSTITUTE(SUBSTITUTE(SUBSTITUTE(SUBSTITUTE(SUBSTITUTE(경동전체1!D180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1" spans="1:24" ht="20.25" customHeight="1" x14ac:dyDescent="0.3">
      <c r="A181" s="2">
        <f>경동전체1!A181</f>
        <v>0</v>
      </c>
      <c r="B181" s="13" t="str">
        <f>SUBSTITUTE(SUBSTITUTE(SUBSTITUTE(SUBSTITUTE(SUBSTITUTE(SUBSTITUTE(SUBSTITUTE(SUBSTITUTE(SUBSTITUTE(SUBSTITUTE(SUBSTITUTE(SUBSTITUTE(SUBSTITUTE(경동전체1!K181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1" s="30">
        <f>경동전체1!E181</f>
        <v>0</v>
      </c>
      <c r="D181" s="23"/>
      <c r="E181" s="23"/>
      <c r="F181" s="4">
        <f>경동전체1!J181</f>
        <v>0</v>
      </c>
      <c r="G181" s="23"/>
      <c r="H181" s="2">
        <f>경동전체1!H181</f>
        <v>0</v>
      </c>
      <c r="I181" s="2" t="str">
        <f>경동전체1!I181&amp;""</f>
        <v/>
      </c>
      <c r="J181" s="2" t="s">
        <v>36</v>
      </c>
      <c r="K181" s="2" t="str">
        <f>IF(LEFT(경동전체1!G181,1)="","따사룸",경동전체1!G181)</f>
        <v>따사룸</v>
      </c>
      <c r="L181" s="4" t="str">
        <f t="shared" si="8"/>
        <v>1</v>
      </c>
      <c r="M181" s="1" t="str">
        <f>IF(LEFT(경동전체1!D181,1)="2","비닐",IF(LEFT(경동전체1!O181,1)="박","박스","비닐"))</f>
        <v>비닐</v>
      </c>
      <c r="N181" s="25">
        <v>1</v>
      </c>
      <c r="O181" s="25">
        <v>1</v>
      </c>
      <c r="P181" s="25">
        <v>1</v>
      </c>
      <c r="Q181" s="25">
        <v>1</v>
      </c>
      <c r="R181" s="1" t="str">
        <f t="shared" si="9"/>
        <v>50</v>
      </c>
      <c r="S181" s="1">
        <f>경동전체1!B181</f>
        <v>0</v>
      </c>
      <c r="T181" s="1" t="str">
        <f t="shared" si="10"/>
        <v>100</v>
      </c>
      <c r="U181" s="5" t="str">
        <f t="shared" si="11"/>
        <v>0</v>
      </c>
      <c r="V181" s="26">
        <v>0</v>
      </c>
      <c r="W181" s="26">
        <v>0</v>
      </c>
      <c r="X181" s="2" t="str">
        <f>SUBSTITUTE(SUBSTITUTE(SUBSTITUTE(SUBSTITUTE(SUBSTITUTE(SUBSTITUTE(SUBSTITUTE(SUBSTITUTE(SUBSTITUTE(SUBSTITUTE(SUBSTITUTE(SUBSTITUTE(SUBSTITUTE(경동전체1!D181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2" spans="1:24" ht="20.25" customHeight="1" x14ac:dyDescent="0.3">
      <c r="A182" s="2">
        <f>경동전체1!A182</f>
        <v>0</v>
      </c>
      <c r="B182" s="13" t="str">
        <f>SUBSTITUTE(SUBSTITUTE(SUBSTITUTE(SUBSTITUTE(SUBSTITUTE(SUBSTITUTE(SUBSTITUTE(SUBSTITUTE(SUBSTITUTE(SUBSTITUTE(SUBSTITUTE(SUBSTITUTE(SUBSTITUTE(경동전체1!K182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2" s="30">
        <f>경동전체1!E182</f>
        <v>0</v>
      </c>
      <c r="D182" s="23"/>
      <c r="E182" s="23"/>
      <c r="F182" s="4">
        <f>경동전체1!J182</f>
        <v>0</v>
      </c>
      <c r="G182" s="23"/>
      <c r="H182" s="2">
        <f>경동전체1!H182</f>
        <v>0</v>
      </c>
      <c r="I182" s="2" t="str">
        <f>경동전체1!I182&amp;""</f>
        <v/>
      </c>
      <c r="J182" s="2" t="s">
        <v>36</v>
      </c>
      <c r="K182" s="2" t="str">
        <f>IF(LEFT(경동전체1!G182,1)="","따사룸",경동전체1!G182)</f>
        <v>따사룸</v>
      </c>
      <c r="L182" s="4" t="str">
        <f t="shared" si="8"/>
        <v>1</v>
      </c>
      <c r="M182" s="1" t="str">
        <f>IF(LEFT(경동전체1!D182,1)="2","비닐",IF(LEFT(경동전체1!O182,1)="박","박스","비닐"))</f>
        <v>비닐</v>
      </c>
      <c r="N182" s="25">
        <v>1</v>
      </c>
      <c r="O182" s="25">
        <v>1</v>
      </c>
      <c r="P182" s="25">
        <v>1</v>
      </c>
      <c r="Q182" s="25">
        <v>1</v>
      </c>
      <c r="R182" s="1" t="str">
        <f t="shared" si="9"/>
        <v>50</v>
      </c>
      <c r="S182" s="1">
        <f>경동전체1!B182</f>
        <v>0</v>
      </c>
      <c r="T182" s="1" t="str">
        <f t="shared" si="10"/>
        <v>100</v>
      </c>
      <c r="U182" s="5" t="str">
        <f t="shared" si="11"/>
        <v>0</v>
      </c>
      <c r="V182" s="26">
        <v>0</v>
      </c>
      <c r="W182" s="26">
        <v>0</v>
      </c>
      <c r="X182" s="2" t="str">
        <f>SUBSTITUTE(SUBSTITUTE(SUBSTITUTE(SUBSTITUTE(SUBSTITUTE(SUBSTITUTE(SUBSTITUTE(SUBSTITUTE(SUBSTITUTE(SUBSTITUTE(SUBSTITUTE(SUBSTITUTE(SUBSTITUTE(경동전체1!D182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3" spans="1:24" ht="20.25" customHeight="1" x14ac:dyDescent="0.3">
      <c r="A183" s="2">
        <f>경동전체1!A183</f>
        <v>0</v>
      </c>
      <c r="B183" s="13" t="str">
        <f>SUBSTITUTE(SUBSTITUTE(SUBSTITUTE(SUBSTITUTE(SUBSTITUTE(SUBSTITUTE(SUBSTITUTE(SUBSTITUTE(SUBSTITUTE(SUBSTITUTE(SUBSTITUTE(SUBSTITUTE(SUBSTITUTE(경동전체1!K183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3" s="30">
        <f>경동전체1!E183</f>
        <v>0</v>
      </c>
      <c r="D183" s="23"/>
      <c r="E183" s="23"/>
      <c r="F183" s="4">
        <f>경동전체1!J183</f>
        <v>0</v>
      </c>
      <c r="G183" s="23"/>
      <c r="H183" s="2">
        <f>경동전체1!H183</f>
        <v>0</v>
      </c>
      <c r="I183" s="2" t="str">
        <f>경동전체1!I183&amp;""</f>
        <v/>
      </c>
      <c r="J183" s="2" t="s">
        <v>36</v>
      </c>
      <c r="K183" s="2" t="str">
        <f>IF(LEFT(경동전체1!G183,1)="","따사룸",경동전체1!G183)</f>
        <v>따사룸</v>
      </c>
      <c r="L183" s="4" t="str">
        <f t="shared" si="8"/>
        <v>1</v>
      </c>
      <c r="M183" s="1" t="str">
        <f>IF(LEFT(경동전체1!D183,1)="2","비닐",IF(LEFT(경동전체1!O183,1)="박","박스","비닐"))</f>
        <v>비닐</v>
      </c>
      <c r="N183" s="25">
        <v>1</v>
      </c>
      <c r="O183" s="25">
        <v>1</v>
      </c>
      <c r="P183" s="25">
        <v>1</v>
      </c>
      <c r="Q183" s="25">
        <v>1</v>
      </c>
      <c r="R183" s="1" t="str">
        <f t="shared" si="9"/>
        <v>50</v>
      </c>
      <c r="S183" s="1">
        <f>경동전체1!B183</f>
        <v>0</v>
      </c>
      <c r="T183" s="1" t="str">
        <f t="shared" si="10"/>
        <v>100</v>
      </c>
      <c r="U183" s="5" t="str">
        <f t="shared" si="11"/>
        <v>0</v>
      </c>
      <c r="V183" s="26">
        <v>0</v>
      </c>
      <c r="W183" s="26">
        <v>0</v>
      </c>
      <c r="X183" s="2" t="str">
        <f>SUBSTITUTE(SUBSTITUTE(SUBSTITUTE(SUBSTITUTE(SUBSTITUTE(SUBSTITUTE(SUBSTITUTE(SUBSTITUTE(SUBSTITUTE(SUBSTITUTE(SUBSTITUTE(SUBSTITUTE(SUBSTITUTE(경동전체1!D183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4" spans="1:24" ht="20.25" customHeight="1" x14ac:dyDescent="0.3">
      <c r="A184" s="2">
        <f>경동전체1!A184</f>
        <v>0</v>
      </c>
      <c r="B184" s="13" t="str">
        <f>SUBSTITUTE(SUBSTITUTE(SUBSTITUTE(SUBSTITUTE(SUBSTITUTE(SUBSTITUTE(SUBSTITUTE(SUBSTITUTE(SUBSTITUTE(SUBSTITUTE(SUBSTITUTE(SUBSTITUTE(SUBSTITUTE(경동전체1!K184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4" s="30">
        <f>경동전체1!E184</f>
        <v>0</v>
      </c>
      <c r="D184" s="23"/>
      <c r="E184" s="23"/>
      <c r="F184" s="4">
        <f>경동전체1!J184</f>
        <v>0</v>
      </c>
      <c r="G184" s="23"/>
      <c r="H184" s="2">
        <f>경동전체1!H184</f>
        <v>0</v>
      </c>
      <c r="I184" s="2" t="str">
        <f>경동전체1!I184&amp;""</f>
        <v/>
      </c>
      <c r="J184" s="2" t="s">
        <v>36</v>
      </c>
      <c r="K184" s="2" t="str">
        <f>IF(LEFT(경동전체1!G184,1)="","따사룸",경동전체1!G184)</f>
        <v>따사룸</v>
      </c>
      <c r="L184" s="4" t="str">
        <f t="shared" si="8"/>
        <v>1</v>
      </c>
      <c r="M184" s="1" t="str">
        <f>IF(LEFT(경동전체1!D184,1)="2","비닐",IF(LEFT(경동전체1!O184,1)="박","박스","비닐"))</f>
        <v>비닐</v>
      </c>
      <c r="N184" s="25">
        <v>1</v>
      </c>
      <c r="O184" s="25">
        <v>1</v>
      </c>
      <c r="P184" s="25">
        <v>1</v>
      </c>
      <c r="Q184" s="25">
        <v>1</v>
      </c>
      <c r="R184" s="1" t="str">
        <f t="shared" si="9"/>
        <v>50</v>
      </c>
      <c r="S184" s="1">
        <f>경동전체1!B184</f>
        <v>0</v>
      </c>
      <c r="T184" s="1" t="str">
        <f t="shared" si="10"/>
        <v>100</v>
      </c>
      <c r="U184" s="5" t="str">
        <f t="shared" si="11"/>
        <v>0</v>
      </c>
      <c r="V184" s="26">
        <v>0</v>
      </c>
      <c r="W184" s="26">
        <v>0</v>
      </c>
      <c r="X184" s="2" t="str">
        <f>SUBSTITUTE(SUBSTITUTE(SUBSTITUTE(SUBSTITUTE(SUBSTITUTE(SUBSTITUTE(SUBSTITUTE(SUBSTITUTE(SUBSTITUTE(SUBSTITUTE(SUBSTITUTE(SUBSTITUTE(SUBSTITUTE(경동전체1!D184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5" spans="1:24" ht="20.25" customHeight="1" x14ac:dyDescent="0.3">
      <c r="A185" s="2">
        <f>경동전체1!A185</f>
        <v>0</v>
      </c>
      <c r="B185" s="13" t="str">
        <f>SUBSTITUTE(SUBSTITUTE(SUBSTITUTE(SUBSTITUTE(SUBSTITUTE(SUBSTITUTE(SUBSTITUTE(SUBSTITUTE(SUBSTITUTE(SUBSTITUTE(SUBSTITUTE(SUBSTITUTE(SUBSTITUTE(경동전체1!K185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5" s="30">
        <f>경동전체1!E185</f>
        <v>0</v>
      </c>
      <c r="D185" s="23"/>
      <c r="E185" s="23"/>
      <c r="F185" s="4">
        <f>경동전체1!J185</f>
        <v>0</v>
      </c>
      <c r="G185" s="23"/>
      <c r="H185" s="2">
        <f>경동전체1!H185</f>
        <v>0</v>
      </c>
      <c r="I185" s="2" t="str">
        <f>경동전체1!I185&amp;""</f>
        <v/>
      </c>
      <c r="J185" s="2" t="s">
        <v>36</v>
      </c>
      <c r="K185" s="2" t="str">
        <f>IF(LEFT(경동전체1!G185,1)="","따사룸",경동전체1!G185)</f>
        <v>따사룸</v>
      </c>
      <c r="L185" s="4" t="str">
        <f t="shared" si="8"/>
        <v>1</v>
      </c>
      <c r="M185" s="1" t="str">
        <f>IF(LEFT(경동전체1!D185,1)="2","비닐",IF(LEFT(경동전체1!O185,1)="박","박스","비닐"))</f>
        <v>비닐</v>
      </c>
      <c r="N185" s="25">
        <v>1</v>
      </c>
      <c r="O185" s="25">
        <v>1</v>
      </c>
      <c r="P185" s="25">
        <v>1</v>
      </c>
      <c r="Q185" s="25">
        <v>1</v>
      </c>
      <c r="R185" s="1" t="str">
        <f t="shared" si="9"/>
        <v>50</v>
      </c>
      <c r="S185" s="1">
        <f>경동전체1!B185</f>
        <v>0</v>
      </c>
      <c r="T185" s="1" t="str">
        <f t="shared" si="10"/>
        <v>100</v>
      </c>
      <c r="U185" s="5" t="str">
        <f t="shared" si="11"/>
        <v>0</v>
      </c>
      <c r="V185" s="26">
        <v>0</v>
      </c>
      <c r="W185" s="26">
        <v>0</v>
      </c>
      <c r="X185" s="2" t="str">
        <f>SUBSTITUTE(SUBSTITUTE(SUBSTITUTE(SUBSTITUTE(SUBSTITUTE(SUBSTITUTE(SUBSTITUTE(SUBSTITUTE(SUBSTITUTE(SUBSTITUTE(SUBSTITUTE(SUBSTITUTE(SUBSTITUTE(경동전체1!D185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6" spans="1:24" ht="20.25" customHeight="1" x14ac:dyDescent="0.3">
      <c r="A186" s="2">
        <f>경동전체1!A186</f>
        <v>0</v>
      </c>
      <c r="B186" s="13" t="str">
        <f>SUBSTITUTE(SUBSTITUTE(SUBSTITUTE(SUBSTITUTE(SUBSTITUTE(SUBSTITUTE(SUBSTITUTE(SUBSTITUTE(SUBSTITUTE(SUBSTITUTE(SUBSTITUTE(SUBSTITUTE(SUBSTITUTE(경동전체1!K186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6" s="30">
        <f>경동전체1!E186</f>
        <v>0</v>
      </c>
      <c r="D186" s="23"/>
      <c r="E186" s="23"/>
      <c r="F186" s="4">
        <f>경동전체1!J186</f>
        <v>0</v>
      </c>
      <c r="G186" s="23"/>
      <c r="H186" s="2">
        <f>경동전체1!H186</f>
        <v>0</v>
      </c>
      <c r="I186" s="2" t="str">
        <f>경동전체1!I186&amp;""</f>
        <v/>
      </c>
      <c r="J186" s="2" t="s">
        <v>36</v>
      </c>
      <c r="K186" s="2" t="str">
        <f>IF(LEFT(경동전체1!G186,1)="","따사룸",경동전체1!G186)</f>
        <v>따사룸</v>
      </c>
      <c r="L186" s="4" t="str">
        <f t="shared" si="8"/>
        <v>1</v>
      </c>
      <c r="M186" s="1" t="str">
        <f>IF(LEFT(경동전체1!D186,1)="2","비닐",IF(LEFT(경동전체1!O186,1)="박","박스","비닐"))</f>
        <v>비닐</v>
      </c>
      <c r="N186" s="25">
        <v>1</v>
      </c>
      <c r="O186" s="25">
        <v>1</v>
      </c>
      <c r="P186" s="25">
        <v>1</v>
      </c>
      <c r="Q186" s="25">
        <v>1</v>
      </c>
      <c r="R186" s="1" t="str">
        <f t="shared" si="9"/>
        <v>50</v>
      </c>
      <c r="S186" s="1">
        <f>경동전체1!B186</f>
        <v>0</v>
      </c>
      <c r="T186" s="1" t="str">
        <f t="shared" si="10"/>
        <v>100</v>
      </c>
      <c r="U186" s="5" t="str">
        <f t="shared" si="11"/>
        <v>0</v>
      </c>
      <c r="V186" s="26">
        <v>0</v>
      </c>
      <c r="W186" s="26">
        <v>0</v>
      </c>
      <c r="X186" s="2" t="str">
        <f>SUBSTITUTE(SUBSTITUTE(SUBSTITUTE(SUBSTITUTE(SUBSTITUTE(SUBSTITUTE(SUBSTITUTE(SUBSTITUTE(SUBSTITUTE(SUBSTITUTE(SUBSTITUTE(SUBSTITUTE(SUBSTITUTE(경동전체1!D186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7" spans="1:24" ht="20.25" customHeight="1" x14ac:dyDescent="0.3">
      <c r="A187" s="2">
        <f>경동전체1!A187</f>
        <v>0</v>
      </c>
      <c r="B187" s="13" t="str">
        <f>SUBSTITUTE(SUBSTITUTE(SUBSTITUTE(SUBSTITUTE(SUBSTITUTE(SUBSTITUTE(SUBSTITUTE(SUBSTITUTE(SUBSTITUTE(SUBSTITUTE(SUBSTITUTE(SUBSTITUTE(SUBSTITUTE(경동전체1!K187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7" s="30">
        <f>경동전체1!E187</f>
        <v>0</v>
      </c>
      <c r="D187" s="23"/>
      <c r="E187" s="23"/>
      <c r="F187" s="4">
        <f>경동전체1!J187</f>
        <v>0</v>
      </c>
      <c r="G187" s="23"/>
      <c r="H187" s="2">
        <f>경동전체1!H187</f>
        <v>0</v>
      </c>
      <c r="I187" s="2" t="str">
        <f>경동전체1!I187&amp;""</f>
        <v/>
      </c>
      <c r="J187" s="2" t="s">
        <v>36</v>
      </c>
      <c r="K187" s="2" t="str">
        <f>IF(LEFT(경동전체1!G187,1)="","따사룸",경동전체1!G187)</f>
        <v>따사룸</v>
      </c>
      <c r="L187" s="4" t="str">
        <f t="shared" si="8"/>
        <v>1</v>
      </c>
      <c r="M187" s="1" t="str">
        <f>IF(LEFT(경동전체1!D187,1)="2","비닐",IF(LEFT(경동전체1!O187,1)="박","박스","비닐"))</f>
        <v>비닐</v>
      </c>
      <c r="N187" s="25">
        <v>1</v>
      </c>
      <c r="O187" s="25">
        <v>1</v>
      </c>
      <c r="P187" s="25">
        <v>1</v>
      </c>
      <c r="Q187" s="25">
        <v>1</v>
      </c>
      <c r="R187" s="1" t="str">
        <f t="shared" si="9"/>
        <v>50</v>
      </c>
      <c r="S187" s="1">
        <f>경동전체1!B187</f>
        <v>0</v>
      </c>
      <c r="T187" s="1" t="str">
        <f t="shared" si="10"/>
        <v>100</v>
      </c>
      <c r="U187" s="5" t="str">
        <f t="shared" si="11"/>
        <v>0</v>
      </c>
      <c r="V187" s="26">
        <v>0</v>
      </c>
      <c r="W187" s="26">
        <v>0</v>
      </c>
      <c r="X187" s="2" t="str">
        <f>SUBSTITUTE(SUBSTITUTE(SUBSTITUTE(SUBSTITUTE(SUBSTITUTE(SUBSTITUTE(SUBSTITUTE(SUBSTITUTE(SUBSTITUTE(SUBSTITUTE(SUBSTITUTE(SUBSTITUTE(SUBSTITUTE(경동전체1!D187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8" spans="1:24" ht="20.25" customHeight="1" x14ac:dyDescent="0.3">
      <c r="A188" s="2">
        <f>경동전체1!A188</f>
        <v>0</v>
      </c>
      <c r="B188" s="13" t="str">
        <f>SUBSTITUTE(SUBSTITUTE(SUBSTITUTE(SUBSTITUTE(SUBSTITUTE(SUBSTITUTE(SUBSTITUTE(SUBSTITUTE(SUBSTITUTE(SUBSTITUTE(SUBSTITUTE(SUBSTITUTE(SUBSTITUTE(경동전체1!K188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8" s="30">
        <f>경동전체1!E188</f>
        <v>0</v>
      </c>
      <c r="D188" s="23"/>
      <c r="E188" s="23"/>
      <c r="F188" s="4">
        <f>경동전체1!J188</f>
        <v>0</v>
      </c>
      <c r="G188" s="23"/>
      <c r="H188" s="2">
        <f>경동전체1!H188</f>
        <v>0</v>
      </c>
      <c r="I188" s="2" t="str">
        <f>경동전체1!I188&amp;""</f>
        <v/>
      </c>
      <c r="J188" s="2" t="s">
        <v>36</v>
      </c>
      <c r="K188" s="2" t="str">
        <f>IF(LEFT(경동전체1!G188,1)="","따사룸",경동전체1!G188)</f>
        <v>따사룸</v>
      </c>
      <c r="L188" s="4" t="str">
        <f t="shared" si="8"/>
        <v>1</v>
      </c>
      <c r="M188" s="1" t="str">
        <f>IF(LEFT(경동전체1!D188,1)="2","비닐",IF(LEFT(경동전체1!O188,1)="박","박스","비닐"))</f>
        <v>비닐</v>
      </c>
      <c r="N188" s="25">
        <v>1</v>
      </c>
      <c r="O188" s="25">
        <v>1</v>
      </c>
      <c r="P188" s="25">
        <v>1</v>
      </c>
      <c r="Q188" s="25">
        <v>1</v>
      </c>
      <c r="R188" s="1" t="str">
        <f t="shared" si="9"/>
        <v>50</v>
      </c>
      <c r="S188" s="1">
        <f>경동전체1!B188</f>
        <v>0</v>
      </c>
      <c r="T188" s="1" t="str">
        <f t="shared" si="10"/>
        <v>100</v>
      </c>
      <c r="U188" s="5" t="str">
        <f t="shared" si="11"/>
        <v>0</v>
      </c>
      <c r="V188" s="26">
        <v>0</v>
      </c>
      <c r="W188" s="26">
        <v>0</v>
      </c>
      <c r="X188" s="2" t="str">
        <f>SUBSTITUTE(SUBSTITUTE(SUBSTITUTE(SUBSTITUTE(SUBSTITUTE(SUBSTITUTE(SUBSTITUTE(SUBSTITUTE(SUBSTITUTE(SUBSTITUTE(SUBSTITUTE(SUBSTITUTE(SUBSTITUTE(경동전체1!D188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9" spans="1:24" ht="20.25" customHeight="1" x14ac:dyDescent="0.3">
      <c r="A189" s="2">
        <f>경동전체1!A189</f>
        <v>0</v>
      </c>
      <c r="B189" s="13" t="str">
        <f>SUBSTITUTE(SUBSTITUTE(SUBSTITUTE(SUBSTITUTE(SUBSTITUTE(SUBSTITUTE(SUBSTITUTE(SUBSTITUTE(SUBSTITUTE(SUBSTITUTE(SUBSTITUTE(SUBSTITUTE(SUBSTITUTE(경동전체1!K189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9" s="30">
        <f>경동전체1!E189</f>
        <v>0</v>
      </c>
      <c r="D189" s="23"/>
      <c r="E189" s="23"/>
      <c r="F189" s="4">
        <f>경동전체1!J189</f>
        <v>0</v>
      </c>
      <c r="G189" s="23"/>
      <c r="H189" s="2">
        <f>경동전체1!H189</f>
        <v>0</v>
      </c>
      <c r="I189" s="2" t="str">
        <f>경동전체1!I189&amp;""</f>
        <v/>
      </c>
      <c r="J189" s="2" t="s">
        <v>36</v>
      </c>
      <c r="K189" s="2" t="str">
        <f>IF(LEFT(경동전체1!G189,1)="","따사룸",경동전체1!G189)</f>
        <v>따사룸</v>
      </c>
      <c r="L189" s="4" t="str">
        <f t="shared" si="8"/>
        <v>1</v>
      </c>
      <c r="M189" s="1" t="str">
        <f>IF(LEFT(경동전체1!D189,1)="2","비닐",IF(LEFT(경동전체1!O189,1)="박","박스","비닐"))</f>
        <v>비닐</v>
      </c>
      <c r="N189" s="25">
        <v>1</v>
      </c>
      <c r="O189" s="25">
        <v>1</v>
      </c>
      <c r="P189" s="25">
        <v>1</v>
      </c>
      <c r="Q189" s="25">
        <v>1</v>
      </c>
      <c r="R189" s="1" t="str">
        <f t="shared" si="9"/>
        <v>50</v>
      </c>
      <c r="S189" s="1">
        <f>경동전체1!B189</f>
        <v>0</v>
      </c>
      <c r="T189" s="1" t="str">
        <f t="shared" si="10"/>
        <v>100</v>
      </c>
      <c r="U189" s="5" t="str">
        <f t="shared" si="11"/>
        <v>0</v>
      </c>
      <c r="V189" s="26">
        <v>0</v>
      </c>
      <c r="W189" s="26">
        <v>0</v>
      </c>
      <c r="X189" s="2" t="str">
        <f>SUBSTITUTE(SUBSTITUTE(SUBSTITUTE(SUBSTITUTE(SUBSTITUTE(SUBSTITUTE(SUBSTITUTE(SUBSTITUTE(SUBSTITUTE(SUBSTITUTE(SUBSTITUTE(SUBSTITUTE(SUBSTITUTE(경동전체1!D189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0" spans="1:24" ht="20.25" customHeight="1" x14ac:dyDescent="0.3">
      <c r="A190" s="2">
        <f>경동전체1!A190</f>
        <v>0</v>
      </c>
      <c r="B190" s="13" t="str">
        <f>SUBSTITUTE(SUBSTITUTE(SUBSTITUTE(SUBSTITUTE(SUBSTITUTE(SUBSTITUTE(SUBSTITUTE(SUBSTITUTE(SUBSTITUTE(SUBSTITUTE(SUBSTITUTE(SUBSTITUTE(SUBSTITUTE(경동전체1!K190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0" s="30">
        <f>경동전체1!E190</f>
        <v>0</v>
      </c>
      <c r="D190" s="23"/>
      <c r="E190" s="23"/>
      <c r="F190" s="4">
        <f>경동전체1!J190</f>
        <v>0</v>
      </c>
      <c r="G190" s="23"/>
      <c r="H190" s="2">
        <f>경동전체1!H190</f>
        <v>0</v>
      </c>
      <c r="I190" s="2" t="str">
        <f>경동전체1!I190&amp;""</f>
        <v/>
      </c>
      <c r="J190" s="2" t="s">
        <v>36</v>
      </c>
      <c r="K190" s="2" t="str">
        <f>IF(LEFT(경동전체1!G190,1)="","따사룸",경동전체1!G190)</f>
        <v>따사룸</v>
      </c>
      <c r="L190" s="4" t="str">
        <f t="shared" si="8"/>
        <v>1</v>
      </c>
      <c r="M190" s="1" t="str">
        <f>IF(LEFT(경동전체1!D190,1)="2","비닐",IF(LEFT(경동전체1!O190,1)="박","박스","비닐"))</f>
        <v>비닐</v>
      </c>
      <c r="N190" s="25">
        <v>1</v>
      </c>
      <c r="O190" s="25">
        <v>1</v>
      </c>
      <c r="P190" s="25">
        <v>1</v>
      </c>
      <c r="Q190" s="25">
        <v>1</v>
      </c>
      <c r="R190" s="1" t="str">
        <f t="shared" si="9"/>
        <v>50</v>
      </c>
      <c r="S190" s="1">
        <f>경동전체1!B190</f>
        <v>0</v>
      </c>
      <c r="T190" s="1" t="str">
        <f t="shared" si="10"/>
        <v>100</v>
      </c>
      <c r="U190" s="5" t="str">
        <f t="shared" si="11"/>
        <v>0</v>
      </c>
      <c r="V190" s="26">
        <v>0</v>
      </c>
      <c r="W190" s="26">
        <v>0</v>
      </c>
      <c r="X190" s="2" t="str">
        <f>SUBSTITUTE(SUBSTITUTE(SUBSTITUTE(SUBSTITUTE(SUBSTITUTE(SUBSTITUTE(SUBSTITUTE(SUBSTITUTE(SUBSTITUTE(SUBSTITUTE(SUBSTITUTE(SUBSTITUTE(SUBSTITUTE(경동전체1!D190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1" spans="1:24" ht="20.25" customHeight="1" x14ac:dyDescent="0.3">
      <c r="A191" s="2">
        <f>경동전체1!A191</f>
        <v>0</v>
      </c>
      <c r="B191" s="13" t="str">
        <f>SUBSTITUTE(SUBSTITUTE(SUBSTITUTE(SUBSTITUTE(SUBSTITUTE(SUBSTITUTE(SUBSTITUTE(SUBSTITUTE(SUBSTITUTE(SUBSTITUTE(SUBSTITUTE(SUBSTITUTE(SUBSTITUTE(경동전체1!K191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1" s="30">
        <f>경동전체1!E191</f>
        <v>0</v>
      </c>
      <c r="D191" s="23"/>
      <c r="E191" s="23"/>
      <c r="F191" s="4">
        <f>경동전체1!J191</f>
        <v>0</v>
      </c>
      <c r="G191" s="23"/>
      <c r="H191" s="2">
        <f>경동전체1!H191</f>
        <v>0</v>
      </c>
      <c r="I191" s="2" t="str">
        <f>경동전체1!I191&amp;""</f>
        <v/>
      </c>
      <c r="J191" s="2" t="s">
        <v>36</v>
      </c>
      <c r="K191" s="2" t="str">
        <f>IF(LEFT(경동전체1!G191,1)="","따사룸",경동전체1!G191)</f>
        <v>따사룸</v>
      </c>
      <c r="L191" s="4" t="str">
        <f t="shared" si="8"/>
        <v>1</v>
      </c>
      <c r="M191" s="1" t="str">
        <f>IF(LEFT(경동전체1!D191,1)="2","비닐",IF(LEFT(경동전체1!O191,1)="박","박스","비닐"))</f>
        <v>비닐</v>
      </c>
      <c r="N191" s="25">
        <v>1</v>
      </c>
      <c r="O191" s="25">
        <v>1</v>
      </c>
      <c r="P191" s="25">
        <v>1</v>
      </c>
      <c r="Q191" s="25">
        <v>1</v>
      </c>
      <c r="R191" s="1" t="str">
        <f t="shared" si="9"/>
        <v>50</v>
      </c>
      <c r="S191" s="1">
        <f>경동전체1!B191</f>
        <v>0</v>
      </c>
      <c r="T191" s="1" t="str">
        <f t="shared" si="10"/>
        <v>100</v>
      </c>
      <c r="U191" s="5" t="str">
        <f t="shared" si="11"/>
        <v>0</v>
      </c>
      <c r="V191" s="26">
        <v>0</v>
      </c>
      <c r="W191" s="26">
        <v>0</v>
      </c>
      <c r="X191" s="2" t="str">
        <f>SUBSTITUTE(SUBSTITUTE(SUBSTITUTE(SUBSTITUTE(SUBSTITUTE(SUBSTITUTE(SUBSTITUTE(SUBSTITUTE(SUBSTITUTE(SUBSTITUTE(SUBSTITUTE(SUBSTITUTE(SUBSTITUTE(경동전체1!D191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2" spans="1:24" ht="20.25" customHeight="1" x14ac:dyDescent="0.3">
      <c r="A192" s="2">
        <f>경동전체1!A192</f>
        <v>0</v>
      </c>
      <c r="B192" s="13" t="str">
        <f>SUBSTITUTE(SUBSTITUTE(SUBSTITUTE(SUBSTITUTE(SUBSTITUTE(SUBSTITUTE(SUBSTITUTE(SUBSTITUTE(SUBSTITUTE(SUBSTITUTE(SUBSTITUTE(SUBSTITUTE(SUBSTITUTE(경동전체1!K192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2" s="30">
        <f>경동전체1!E192</f>
        <v>0</v>
      </c>
      <c r="D192" s="23"/>
      <c r="E192" s="23"/>
      <c r="F192" s="4">
        <f>경동전체1!J192</f>
        <v>0</v>
      </c>
      <c r="G192" s="23"/>
      <c r="H192" s="2">
        <f>경동전체1!H192</f>
        <v>0</v>
      </c>
      <c r="I192" s="2" t="str">
        <f>경동전체1!I192&amp;""</f>
        <v/>
      </c>
      <c r="J192" s="2" t="s">
        <v>36</v>
      </c>
      <c r="K192" s="2" t="str">
        <f>IF(LEFT(경동전체1!G192,1)="","따사룸",경동전체1!G192)</f>
        <v>따사룸</v>
      </c>
      <c r="L192" s="4" t="str">
        <f t="shared" si="8"/>
        <v>1</v>
      </c>
      <c r="M192" s="1" t="str">
        <f>IF(LEFT(경동전체1!D192,1)="2","비닐",IF(LEFT(경동전체1!O192,1)="박","박스","비닐"))</f>
        <v>비닐</v>
      </c>
      <c r="N192" s="25">
        <v>1</v>
      </c>
      <c r="O192" s="25">
        <v>1</v>
      </c>
      <c r="P192" s="25">
        <v>1</v>
      </c>
      <c r="Q192" s="25">
        <v>1</v>
      </c>
      <c r="R192" s="1" t="str">
        <f t="shared" si="9"/>
        <v>50</v>
      </c>
      <c r="S192" s="1">
        <f>경동전체1!B192</f>
        <v>0</v>
      </c>
      <c r="T192" s="1" t="str">
        <f t="shared" si="10"/>
        <v>100</v>
      </c>
      <c r="U192" s="5" t="str">
        <f t="shared" si="11"/>
        <v>0</v>
      </c>
      <c r="V192" s="26">
        <v>0</v>
      </c>
      <c r="W192" s="26">
        <v>0</v>
      </c>
      <c r="X192" s="2" t="str">
        <f>SUBSTITUTE(SUBSTITUTE(SUBSTITUTE(SUBSTITUTE(SUBSTITUTE(SUBSTITUTE(SUBSTITUTE(SUBSTITUTE(SUBSTITUTE(SUBSTITUTE(SUBSTITUTE(SUBSTITUTE(SUBSTITUTE(경동전체1!D192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3" spans="1:24" ht="20.25" customHeight="1" x14ac:dyDescent="0.3">
      <c r="A193" s="2">
        <f>경동전체1!A193</f>
        <v>0</v>
      </c>
      <c r="B193" s="13" t="str">
        <f>SUBSTITUTE(SUBSTITUTE(SUBSTITUTE(SUBSTITUTE(SUBSTITUTE(SUBSTITUTE(SUBSTITUTE(SUBSTITUTE(SUBSTITUTE(SUBSTITUTE(SUBSTITUTE(SUBSTITUTE(SUBSTITUTE(경동전체1!K193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3" s="30">
        <f>경동전체1!E193</f>
        <v>0</v>
      </c>
      <c r="D193" s="23"/>
      <c r="E193" s="23"/>
      <c r="F193" s="4">
        <f>경동전체1!J193</f>
        <v>0</v>
      </c>
      <c r="G193" s="23"/>
      <c r="H193" s="2">
        <f>경동전체1!H193</f>
        <v>0</v>
      </c>
      <c r="I193" s="2" t="str">
        <f>경동전체1!I193&amp;""</f>
        <v/>
      </c>
      <c r="J193" s="2" t="s">
        <v>36</v>
      </c>
      <c r="K193" s="2" t="str">
        <f>IF(LEFT(경동전체1!G193,1)="","따사룸",경동전체1!G193)</f>
        <v>따사룸</v>
      </c>
      <c r="L193" s="4" t="str">
        <f t="shared" si="8"/>
        <v>1</v>
      </c>
      <c r="M193" s="1" t="str">
        <f>IF(LEFT(경동전체1!D193,1)="2","비닐",IF(LEFT(경동전체1!O193,1)="박","박스","비닐"))</f>
        <v>비닐</v>
      </c>
      <c r="N193" s="25">
        <v>1</v>
      </c>
      <c r="O193" s="25">
        <v>1</v>
      </c>
      <c r="P193" s="25">
        <v>1</v>
      </c>
      <c r="Q193" s="25">
        <v>1</v>
      </c>
      <c r="R193" s="1" t="str">
        <f t="shared" si="9"/>
        <v>50</v>
      </c>
      <c r="S193" s="1">
        <f>경동전체1!B193</f>
        <v>0</v>
      </c>
      <c r="T193" s="1" t="str">
        <f t="shared" si="10"/>
        <v>100</v>
      </c>
      <c r="U193" s="5" t="str">
        <f t="shared" si="11"/>
        <v>0</v>
      </c>
      <c r="V193" s="26">
        <v>0</v>
      </c>
      <c r="W193" s="26">
        <v>0</v>
      </c>
      <c r="X193" s="2" t="str">
        <f>SUBSTITUTE(SUBSTITUTE(SUBSTITUTE(SUBSTITUTE(SUBSTITUTE(SUBSTITUTE(SUBSTITUTE(SUBSTITUTE(SUBSTITUTE(SUBSTITUTE(SUBSTITUTE(SUBSTITUTE(SUBSTITUTE(경동전체1!D193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4" spans="1:24" ht="20.25" customHeight="1" x14ac:dyDescent="0.3">
      <c r="A194" s="2">
        <f>경동전체1!A194</f>
        <v>0</v>
      </c>
      <c r="B194" s="13" t="str">
        <f>SUBSTITUTE(SUBSTITUTE(SUBSTITUTE(SUBSTITUTE(SUBSTITUTE(SUBSTITUTE(SUBSTITUTE(SUBSTITUTE(SUBSTITUTE(SUBSTITUTE(SUBSTITUTE(SUBSTITUTE(SUBSTITUTE(경동전체1!K194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4" s="30">
        <f>경동전체1!E194</f>
        <v>0</v>
      </c>
      <c r="D194" s="23"/>
      <c r="E194" s="23"/>
      <c r="F194" s="4">
        <f>경동전체1!J194</f>
        <v>0</v>
      </c>
      <c r="G194" s="23"/>
      <c r="H194" s="2">
        <f>경동전체1!H194</f>
        <v>0</v>
      </c>
      <c r="I194" s="2" t="str">
        <f>경동전체1!I194&amp;""</f>
        <v/>
      </c>
      <c r="J194" s="2" t="s">
        <v>36</v>
      </c>
      <c r="K194" s="2" t="str">
        <f>IF(LEFT(경동전체1!G194,1)="","따사룸",경동전체1!G194)</f>
        <v>따사룸</v>
      </c>
      <c r="L194" s="4" t="str">
        <f t="shared" si="8"/>
        <v>1</v>
      </c>
      <c r="M194" s="1" t="str">
        <f>IF(LEFT(경동전체1!D194,1)="2","비닐",IF(LEFT(경동전체1!O194,1)="박","박스","비닐"))</f>
        <v>비닐</v>
      </c>
      <c r="N194" s="25">
        <v>1</v>
      </c>
      <c r="O194" s="25">
        <v>1</v>
      </c>
      <c r="P194" s="25">
        <v>1</v>
      </c>
      <c r="Q194" s="25">
        <v>1</v>
      </c>
      <c r="R194" s="1" t="str">
        <f t="shared" si="9"/>
        <v>50</v>
      </c>
      <c r="S194" s="1">
        <f>경동전체1!B194</f>
        <v>0</v>
      </c>
      <c r="T194" s="1" t="str">
        <f t="shared" si="10"/>
        <v>100</v>
      </c>
      <c r="U194" s="5" t="str">
        <f t="shared" si="11"/>
        <v>0</v>
      </c>
      <c r="V194" s="26">
        <v>0</v>
      </c>
      <c r="W194" s="26">
        <v>0</v>
      </c>
      <c r="X194" s="2" t="str">
        <f>SUBSTITUTE(SUBSTITUTE(SUBSTITUTE(SUBSTITUTE(SUBSTITUTE(SUBSTITUTE(SUBSTITUTE(SUBSTITUTE(SUBSTITUTE(SUBSTITUTE(SUBSTITUTE(SUBSTITUTE(SUBSTITUTE(경동전체1!D194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5" spans="1:24" ht="20.25" customHeight="1" x14ac:dyDescent="0.3">
      <c r="A195" s="2">
        <f>경동전체1!A195</f>
        <v>0</v>
      </c>
      <c r="B195" s="13" t="str">
        <f>SUBSTITUTE(SUBSTITUTE(SUBSTITUTE(SUBSTITUTE(SUBSTITUTE(SUBSTITUTE(SUBSTITUTE(SUBSTITUTE(SUBSTITUTE(SUBSTITUTE(SUBSTITUTE(SUBSTITUTE(SUBSTITUTE(경동전체1!K195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5" s="30">
        <f>경동전체1!E195</f>
        <v>0</v>
      </c>
      <c r="D195" s="23"/>
      <c r="E195" s="23"/>
      <c r="F195" s="4">
        <f>경동전체1!J195</f>
        <v>0</v>
      </c>
      <c r="G195" s="23"/>
      <c r="H195" s="2">
        <f>경동전체1!H195</f>
        <v>0</v>
      </c>
      <c r="I195" s="2" t="str">
        <f>경동전체1!I195&amp;""</f>
        <v/>
      </c>
      <c r="J195" s="2" t="s">
        <v>36</v>
      </c>
      <c r="K195" s="2" t="str">
        <f>IF(LEFT(경동전체1!G195,1)="","따사룸",경동전체1!G195)</f>
        <v>따사룸</v>
      </c>
      <c r="L195" s="4" t="str">
        <f t="shared" ref="L195:L258" si="12">"1"</f>
        <v>1</v>
      </c>
      <c r="M195" s="1" t="str">
        <f>IF(LEFT(경동전체1!D195,1)="2","비닐",IF(LEFT(경동전체1!O195,1)="박","박스","비닐"))</f>
        <v>비닐</v>
      </c>
      <c r="N195" s="25">
        <v>1</v>
      </c>
      <c r="O195" s="25">
        <v>1</v>
      </c>
      <c r="P195" s="25">
        <v>1</v>
      </c>
      <c r="Q195" s="25">
        <v>1</v>
      </c>
      <c r="R195" s="1" t="str">
        <f t="shared" ref="R195:R258" si="13">"50"</f>
        <v>50</v>
      </c>
      <c r="S195" s="1">
        <f>경동전체1!B195</f>
        <v>0</v>
      </c>
      <c r="T195" s="1" t="str">
        <f t="shared" ref="T195:T258" si="14">"100"</f>
        <v>100</v>
      </c>
      <c r="U195" s="5" t="str">
        <f t="shared" ref="U195:U258" si="15">"0"</f>
        <v>0</v>
      </c>
      <c r="V195" s="26">
        <v>0</v>
      </c>
      <c r="W195" s="26">
        <v>0</v>
      </c>
      <c r="X195" s="2" t="str">
        <f>SUBSTITUTE(SUBSTITUTE(SUBSTITUTE(SUBSTITUTE(SUBSTITUTE(SUBSTITUTE(SUBSTITUTE(SUBSTITUTE(SUBSTITUTE(SUBSTITUTE(SUBSTITUTE(SUBSTITUTE(SUBSTITUTE(경동전체1!D195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6" spans="1:24" ht="20.25" customHeight="1" x14ac:dyDescent="0.3">
      <c r="A196" s="2">
        <f>경동전체1!A196</f>
        <v>0</v>
      </c>
      <c r="B196" s="13" t="str">
        <f>SUBSTITUTE(SUBSTITUTE(SUBSTITUTE(SUBSTITUTE(SUBSTITUTE(SUBSTITUTE(SUBSTITUTE(SUBSTITUTE(SUBSTITUTE(SUBSTITUTE(SUBSTITUTE(SUBSTITUTE(SUBSTITUTE(경동전체1!K196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6" s="30">
        <f>경동전체1!E196</f>
        <v>0</v>
      </c>
      <c r="D196" s="23"/>
      <c r="E196" s="23"/>
      <c r="F196" s="4">
        <f>경동전체1!J196</f>
        <v>0</v>
      </c>
      <c r="G196" s="23"/>
      <c r="H196" s="2">
        <f>경동전체1!H196</f>
        <v>0</v>
      </c>
      <c r="I196" s="2" t="str">
        <f>경동전체1!I196&amp;""</f>
        <v/>
      </c>
      <c r="J196" s="2" t="s">
        <v>36</v>
      </c>
      <c r="K196" s="2" t="str">
        <f>IF(LEFT(경동전체1!G196,1)="","따사룸",경동전체1!G196)</f>
        <v>따사룸</v>
      </c>
      <c r="L196" s="4" t="str">
        <f t="shared" si="12"/>
        <v>1</v>
      </c>
      <c r="M196" s="1" t="str">
        <f>IF(LEFT(경동전체1!D196,1)="2","비닐",IF(LEFT(경동전체1!O196,1)="박","박스","비닐"))</f>
        <v>비닐</v>
      </c>
      <c r="N196" s="25">
        <v>1</v>
      </c>
      <c r="O196" s="25">
        <v>1</v>
      </c>
      <c r="P196" s="25">
        <v>1</v>
      </c>
      <c r="Q196" s="25">
        <v>1</v>
      </c>
      <c r="R196" s="1" t="str">
        <f t="shared" si="13"/>
        <v>50</v>
      </c>
      <c r="S196" s="1">
        <f>경동전체1!B196</f>
        <v>0</v>
      </c>
      <c r="T196" s="1" t="str">
        <f t="shared" si="14"/>
        <v>100</v>
      </c>
      <c r="U196" s="5" t="str">
        <f t="shared" si="15"/>
        <v>0</v>
      </c>
      <c r="V196" s="26">
        <v>0</v>
      </c>
      <c r="W196" s="26">
        <v>0</v>
      </c>
      <c r="X196" s="2" t="str">
        <f>SUBSTITUTE(SUBSTITUTE(SUBSTITUTE(SUBSTITUTE(SUBSTITUTE(SUBSTITUTE(SUBSTITUTE(SUBSTITUTE(SUBSTITUTE(SUBSTITUTE(SUBSTITUTE(SUBSTITUTE(SUBSTITUTE(경동전체1!D196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7" spans="1:24" ht="20.25" customHeight="1" x14ac:dyDescent="0.3">
      <c r="A197" s="2">
        <f>경동전체1!A197</f>
        <v>0</v>
      </c>
      <c r="B197" s="13" t="str">
        <f>SUBSTITUTE(SUBSTITUTE(SUBSTITUTE(SUBSTITUTE(SUBSTITUTE(SUBSTITUTE(SUBSTITUTE(SUBSTITUTE(SUBSTITUTE(SUBSTITUTE(SUBSTITUTE(SUBSTITUTE(SUBSTITUTE(경동전체1!K197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7" s="30">
        <f>경동전체1!E197</f>
        <v>0</v>
      </c>
      <c r="D197" s="23"/>
      <c r="E197" s="23"/>
      <c r="F197" s="4">
        <f>경동전체1!J197</f>
        <v>0</v>
      </c>
      <c r="G197" s="23"/>
      <c r="H197" s="2">
        <f>경동전체1!H197</f>
        <v>0</v>
      </c>
      <c r="I197" s="2" t="str">
        <f>경동전체1!I197&amp;""</f>
        <v/>
      </c>
      <c r="J197" s="2" t="s">
        <v>36</v>
      </c>
      <c r="K197" s="2" t="str">
        <f>IF(LEFT(경동전체1!G197,1)="","따사룸",경동전체1!G197)</f>
        <v>따사룸</v>
      </c>
      <c r="L197" s="4" t="str">
        <f t="shared" si="12"/>
        <v>1</v>
      </c>
      <c r="M197" s="1" t="str">
        <f>IF(LEFT(경동전체1!D197,1)="2","비닐",IF(LEFT(경동전체1!O197,1)="박","박스","비닐"))</f>
        <v>비닐</v>
      </c>
      <c r="N197" s="25">
        <v>1</v>
      </c>
      <c r="O197" s="25">
        <v>1</v>
      </c>
      <c r="P197" s="25">
        <v>1</v>
      </c>
      <c r="Q197" s="25">
        <v>1</v>
      </c>
      <c r="R197" s="1" t="str">
        <f t="shared" si="13"/>
        <v>50</v>
      </c>
      <c r="S197" s="1">
        <f>경동전체1!B197</f>
        <v>0</v>
      </c>
      <c r="T197" s="1" t="str">
        <f t="shared" si="14"/>
        <v>100</v>
      </c>
      <c r="U197" s="5" t="str">
        <f t="shared" si="15"/>
        <v>0</v>
      </c>
      <c r="V197" s="26">
        <v>0</v>
      </c>
      <c r="W197" s="26">
        <v>0</v>
      </c>
      <c r="X197" s="2" t="str">
        <f>SUBSTITUTE(SUBSTITUTE(SUBSTITUTE(SUBSTITUTE(SUBSTITUTE(SUBSTITUTE(SUBSTITUTE(SUBSTITUTE(SUBSTITUTE(SUBSTITUTE(SUBSTITUTE(SUBSTITUTE(SUBSTITUTE(경동전체1!D197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8" spans="1:24" ht="20.25" customHeight="1" x14ac:dyDescent="0.3">
      <c r="A198" s="2">
        <f>경동전체1!A198</f>
        <v>0</v>
      </c>
      <c r="B198" s="13" t="str">
        <f>SUBSTITUTE(SUBSTITUTE(SUBSTITUTE(SUBSTITUTE(SUBSTITUTE(SUBSTITUTE(SUBSTITUTE(SUBSTITUTE(SUBSTITUTE(SUBSTITUTE(SUBSTITUTE(SUBSTITUTE(SUBSTITUTE(경동전체1!K198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8" s="30">
        <f>경동전체1!E198</f>
        <v>0</v>
      </c>
      <c r="D198" s="23"/>
      <c r="E198" s="23"/>
      <c r="F198" s="4">
        <f>경동전체1!J198</f>
        <v>0</v>
      </c>
      <c r="G198" s="23"/>
      <c r="H198" s="2">
        <f>경동전체1!H198</f>
        <v>0</v>
      </c>
      <c r="I198" s="2" t="str">
        <f>경동전체1!I198&amp;""</f>
        <v/>
      </c>
      <c r="J198" s="2" t="s">
        <v>36</v>
      </c>
      <c r="K198" s="2" t="str">
        <f>IF(LEFT(경동전체1!G198,1)="","따사룸",경동전체1!G198)</f>
        <v>따사룸</v>
      </c>
      <c r="L198" s="4" t="str">
        <f t="shared" si="12"/>
        <v>1</v>
      </c>
      <c r="M198" s="1" t="str">
        <f>IF(LEFT(경동전체1!D198,1)="2","비닐",IF(LEFT(경동전체1!O198,1)="박","박스","비닐"))</f>
        <v>비닐</v>
      </c>
      <c r="N198" s="25">
        <v>1</v>
      </c>
      <c r="O198" s="25">
        <v>1</v>
      </c>
      <c r="P198" s="25">
        <v>1</v>
      </c>
      <c r="Q198" s="25">
        <v>1</v>
      </c>
      <c r="R198" s="1" t="str">
        <f t="shared" si="13"/>
        <v>50</v>
      </c>
      <c r="S198" s="1">
        <f>경동전체1!B198</f>
        <v>0</v>
      </c>
      <c r="T198" s="1" t="str">
        <f t="shared" si="14"/>
        <v>100</v>
      </c>
      <c r="U198" s="5" t="str">
        <f t="shared" si="15"/>
        <v>0</v>
      </c>
      <c r="V198" s="26">
        <v>0</v>
      </c>
      <c r="W198" s="26">
        <v>0</v>
      </c>
      <c r="X198" s="2" t="str">
        <f>SUBSTITUTE(SUBSTITUTE(SUBSTITUTE(SUBSTITUTE(SUBSTITUTE(SUBSTITUTE(SUBSTITUTE(SUBSTITUTE(SUBSTITUTE(SUBSTITUTE(SUBSTITUTE(SUBSTITUTE(SUBSTITUTE(경동전체1!D198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9" spans="1:24" ht="20.25" customHeight="1" x14ac:dyDescent="0.3">
      <c r="A199" s="2">
        <f>경동전체1!A199</f>
        <v>0</v>
      </c>
      <c r="B199" s="13" t="str">
        <f>SUBSTITUTE(SUBSTITUTE(SUBSTITUTE(SUBSTITUTE(SUBSTITUTE(SUBSTITUTE(SUBSTITUTE(SUBSTITUTE(SUBSTITUTE(SUBSTITUTE(SUBSTITUTE(SUBSTITUTE(SUBSTITUTE(경동전체1!K199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9" s="30">
        <f>경동전체1!E199</f>
        <v>0</v>
      </c>
      <c r="D199" s="23"/>
      <c r="E199" s="23"/>
      <c r="F199" s="4">
        <f>경동전체1!J199</f>
        <v>0</v>
      </c>
      <c r="G199" s="23"/>
      <c r="H199" s="2">
        <f>경동전체1!H199</f>
        <v>0</v>
      </c>
      <c r="I199" s="2" t="str">
        <f>경동전체1!I199&amp;""</f>
        <v/>
      </c>
      <c r="J199" s="2" t="s">
        <v>36</v>
      </c>
      <c r="K199" s="2" t="str">
        <f>IF(LEFT(경동전체1!G199,1)="","따사룸",경동전체1!G199)</f>
        <v>따사룸</v>
      </c>
      <c r="L199" s="4" t="str">
        <f t="shared" si="12"/>
        <v>1</v>
      </c>
      <c r="M199" s="1" t="str">
        <f>IF(LEFT(경동전체1!D199,1)="2","비닐",IF(LEFT(경동전체1!O199,1)="박","박스","비닐"))</f>
        <v>비닐</v>
      </c>
      <c r="N199" s="25">
        <v>1</v>
      </c>
      <c r="O199" s="25">
        <v>1</v>
      </c>
      <c r="P199" s="25">
        <v>1</v>
      </c>
      <c r="Q199" s="25">
        <v>1</v>
      </c>
      <c r="R199" s="1" t="str">
        <f t="shared" si="13"/>
        <v>50</v>
      </c>
      <c r="S199" s="1">
        <f>경동전체1!B199</f>
        <v>0</v>
      </c>
      <c r="T199" s="1" t="str">
        <f t="shared" si="14"/>
        <v>100</v>
      </c>
      <c r="U199" s="5" t="str">
        <f t="shared" si="15"/>
        <v>0</v>
      </c>
      <c r="V199" s="26">
        <v>0</v>
      </c>
      <c r="W199" s="26">
        <v>0</v>
      </c>
      <c r="X199" s="2" t="str">
        <f>SUBSTITUTE(SUBSTITUTE(SUBSTITUTE(SUBSTITUTE(SUBSTITUTE(SUBSTITUTE(SUBSTITUTE(SUBSTITUTE(SUBSTITUTE(SUBSTITUTE(SUBSTITUTE(SUBSTITUTE(SUBSTITUTE(경동전체1!D199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0" spans="1:24" ht="20.25" customHeight="1" x14ac:dyDescent="0.3">
      <c r="A200" s="2">
        <f>경동전체1!A200</f>
        <v>0</v>
      </c>
      <c r="B200" s="13" t="str">
        <f>SUBSTITUTE(SUBSTITUTE(SUBSTITUTE(SUBSTITUTE(SUBSTITUTE(SUBSTITUTE(SUBSTITUTE(SUBSTITUTE(SUBSTITUTE(SUBSTITUTE(SUBSTITUTE(SUBSTITUTE(SUBSTITUTE(경동전체1!K200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0" s="30">
        <f>경동전체1!E200</f>
        <v>0</v>
      </c>
      <c r="D200" s="23"/>
      <c r="E200" s="23"/>
      <c r="F200" s="4">
        <f>경동전체1!J200</f>
        <v>0</v>
      </c>
      <c r="G200" s="23"/>
      <c r="H200" s="2">
        <f>경동전체1!H200</f>
        <v>0</v>
      </c>
      <c r="I200" s="2" t="str">
        <f>경동전체1!I200&amp;""</f>
        <v/>
      </c>
      <c r="J200" s="2" t="s">
        <v>36</v>
      </c>
      <c r="K200" s="2" t="str">
        <f>IF(LEFT(경동전체1!G200,1)="","따사룸",경동전체1!G200)</f>
        <v>따사룸</v>
      </c>
      <c r="L200" s="4" t="str">
        <f t="shared" si="12"/>
        <v>1</v>
      </c>
      <c r="M200" s="1" t="str">
        <f>IF(LEFT(경동전체1!D200,1)="2","비닐",IF(LEFT(경동전체1!O200,1)="박","박스","비닐"))</f>
        <v>비닐</v>
      </c>
      <c r="N200" s="25">
        <v>1</v>
      </c>
      <c r="O200" s="25">
        <v>1</v>
      </c>
      <c r="P200" s="25">
        <v>1</v>
      </c>
      <c r="Q200" s="25">
        <v>1</v>
      </c>
      <c r="R200" s="1" t="str">
        <f t="shared" si="13"/>
        <v>50</v>
      </c>
      <c r="S200" s="1">
        <f>경동전체1!B200</f>
        <v>0</v>
      </c>
      <c r="T200" s="1" t="str">
        <f t="shared" si="14"/>
        <v>100</v>
      </c>
      <c r="U200" s="5" t="str">
        <f t="shared" si="15"/>
        <v>0</v>
      </c>
      <c r="V200" s="26">
        <v>0</v>
      </c>
      <c r="W200" s="26">
        <v>0</v>
      </c>
      <c r="X200" s="2" t="str">
        <f>SUBSTITUTE(SUBSTITUTE(SUBSTITUTE(SUBSTITUTE(SUBSTITUTE(SUBSTITUTE(SUBSTITUTE(SUBSTITUTE(SUBSTITUTE(SUBSTITUTE(SUBSTITUTE(SUBSTITUTE(SUBSTITUTE(경동전체1!D200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1" spans="1:24" ht="20.25" customHeight="1" x14ac:dyDescent="0.3">
      <c r="A201" s="2">
        <f>경동전체1!A201</f>
        <v>0</v>
      </c>
      <c r="B201" s="13" t="str">
        <f>SUBSTITUTE(SUBSTITUTE(SUBSTITUTE(SUBSTITUTE(SUBSTITUTE(SUBSTITUTE(SUBSTITUTE(SUBSTITUTE(SUBSTITUTE(SUBSTITUTE(SUBSTITUTE(SUBSTITUTE(SUBSTITUTE(경동전체1!K201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1" s="30">
        <f>경동전체1!E201</f>
        <v>0</v>
      </c>
      <c r="D201" s="23"/>
      <c r="E201" s="23"/>
      <c r="F201" s="4">
        <f>경동전체1!J201</f>
        <v>0</v>
      </c>
      <c r="G201" s="23"/>
      <c r="H201" s="2">
        <f>경동전체1!H201</f>
        <v>0</v>
      </c>
      <c r="I201" s="2" t="str">
        <f>경동전체1!I201&amp;""</f>
        <v/>
      </c>
      <c r="J201" s="2" t="s">
        <v>36</v>
      </c>
      <c r="K201" s="2" t="str">
        <f>IF(LEFT(경동전체1!G201,1)="","따사룸",경동전체1!G201)</f>
        <v>따사룸</v>
      </c>
      <c r="L201" s="4" t="str">
        <f t="shared" si="12"/>
        <v>1</v>
      </c>
      <c r="M201" s="1" t="str">
        <f>IF(LEFT(경동전체1!D201,1)="2","비닐",IF(LEFT(경동전체1!O201,1)="박","박스","비닐"))</f>
        <v>비닐</v>
      </c>
      <c r="N201" s="25">
        <v>1</v>
      </c>
      <c r="O201" s="25">
        <v>1</v>
      </c>
      <c r="P201" s="25">
        <v>1</v>
      </c>
      <c r="Q201" s="25">
        <v>1</v>
      </c>
      <c r="R201" s="1" t="str">
        <f t="shared" si="13"/>
        <v>50</v>
      </c>
      <c r="S201" s="1">
        <f>경동전체1!B201</f>
        <v>0</v>
      </c>
      <c r="T201" s="1" t="str">
        <f t="shared" si="14"/>
        <v>100</v>
      </c>
      <c r="U201" s="5" t="str">
        <f t="shared" si="15"/>
        <v>0</v>
      </c>
      <c r="V201" s="26">
        <v>0</v>
      </c>
      <c r="W201" s="26">
        <v>0</v>
      </c>
      <c r="X201" s="2" t="str">
        <f>SUBSTITUTE(SUBSTITUTE(SUBSTITUTE(SUBSTITUTE(SUBSTITUTE(SUBSTITUTE(SUBSTITUTE(SUBSTITUTE(SUBSTITUTE(SUBSTITUTE(SUBSTITUTE(SUBSTITUTE(SUBSTITUTE(경동전체1!D201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2" spans="1:24" ht="20.25" customHeight="1" x14ac:dyDescent="0.3">
      <c r="A202" s="2">
        <f>경동전체1!A202</f>
        <v>0</v>
      </c>
      <c r="B202" s="13" t="str">
        <f>SUBSTITUTE(SUBSTITUTE(SUBSTITUTE(SUBSTITUTE(SUBSTITUTE(SUBSTITUTE(SUBSTITUTE(SUBSTITUTE(SUBSTITUTE(SUBSTITUTE(SUBSTITUTE(SUBSTITUTE(SUBSTITUTE(경동전체1!K202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2" s="30">
        <f>경동전체1!E202</f>
        <v>0</v>
      </c>
      <c r="D202" s="23"/>
      <c r="E202" s="23"/>
      <c r="F202" s="4">
        <f>경동전체1!J202</f>
        <v>0</v>
      </c>
      <c r="G202" s="23"/>
      <c r="H202" s="2">
        <f>경동전체1!H202</f>
        <v>0</v>
      </c>
      <c r="I202" s="2" t="str">
        <f>경동전체1!I202&amp;""</f>
        <v/>
      </c>
      <c r="J202" s="2" t="s">
        <v>36</v>
      </c>
      <c r="K202" s="2" t="str">
        <f>IF(LEFT(경동전체1!G202,1)="","따사룸",경동전체1!G202)</f>
        <v>따사룸</v>
      </c>
      <c r="L202" s="4" t="str">
        <f t="shared" si="12"/>
        <v>1</v>
      </c>
      <c r="M202" s="1" t="str">
        <f>IF(LEFT(경동전체1!D202,1)="2","비닐",IF(LEFT(경동전체1!O202,1)="박","박스","비닐"))</f>
        <v>비닐</v>
      </c>
      <c r="N202" s="25">
        <v>1</v>
      </c>
      <c r="O202" s="25">
        <v>1</v>
      </c>
      <c r="P202" s="25">
        <v>1</v>
      </c>
      <c r="Q202" s="25">
        <v>1</v>
      </c>
      <c r="R202" s="1" t="str">
        <f t="shared" si="13"/>
        <v>50</v>
      </c>
      <c r="S202" s="1">
        <f>경동전체1!B202</f>
        <v>0</v>
      </c>
      <c r="T202" s="1" t="str">
        <f t="shared" si="14"/>
        <v>100</v>
      </c>
      <c r="U202" s="5" t="str">
        <f t="shared" si="15"/>
        <v>0</v>
      </c>
      <c r="V202" s="26">
        <v>0</v>
      </c>
      <c r="W202" s="26">
        <v>0</v>
      </c>
      <c r="X202" s="2" t="str">
        <f>SUBSTITUTE(SUBSTITUTE(SUBSTITUTE(SUBSTITUTE(SUBSTITUTE(SUBSTITUTE(SUBSTITUTE(SUBSTITUTE(SUBSTITUTE(SUBSTITUTE(SUBSTITUTE(SUBSTITUTE(SUBSTITUTE(경동전체1!D202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3" spans="1:24" ht="20.25" customHeight="1" x14ac:dyDescent="0.3">
      <c r="A203" s="2">
        <f>경동전체1!A203</f>
        <v>0</v>
      </c>
      <c r="B203" s="13" t="str">
        <f>SUBSTITUTE(SUBSTITUTE(SUBSTITUTE(SUBSTITUTE(SUBSTITUTE(SUBSTITUTE(SUBSTITUTE(SUBSTITUTE(SUBSTITUTE(SUBSTITUTE(SUBSTITUTE(SUBSTITUTE(SUBSTITUTE(경동전체1!K203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3" s="30">
        <f>경동전체1!E203</f>
        <v>0</v>
      </c>
      <c r="D203" s="23"/>
      <c r="E203" s="23"/>
      <c r="F203" s="4">
        <f>경동전체1!J203</f>
        <v>0</v>
      </c>
      <c r="G203" s="23"/>
      <c r="H203" s="2">
        <f>경동전체1!H203</f>
        <v>0</v>
      </c>
      <c r="I203" s="2" t="str">
        <f>경동전체1!I203&amp;""</f>
        <v/>
      </c>
      <c r="J203" s="2" t="s">
        <v>36</v>
      </c>
      <c r="K203" s="2" t="str">
        <f>IF(LEFT(경동전체1!G203,1)="","따사룸",경동전체1!G203)</f>
        <v>따사룸</v>
      </c>
      <c r="L203" s="4" t="str">
        <f t="shared" si="12"/>
        <v>1</v>
      </c>
      <c r="M203" s="1" t="str">
        <f>IF(LEFT(경동전체1!D203,1)="2","비닐",IF(LEFT(경동전체1!O203,1)="박","박스","비닐"))</f>
        <v>비닐</v>
      </c>
      <c r="N203" s="25">
        <v>1</v>
      </c>
      <c r="O203" s="25">
        <v>1</v>
      </c>
      <c r="P203" s="25">
        <v>1</v>
      </c>
      <c r="Q203" s="25">
        <v>1</v>
      </c>
      <c r="R203" s="1" t="str">
        <f t="shared" si="13"/>
        <v>50</v>
      </c>
      <c r="S203" s="1">
        <f>경동전체1!B203</f>
        <v>0</v>
      </c>
      <c r="T203" s="1" t="str">
        <f t="shared" si="14"/>
        <v>100</v>
      </c>
      <c r="U203" s="5" t="str">
        <f t="shared" si="15"/>
        <v>0</v>
      </c>
      <c r="V203" s="26">
        <v>0</v>
      </c>
      <c r="W203" s="26">
        <v>0</v>
      </c>
      <c r="X203" s="2" t="str">
        <f>SUBSTITUTE(SUBSTITUTE(SUBSTITUTE(SUBSTITUTE(SUBSTITUTE(SUBSTITUTE(SUBSTITUTE(SUBSTITUTE(SUBSTITUTE(SUBSTITUTE(SUBSTITUTE(SUBSTITUTE(SUBSTITUTE(경동전체1!D203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4" spans="1:24" ht="20.25" customHeight="1" x14ac:dyDescent="0.3">
      <c r="A204" s="2">
        <f>경동전체1!A204</f>
        <v>0</v>
      </c>
      <c r="B204" s="13" t="str">
        <f>SUBSTITUTE(SUBSTITUTE(SUBSTITUTE(SUBSTITUTE(SUBSTITUTE(SUBSTITUTE(SUBSTITUTE(SUBSTITUTE(SUBSTITUTE(SUBSTITUTE(SUBSTITUTE(SUBSTITUTE(SUBSTITUTE(경동전체1!K204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4" s="30">
        <f>경동전체1!E204</f>
        <v>0</v>
      </c>
      <c r="D204" s="23"/>
      <c r="E204" s="23"/>
      <c r="F204" s="4">
        <f>경동전체1!J204</f>
        <v>0</v>
      </c>
      <c r="G204" s="23"/>
      <c r="H204" s="2">
        <f>경동전체1!H204</f>
        <v>0</v>
      </c>
      <c r="I204" s="2" t="str">
        <f>경동전체1!I204&amp;""</f>
        <v/>
      </c>
      <c r="J204" s="2" t="s">
        <v>36</v>
      </c>
      <c r="K204" s="2" t="str">
        <f>IF(LEFT(경동전체1!G204,1)="","따사룸",경동전체1!G204)</f>
        <v>따사룸</v>
      </c>
      <c r="L204" s="4" t="str">
        <f t="shared" si="12"/>
        <v>1</v>
      </c>
      <c r="M204" s="1" t="str">
        <f>IF(LEFT(경동전체1!D204,1)="2","비닐",IF(LEFT(경동전체1!O204,1)="박","박스","비닐"))</f>
        <v>비닐</v>
      </c>
      <c r="N204" s="25">
        <v>1</v>
      </c>
      <c r="O204" s="25">
        <v>1</v>
      </c>
      <c r="P204" s="25">
        <v>1</v>
      </c>
      <c r="Q204" s="25">
        <v>1</v>
      </c>
      <c r="R204" s="1" t="str">
        <f t="shared" si="13"/>
        <v>50</v>
      </c>
      <c r="S204" s="1">
        <f>경동전체1!B204</f>
        <v>0</v>
      </c>
      <c r="T204" s="1" t="str">
        <f t="shared" si="14"/>
        <v>100</v>
      </c>
      <c r="U204" s="5" t="str">
        <f t="shared" si="15"/>
        <v>0</v>
      </c>
      <c r="V204" s="26">
        <v>0</v>
      </c>
      <c r="W204" s="26">
        <v>0</v>
      </c>
      <c r="X204" s="2" t="str">
        <f>SUBSTITUTE(SUBSTITUTE(SUBSTITUTE(SUBSTITUTE(SUBSTITUTE(SUBSTITUTE(SUBSTITUTE(SUBSTITUTE(SUBSTITUTE(SUBSTITUTE(SUBSTITUTE(SUBSTITUTE(SUBSTITUTE(경동전체1!D204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5" spans="1:24" ht="20.25" customHeight="1" x14ac:dyDescent="0.3">
      <c r="A205" s="2">
        <f>경동전체1!A205</f>
        <v>0</v>
      </c>
      <c r="B205" s="13" t="str">
        <f>SUBSTITUTE(SUBSTITUTE(SUBSTITUTE(SUBSTITUTE(SUBSTITUTE(SUBSTITUTE(SUBSTITUTE(SUBSTITUTE(SUBSTITUTE(SUBSTITUTE(SUBSTITUTE(SUBSTITUTE(SUBSTITUTE(경동전체1!K205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5" s="30">
        <f>경동전체1!E205</f>
        <v>0</v>
      </c>
      <c r="D205" s="23"/>
      <c r="E205" s="23"/>
      <c r="F205" s="4">
        <f>경동전체1!J205</f>
        <v>0</v>
      </c>
      <c r="G205" s="23"/>
      <c r="H205" s="2">
        <f>경동전체1!H205</f>
        <v>0</v>
      </c>
      <c r="I205" s="2" t="str">
        <f>경동전체1!I205&amp;""</f>
        <v/>
      </c>
      <c r="J205" s="2" t="s">
        <v>36</v>
      </c>
      <c r="K205" s="2" t="str">
        <f>IF(LEFT(경동전체1!G205,1)="","따사룸",경동전체1!G205)</f>
        <v>따사룸</v>
      </c>
      <c r="L205" s="4" t="str">
        <f t="shared" si="12"/>
        <v>1</v>
      </c>
      <c r="M205" s="1" t="str">
        <f>IF(LEFT(경동전체1!D205,1)="2","비닐",IF(LEFT(경동전체1!O205,1)="박","박스","비닐"))</f>
        <v>비닐</v>
      </c>
      <c r="N205" s="25">
        <v>1</v>
      </c>
      <c r="O205" s="25">
        <v>1</v>
      </c>
      <c r="P205" s="25">
        <v>1</v>
      </c>
      <c r="Q205" s="25">
        <v>1</v>
      </c>
      <c r="R205" s="1" t="str">
        <f t="shared" si="13"/>
        <v>50</v>
      </c>
      <c r="S205" s="1">
        <f>경동전체1!B205</f>
        <v>0</v>
      </c>
      <c r="T205" s="1" t="str">
        <f t="shared" si="14"/>
        <v>100</v>
      </c>
      <c r="U205" s="5" t="str">
        <f t="shared" si="15"/>
        <v>0</v>
      </c>
      <c r="V205" s="26">
        <v>0</v>
      </c>
      <c r="W205" s="26">
        <v>0</v>
      </c>
      <c r="X205" s="2" t="str">
        <f>SUBSTITUTE(SUBSTITUTE(SUBSTITUTE(SUBSTITUTE(SUBSTITUTE(SUBSTITUTE(SUBSTITUTE(SUBSTITUTE(SUBSTITUTE(SUBSTITUTE(SUBSTITUTE(SUBSTITUTE(SUBSTITUTE(경동전체1!D205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6" spans="1:24" ht="20.25" customHeight="1" x14ac:dyDescent="0.3">
      <c r="A206" s="2">
        <f>경동전체1!A206</f>
        <v>0</v>
      </c>
      <c r="B206" s="13" t="str">
        <f>SUBSTITUTE(SUBSTITUTE(SUBSTITUTE(SUBSTITUTE(SUBSTITUTE(SUBSTITUTE(SUBSTITUTE(SUBSTITUTE(SUBSTITUTE(SUBSTITUTE(SUBSTITUTE(SUBSTITUTE(SUBSTITUTE(경동전체1!K206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6" s="30">
        <f>경동전체1!E206</f>
        <v>0</v>
      </c>
      <c r="D206" s="23"/>
      <c r="E206" s="23"/>
      <c r="F206" s="4">
        <f>경동전체1!J206</f>
        <v>0</v>
      </c>
      <c r="G206" s="23"/>
      <c r="H206" s="2">
        <f>경동전체1!H206</f>
        <v>0</v>
      </c>
      <c r="I206" s="2" t="str">
        <f>경동전체1!I206&amp;""</f>
        <v/>
      </c>
      <c r="J206" s="2" t="s">
        <v>36</v>
      </c>
      <c r="K206" s="2" t="str">
        <f>IF(LEFT(경동전체1!G206,1)="","따사룸",경동전체1!G206)</f>
        <v>따사룸</v>
      </c>
      <c r="L206" s="4" t="str">
        <f t="shared" si="12"/>
        <v>1</v>
      </c>
      <c r="M206" s="1" t="str">
        <f>IF(LEFT(경동전체1!D206,1)="2","비닐",IF(LEFT(경동전체1!O206,1)="박","박스","비닐"))</f>
        <v>비닐</v>
      </c>
      <c r="N206" s="25">
        <v>1</v>
      </c>
      <c r="O206" s="25">
        <v>1</v>
      </c>
      <c r="P206" s="25">
        <v>1</v>
      </c>
      <c r="Q206" s="25">
        <v>1</v>
      </c>
      <c r="R206" s="1" t="str">
        <f t="shared" si="13"/>
        <v>50</v>
      </c>
      <c r="S206" s="1">
        <f>경동전체1!B206</f>
        <v>0</v>
      </c>
      <c r="T206" s="1" t="str">
        <f t="shared" si="14"/>
        <v>100</v>
      </c>
      <c r="U206" s="5" t="str">
        <f t="shared" si="15"/>
        <v>0</v>
      </c>
      <c r="V206" s="26">
        <v>0</v>
      </c>
      <c r="W206" s="26">
        <v>0</v>
      </c>
      <c r="X206" s="2" t="str">
        <f>SUBSTITUTE(SUBSTITUTE(SUBSTITUTE(SUBSTITUTE(SUBSTITUTE(SUBSTITUTE(SUBSTITUTE(SUBSTITUTE(SUBSTITUTE(SUBSTITUTE(SUBSTITUTE(SUBSTITUTE(SUBSTITUTE(경동전체1!D206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7" spans="1:24" ht="20.25" customHeight="1" x14ac:dyDescent="0.3">
      <c r="A207" s="2">
        <f>경동전체1!A207</f>
        <v>0</v>
      </c>
      <c r="B207" s="13" t="str">
        <f>SUBSTITUTE(SUBSTITUTE(SUBSTITUTE(SUBSTITUTE(SUBSTITUTE(SUBSTITUTE(SUBSTITUTE(SUBSTITUTE(SUBSTITUTE(SUBSTITUTE(SUBSTITUTE(SUBSTITUTE(SUBSTITUTE(경동전체1!K207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7" s="30">
        <f>경동전체1!E207</f>
        <v>0</v>
      </c>
      <c r="D207" s="23"/>
      <c r="E207" s="23"/>
      <c r="F207" s="4">
        <f>경동전체1!J207</f>
        <v>0</v>
      </c>
      <c r="G207" s="23"/>
      <c r="H207" s="2">
        <f>경동전체1!H207</f>
        <v>0</v>
      </c>
      <c r="I207" s="2" t="str">
        <f>경동전체1!I207&amp;""</f>
        <v/>
      </c>
      <c r="J207" s="2" t="s">
        <v>36</v>
      </c>
      <c r="K207" s="2" t="str">
        <f>IF(LEFT(경동전체1!G207,1)="","따사룸",경동전체1!G207)</f>
        <v>따사룸</v>
      </c>
      <c r="L207" s="4" t="str">
        <f t="shared" si="12"/>
        <v>1</v>
      </c>
      <c r="M207" s="1" t="str">
        <f>IF(LEFT(경동전체1!D207,1)="2","비닐",IF(LEFT(경동전체1!O207,1)="박","박스","비닐"))</f>
        <v>비닐</v>
      </c>
      <c r="N207" s="25">
        <v>1</v>
      </c>
      <c r="O207" s="25">
        <v>1</v>
      </c>
      <c r="P207" s="25">
        <v>1</v>
      </c>
      <c r="Q207" s="25">
        <v>1</v>
      </c>
      <c r="R207" s="1" t="str">
        <f t="shared" si="13"/>
        <v>50</v>
      </c>
      <c r="S207" s="1">
        <f>경동전체1!B207</f>
        <v>0</v>
      </c>
      <c r="T207" s="1" t="str">
        <f t="shared" si="14"/>
        <v>100</v>
      </c>
      <c r="U207" s="5" t="str">
        <f t="shared" si="15"/>
        <v>0</v>
      </c>
      <c r="V207" s="26">
        <v>0</v>
      </c>
      <c r="W207" s="26">
        <v>0</v>
      </c>
      <c r="X207" s="2" t="str">
        <f>SUBSTITUTE(SUBSTITUTE(SUBSTITUTE(SUBSTITUTE(SUBSTITUTE(SUBSTITUTE(SUBSTITUTE(SUBSTITUTE(SUBSTITUTE(SUBSTITUTE(SUBSTITUTE(SUBSTITUTE(SUBSTITUTE(경동전체1!D207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8" spans="1:24" ht="20.25" customHeight="1" x14ac:dyDescent="0.3">
      <c r="A208" s="2">
        <f>경동전체1!A208</f>
        <v>0</v>
      </c>
      <c r="B208" s="13" t="str">
        <f>SUBSTITUTE(SUBSTITUTE(SUBSTITUTE(SUBSTITUTE(SUBSTITUTE(SUBSTITUTE(SUBSTITUTE(SUBSTITUTE(SUBSTITUTE(SUBSTITUTE(SUBSTITUTE(SUBSTITUTE(SUBSTITUTE(경동전체1!K208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8" s="30">
        <f>경동전체1!E208</f>
        <v>0</v>
      </c>
      <c r="D208" s="23"/>
      <c r="E208" s="23"/>
      <c r="F208" s="4">
        <f>경동전체1!J208</f>
        <v>0</v>
      </c>
      <c r="G208" s="23"/>
      <c r="H208" s="2">
        <f>경동전체1!H208</f>
        <v>0</v>
      </c>
      <c r="I208" s="2" t="str">
        <f>경동전체1!I208&amp;""</f>
        <v/>
      </c>
      <c r="J208" s="2" t="s">
        <v>36</v>
      </c>
      <c r="K208" s="2" t="str">
        <f>IF(LEFT(경동전체1!G208,1)="","따사룸",경동전체1!G208)</f>
        <v>따사룸</v>
      </c>
      <c r="L208" s="4" t="str">
        <f t="shared" si="12"/>
        <v>1</v>
      </c>
      <c r="M208" s="1" t="str">
        <f>IF(LEFT(경동전체1!D208,1)="2","비닐",IF(LEFT(경동전체1!O208,1)="박","박스","비닐"))</f>
        <v>비닐</v>
      </c>
      <c r="N208" s="25">
        <v>1</v>
      </c>
      <c r="O208" s="25">
        <v>1</v>
      </c>
      <c r="P208" s="25">
        <v>1</v>
      </c>
      <c r="Q208" s="25">
        <v>1</v>
      </c>
      <c r="R208" s="1" t="str">
        <f t="shared" si="13"/>
        <v>50</v>
      </c>
      <c r="S208" s="1">
        <f>경동전체1!B208</f>
        <v>0</v>
      </c>
      <c r="T208" s="1" t="str">
        <f t="shared" si="14"/>
        <v>100</v>
      </c>
      <c r="U208" s="5" t="str">
        <f t="shared" si="15"/>
        <v>0</v>
      </c>
      <c r="V208" s="26">
        <v>0</v>
      </c>
      <c r="W208" s="26">
        <v>0</v>
      </c>
      <c r="X208" s="2" t="str">
        <f>SUBSTITUTE(SUBSTITUTE(SUBSTITUTE(SUBSTITUTE(SUBSTITUTE(SUBSTITUTE(SUBSTITUTE(SUBSTITUTE(SUBSTITUTE(SUBSTITUTE(SUBSTITUTE(SUBSTITUTE(SUBSTITUTE(경동전체1!D208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9" spans="1:24" ht="20.25" customHeight="1" x14ac:dyDescent="0.3">
      <c r="A209" s="2">
        <f>경동전체1!A209</f>
        <v>0</v>
      </c>
      <c r="B209" s="13" t="str">
        <f>SUBSTITUTE(SUBSTITUTE(SUBSTITUTE(SUBSTITUTE(SUBSTITUTE(SUBSTITUTE(SUBSTITUTE(SUBSTITUTE(SUBSTITUTE(SUBSTITUTE(SUBSTITUTE(SUBSTITUTE(SUBSTITUTE(경동전체1!K209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9" s="30">
        <f>경동전체1!E209</f>
        <v>0</v>
      </c>
      <c r="D209" s="23"/>
      <c r="E209" s="23"/>
      <c r="F209" s="4">
        <f>경동전체1!J209</f>
        <v>0</v>
      </c>
      <c r="G209" s="23"/>
      <c r="H209" s="2">
        <f>경동전체1!H209</f>
        <v>0</v>
      </c>
      <c r="I209" s="2" t="str">
        <f>경동전체1!I209&amp;""</f>
        <v/>
      </c>
      <c r="J209" s="2" t="s">
        <v>36</v>
      </c>
      <c r="K209" s="2" t="str">
        <f>IF(LEFT(경동전체1!G209,1)="","따사룸",경동전체1!G209)</f>
        <v>따사룸</v>
      </c>
      <c r="L209" s="4" t="str">
        <f t="shared" si="12"/>
        <v>1</v>
      </c>
      <c r="M209" s="1" t="str">
        <f>IF(LEFT(경동전체1!D209,1)="2","비닐",IF(LEFT(경동전체1!O209,1)="박","박스","비닐"))</f>
        <v>비닐</v>
      </c>
      <c r="N209" s="25">
        <v>1</v>
      </c>
      <c r="O209" s="25">
        <v>1</v>
      </c>
      <c r="P209" s="25">
        <v>1</v>
      </c>
      <c r="Q209" s="25">
        <v>1</v>
      </c>
      <c r="R209" s="1" t="str">
        <f t="shared" si="13"/>
        <v>50</v>
      </c>
      <c r="S209" s="1">
        <f>경동전체1!B209</f>
        <v>0</v>
      </c>
      <c r="T209" s="1" t="str">
        <f t="shared" si="14"/>
        <v>100</v>
      </c>
      <c r="U209" s="5" t="str">
        <f t="shared" si="15"/>
        <v>0</v>
      </c>
      <c r="V209" s="26">
        <v>0</v>
      </c>
      <c r="W209" s="26">
        <v>0</v>
      </c>
      <c r="X209" s="2" t="str">
        <f>SUBSTITUTE(SUBSTITUTE(SUBSTITUTE(SUBSTITUTE(SUBSTITUTE(SUBSTITUTE(SUBSTITUTE(SUBSTITUTE(SUBSTITUTE(SUBSTITUTE(SUBSTITUTE(SUBSTITUTE(SUBSTITUTE(경동전체1!D209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0" spans="1:24" ht="20.25" customHeight="1" x14ac:dyDescent="0.3">
      <c r="A210" s="2">
        <f>경동전체1!A210</f>
        <v>0</v>
      </c>
      <c r="B210" s="13" t="str">
        <f>SUBSTITUTE(SUBSTITUTE(SUBSTITUTE(SUBSTITUTE(SUBSTITUTE(SUBSTITUTE(SUBSTITUTE(SUBSTITUTE(SUBSTITUTE(SUBSTITUTE(SUBSTITUTE(SUBSTITUTE(SUBSTITUTE(경동전체1!K210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0" s="30">
        <f>경동전체1!E210</f>
        <v>0</v>
      </c>
      <c r="D210" s="23"/>
      <c r="E210" s="23"/>
      <c r="F210" s="4">
        <f>경동전체1!J210</f>
        <v>0</v>
      </c>
      <c r="G210" s="23"/>
      <c r="H210" s="2">
        <f>경동전체1!H210</f>
        <v>0</v>
      </c>
      <c r="I210" s="2" t="str">
        <f>경동전체1!I210&amp;""</f>
        <v/>
      </c>
      <c r="J210" s="2" t="s">
        <v>36</v>
      </c>
      <c r="K210" s="2" t="str">
        <f>IF(LEFT(경동전체1!G210,1)="","따사룸",경동전체1!G210)</f>
        <v>따사룸</v>
      </c>
      <c r="L210" s="4" t="str">
        <f t="shared" si="12"/>
        <v>1</v>
      </c>
      <c r="M210" s="1" t="str">
        <f>IF(LEFT(경동전체1!D210,1)="2","비닐",IF(LEFT(경동전체1!O210,1)="박","박스","비닐"))</f>
        <v>비닐</v>
      </c>
      <c r="N210" s="25">
        <v>1</v>
      </c>
      <c r="O210" s="25">
        <v>1</v>
      </c>
      <c r="P210" s="25">
        <v>1</v>
      </c>
      <c r="Q210" s="25">
        <v>1</v>
      </c>
      <c r="R210" s="1" t="str">
        <f t="shared" si="13"/>
        <v>50</v>
      </c>
      <c r="S210" s="1">
        <f>경동전체1!B210</f>
        <v>0</v>
      </c>
      <c r="T210" s="1" t="str">
        <f t="shared" si="14"/>
        <v>100</v>
      </c>
      <c r="U210" s="5" t="str">
        <f t="shared" si="15"/>
        <v>0</v>
      </c>
      <c r="V210" s="26">
        <v>0</v>
      </c>
      <c r="W210" s="26">
        <v>0</v>
      </c>
      <c r="X210" s="2" t="str">
        <f>SUBSTITUTE(SUBSTITUTE(SUBSTITUTE(SUBSTITUTE(SUBSTITUTE(SUBSTITUTE(SUBSTITUTE(SUBSTITUTE(SUBSTITUTE(SUBSTITUTE(SUBSTITUTE(SUBSTITUTE(SUBSTITUTE(경동전체1!D210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1" spans="1:24" ht="20.25" customHeight="1" x14ac:dyDescent="0.3">
      <c r="A211" s="2">
        <f>경동전체1!A211</f>
        <v>0</v>
      </c>
      <c r="B211" s="13" t="str">
        <f>SUBSTITUTE(SUBSTITUTE(SUBSTITUTE(SUBSTITUTE(SUBSTITUTE(SUBSTITUTE(SUBSTITUTE(SUBSTITUTE(SUBSTITUTE(SUBSTITUTE(SUBSTITUTE(SUBSTITUTE(SUBSTITUTE(경동전체1!K211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1" s="30">
        <f>경동전체1!E211</f>
        <v>0</v>
      </c>
      <c r="D211" s="23"/>
      <c r="E211" s="23"/>
      <c r="F211" s="4">
        <f>경동전체1!J211</f>
        <v>0</v>
      </c>
      <c r="G211" s="23"/>
      <c r="H211" s="2">
        <f>경동전체1!H211</f>
        <v>0</v>
      </c>
      <c r="I211" s="2" t="str">
        <f>경동전체1!I211&amp;""</f>
        <v/>
      </c>
      <c r="J211" s="2" t="s">
        <v>36</v>
      </c>
      <c r="K211" s="2" t="str">
        <f>IF(LEFT(경동전체1!G211,1)="","따사룸",경동전체1!G211)</f>
        <v>따사룸</v>
      </c>
      <c r="L211" s="4" t="str">
        <f t="shared" si="12"/>
        <v>1</v>
      </c>
      <c r="M211" s="1" t="str">
        <f>IF(LEFT(경동전체1!D211,1)="2","비닐",IF(LEFT(경동전체1!O211,1)="박","박스","비닐"))</f>
        <v>비닐</v>
      </c>
      <c r="N211" s="25">
        <v>1</v>
      </c>
      <c r="O211" s="25">
        <v>1</v>
      </c>
      <c r="P211" s="25">
        <v>1</v>
      </c>
      <c r="Q211" s="25">
        <v>1</v>
      </c>
      <c r="R211" s="1" t="str">
        <f t="shared" si="13"/>
        <v>50</v>
      </c>
      <c r="S211" s="1">
        <f>경동전체1!B211</f>
        <v>0</v>
      </c>
      <c r="T211" s="1" t="str">
        <f t="shared" si="14"/>
        <v>100</v>
      </c>
      <c r="U211" s="5" t="str">
        <f t="shared" si="15"/>
        <v>0</v>
      </c>
      <c r="V211" s="26">
        <v>0</v>
      </c>
      <c r="W211" s="26">
        <v>0</v>
      </c>
      <c r="X211" s="2" t="str">
        <f>SUBSTITUTE(SUBSTITUTE(SUBSTITUTE(SUBSTITUTE(SUBSTITUTE(SUBSTITUTE(SUBSTITUTE(SUBSTITUTE(SUBSTITUTE(SUBSTITUTE(SUBSTITUTE(SUBSTITUTE(SUBSTITUTE(경동전체1!D211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2" spans="1:24" ht="20.25" customHeight="1" x14ac:dyDescent="0.3">
      <c r="A212" s="2">
        <f>경동전체1!A212</f>
        <v>0</v>
      </c>
      <c r="B212" s="13" t="str">
        <f>SUBSTITUTE(SUBSTITUTE(SUBSTITUTE(SUBSTITUTE(SUBSTITUTE(SUBSTITUTE(SUBSTITUTE(SUBSTITUTE(SUBSTITUTE(SUBSTITUTE(SUBSTITUTE(SUBSTITUTE(SUBSTITUTE(경동전체1!K212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2" s="30">
        <f>경동전체1!E212</f>
        <v>0</v>
      </c>
      <c r="D212" s="23"/>
      <c r="E212" s="23"/>
      <c r="F212" s="4">
        <f>경동전체1!J212</f>
        <v>0</v>
      </c>
      <c r="G212" s="23"/>
      <c r="H212" s="2">
        <f>경동전체1!H212</f>
        <v>0</v>
      </c>
      <c r="I212" s="2" t="str">
        <f>경동전체1!I212&amp;""</f>
        <v/>
      </c>
      <c r="J212" s="2" t="s">
        <v>36</v>
      </c>
      <c r="K212" s="2" t="str">
        <f>IF(LEFT(경동전체1!G212,1)="","따사룸",경동전체1!G212)</f>
        <v>따사룸</v>
      </c>
      <c r="L212" s="4" t="str">
        <f t="shared" si="12"/>
        <v>1</v>
      </c>
      <c r="M212" s="1" t="str">
        <f>IF(LEFT(경동전체1!D212,1)="2","비닐",IF(LEFT(경동전체1!O212,1)="박","박스","비닐"))</f>
        <v>비닐</v>
      </c>
      <c r="N212" s="25">
        <v>1</v>
      </c>
      <c r="O212" s="25">
        <v>1</v>
      </c>
      <c r="P212" s="25">
        <v>1</v>
      </c>
      <c r="Q212" s="25">
        <v>1</v>
      </c>
      <c r="R212" s="1" t="str">
        <f t="shared" si="13"/>
        <v>50</v>
      </c>
      <c r="S212" s="1">
        <f>경동전체1!B212</f>
        <v>0</v>
      </c>
      <c r="T212" s="1" t="str">
        <f t="shared" si="14"/>
        <v>100</v>
      </c>
      <c r="U212" s="5" t="str">
        <f t="shared" si="15"/>
        <v>0</v>
      </c>
      <c r="V212" s="26">
        <v>0</v>
      </c>
      <c r="W212" s="26">
        <v>0</v>
      </c>
      <c r="X212" s="2" t="str">
        <f>SUBSTITUTE(SUBSTITUTE(SUBSTITUTE(SUBSTITUTE(SUBSTITUTE(SUBSTITUTE(SUBSTITUTE(SUBSTITUTE(SUBSTITUTE(SUBSTITUTE(SUBSTITUTE(SUBSTITUTE(SUBSTITUTE(경동전체1!D212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3" spans="1:24" ht="20.25" customHeight="1" x14ac:dyDescent="0.3">
      <c r="A213" s="2">
        <f>경동전체1!A213</f>
        <v>0</v>
      </c>
      <c r="B213" s="13" t="str">
        <f>SUBSTITUTE(SUBSTITUTE(SUBSTITUTE(SUBSTITUTE(SUBSTITUTE(SUBSTITUTE(SUBSTITUTE(SUBSTITUTE(SUBSTITUTE(SUBSTITUTE(SUBSTITUTE(SUBSTITUTE(SUBSTITUTE(경동전체1!K213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3" s="30">
        <f>경동전체1!E213</f>
        <v>0</v>
      </c>
      <c r="D213" s="23"/>
      <c r="E213" s="23"/>
      <c r="F213" s="4">
        <f>경동전체1!J213</f>
        <v>0</v>
      </c>
      <c r="G213" s="23"/>
      <c r="H213" s="2">
        <f>경동전체1!H213</f>
        <v>0</v>
      </c>
      <c r="I213" s="2" t="str">
        <f>경동전체1!I213&amp;""</f>
        <v/>
      </c>
      <c r="J213" s="2" t="s">
        <v>36</v>
      </c>
      <c r="K213" s="2" t="str">
        <f>IF(LEFT(경동전체1!G213,1)="","따사룸",경동전체1!G213)</f>
        <v>따사룸</v>
      </c>
      <c r="L213" s="4" t="str">
        <f t="shared" si="12"/>
        <v>1</v>
      </c>
      <c r="M213" s="1" t="str">
        <f>IF(LEFT(경동전체1!D213,1)="2","비닐",IF(LEFT(경동전체1!O213,1)="박","박스","비닐"))</f>
        <v>비닐</v>
      </c>
      <c r="N213" s="25">
        <v>1</v>
      </c>
      <c r="O213" s="25">
        <v>1</v>
      </c>
      <c r="P213" s="25">
        <v>1</v>
      </c>
      <c r="Q213" s="25">
        <v>1</v>
      </c>
      <c r="R213" s="1" t="str">
        <f t="shared" si="13"/>
        <v>50</v>
      </c>
      <c r="S213" s="1">
        <f>경동전체1!B213</f>
        <v>0</v>
      </c>
      <c r="T213" s="1" t="str">
        <f t="shared" si="14"/>
        <v>100</v>
      </c>
      <c r="U213" s="5" t="str">
        <f t="shared" si="15"/>
        <v>0</v>
      </c>
      <c r="V213" s="26">
        <v>0</v>
      </c>
      <c r="W213" s="26">
        <v>0</v>
      </c>
      <c r="X213" s="2" t="str">
        <f>SUBSTITUTE(SUBSTITUTE(SUBSTITUTE(SUBSTITUTE(SUBSTITUTE(SUBSTITUTE(SUBSTITUTE(SUBSTITUTE(SUBSTITUTE(SUBSTITUTE(SUBSTITUTE(SUBSTITUTE(SUBSTITUTE(경동전체1!D213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4" spans="1:24" ht="20.25" customHeight="1" x14ac:dyDescent="0.3">
      <c r="A214" s="2">
        <f>경동전체1!A214</f>
        <v>0</v>
      </c>
      <c r="B214" s="13" t="str">
        <f>SUBSTITUTE(SUBSTITUTE(SUBSTITUTE(SUBSTITUTE(SUBSTITUTE(SUBSTITUTE(SUBSTITUTE(SUBSTITUTE(SUBSTITUTE(SUBSTITUTE(SUBSTITUTE(SUBSTITUTE(SUBSTITUTE(경동전체1!K214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4" s="30">
        <f>경동전체1!E214</f>
        <v>0</v>
      </c>
      <c r="D214" s="23"/>
      <c r="E214" s="23"/>
      <c r="F214" s="4">
        <f>경동전체1!J214</f>
        <v>0</v>
      </c>
      <c r="G214" s="23"/>
      <c r="H214" s="2">
        <f>경동전체1!H214</f>
        <v>0</v>
      </c>
      <c r="I214" s="2" t="str">
        <f>경동전체1!I214&amp;""</f>
        <v/>
      </c>
      <c r="J214" s="2" t="s">
        <v>36</v>
      </c>
      <c r="K214" s="2" t="str">
        <f>IF(LEFT(경동전체1!G214,1)="","따사룸",경동전체1!G214)</f>
        <v>따사룸</v>
      </c>
      <c r="L214" s="4" t="str">
        <f t="shared" si="12"/>
        <v>1</v>
      </c>
      <c r="M214" s="1" t="str">
        <f>IF(LEFT(경동전체1!D214,1)="2","비닐",IF(LEFT(경동전체1!O214,1)="박","박스","비닐"))</f>
        <v>비닐</v>
      </c>
      <c r="N214" s="25">
        <v>1</v>
      </c>
      <c r="O214" s="25">
        <v>1</v>
      </c>
      <c r="P214" s="25">
        <v>1</v>
      </c>
      <c r="Q214" s="25">
        <v>1</v>
      </c>
      <c r="R214" s="1" t="str">
        <f t="shared" si="13"/>
        <v>50</v>
      </c>
      <c r="S214" s="1">
        <f>경동전체1!B214</f>
        <v>0</v>
      </c>
      <c r="T214" s="1" t="str">
        <f t="shared" si="14"/>
        <v>100</v>
      </c>
      <c r="U214" s="5" t="str">
        <f t="shared" si="15"/>
        <v>0</v>
      </c>
      <c r="V214" s="26">
        <v>0</v>
      </c>
      <c r="W214" s="26">
        <v>0</v>
      </c>
      <c r="X214" s="2" t="str">
        <f>SUBSTITUTE(SUBSTITUTE(SUBSTITUTE(SUBSTITUTE(SUBSTITUTE(SUBSTITUTE(SUBSTITUTE(SUBSTITUTE(SUBSTITUTE(SUBSTITUTE(SUBSTITUTE(SUBSTITUTE(SUBSTITUTE(경동전체1!D214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5" spans="1:24" ht="20.25" customHeight="1" x14ac:dyDescent="0.3">
      <c r="A215" s="2">
        <f>경동전체1!A215</f>
        <v>0</v>
      </c>
      <c r="B215" s="13" t="str">
        <f>SUBSTITUTE(SUBSTITUTE(SUBSTITUTE(SUBSTITUTE(SUBSTITUTE(SUBSTITUTE(SUBSTITUTE(SUBSTITUTE(SUBSTITUTE(SUBSTITUTE(SUBSTITUTE(SUBSTITUTE(SUBSTITUTE(경동전체1!K215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5" s="30">
        <f>경동전체1!E215</f>
        <v>0</v>
      </c>
      <c r="D215" s="23"/>
      <c r="E215" s="23"/>
      <c r="F215" s="4">
        <f>경동전체1!J215</f>
        <v>0</v>
      </c>
      <c r="G215" s="23"/>
      <c r="H215" s="2">
        <f>경동전체1!H215</f>
        <v>0</v>
      </c>
      <c r="I215" s="2" t="str">
        <f>경동전체1!I215&amp;""</f>
        <v/>
      </c>
      <c r="J215" s="2" t="s">
        <v>36</v>
      </c>
      <c r="K215" s="2" t="str">
        <f>IF(LEFT(경동전체1!G215,1)="","따사룸",경동전체1!G215)</f>
        <v>따사룸</v>
      </c>
      <c r="L215" s="4" t="str">
        <f t="shared" si="12"/>
        <v>1</v>
      </c>
      <c r="M215" s="1" t="str">
        <f>IF(LEFT(경동전체1!D215,1)="2","비닐",IF(LEFT(경동전체1!O215,1)="박","박스","비닐"))</f>
        <v>비닐</v>
      </c>
      <c r="N215" s="25">
        <v>1</v>
      </c>
      <c r="O215" s="25">
        <v>1</v>
      </c>
      <c r="P215" s="25">
        <v>1</v>
      </c>
      <c r="Q215" s="25">
        <v>1</v>
      </c>
      <c r="R215" s="1" t="str">
        <f t="shared" si="13"/>
        <v>50</v>
      </c>
      <c r="S215" s="1">
        <f>경동전체1!B215</f>
        <v>0</v>
      </c>
      <c r="T215" s="1" t="str">
        <f t="shared" si="14"/>
        <v>100</v>
      </c>
      <c r="U215" s="5" t="str">
        <f t="shared" si="15"/>
        <v>0</v>
      </c>
      <c r="V215" s="26">
        <v>0</v>
      </c>
      <c r="W215" s="26">
        <v>0</v>
      </c>
      <c r="X215" s="2" t="str">
        <f>SUBSTITUTE(SUBSTITUTE(SUBSTITUTE(SUBSTITUTE(SUBSTITUTE(SUBSTITUTE(SUBSTITUTE(SUBSTITUTE(SUBSTITUTE(SUBSTITUTE(SUBSTITUTE(SUBSTITUTE(SUBSTITUTE(경동전체1!D215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6" spans="1:24" ht="20.25" customHeight="1" x14ac:dyDescent="0.3">
      <c r="A216" s="2">
        <f>경동전체1!A216</f>
        <v>0</v>
      </c>
      <c r="B216" s="13" t="str">
        <f>SUBSTITUTE(SUBSTITUTE(SUBSTITUTE(SUBSTITUTE(SUBSTITUTE(SUBSTITUTE(SUBSTITUTE(SUBSTITUTE(SUBSTITUTE(SUBSTITUTE(SUBSTITUTE(SUBSTITUTE(SUBSTITUTE(경동전체1!K216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6" s="30">
        <f>경동전체1!E216</f>
        <v>0</v>
      </c>
      <c r="D216" s="23"/>
      <c r="E216" s="23"/>
      <c r="F216" s="4">
        <f>경동전체1!J216</f>
        <v>0</v>
      </c>
      <c r="G216" s="23"/>
      <c r="H216" s="2">
        <f>경동전체1!H216</f>
        <v>0</v>
      </c>
      <c r="I216" s="2" t="str">
        <f>경동전체1!I216&amp;""</f>
        <v/>
      </c>
      <c r="J216" s="2" t="s">
        <v>36</v>
      </c>
      <c r="K216" s="2" t="str">
        <f>IF(LEFT(경동전체1!G216,1)="","따사룸",경동전체1!G216)</f>
        <v>따사룸</v>
      </c>
      <c r="L216" s="4" t="str">
        <f t="shared" si="12"/>
        <v>1</v>
      </c>
      <c r="M216" s="1" t="str">
        <f>IF(LEFT(경동전체1!D216,1)="2","비닐",IF(LEFT(경동전체1!O216,1)="박","박스","비닐"))</f>
        <v>비닐</v>
      </c>
      <c r="N216" s="25">
        <v>1</v>
      </c>
      <c r="O216" s="25">
        <v>1</v>
      </c>
      <c r="P216" s="25">
        <v>1</v>
      </c>
      <c r="Q216" s="25">
        <v>1</v>
      </c>
      <c r="R216" s="1" t="str">
        <f t="shared" si="13"/>
        <v>50</v>
      </c>
      <c r="S216" s="1">
        <f>경동전체1!B216</f>
        <v>0</v>
      </c>
      <c r="T216" s="1" t="str">
        <f t="shared" si="14"/>
        <v>100</v>
      </c>
      <c r="U216" s="5" t="str">
        <f t="shared" si="15"/>
        <v>0</v>
      </c>
      <c r="V216" s="26">
        <v>0</v>
      </c>
      <c r="W216" s="26">
        <v>0</v>
      </c>
      <c r="X216" s="2" t="str">
        <f>SUBSTITUTE(SUBSTITUTE(SUBSTITUTE(SUBSTITUTE(SUBSTITUTE(SUBSTITUTE(SUBSTITUTE(SUBSTITUTE(SUBSTITUTE(SUBSTITUTE(SUBSTITUTE(SUBSTITUTE(SUBSTITUTE(경동전체1!D216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7" spans="1:24" ht="20.25" customHeight="1" x14ac:dyDescent="0.3">
      <c r="A217" s="2">
        <f>경동전체1!A217</f>
        <v>0</v>
      </c>
      <c r="B217" s="13" t="str">
        <f>SUBSTITUTE(SUBSTITUTE(SUBSTITUTE(SUBSTITUTE(SUBSTITUTE(SUBSTITUTE(SUBSTITUTE(SUBSTITUTE(SUBSTITUTE(SUBSTITUTE(SUBSTITUTE(SUBSTITUTE(SUBSTITUTE(경동전체1!K217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7" s="30">
        <f>경동전체1!E217</f>
        <v>0</v>
      </c>
      <c r="D217" s="23"/>
      <c r="E217" s="23"/>
      <c r="F217" s="4">
        <f>경동전체1!J217</f>
        <v>0</v>
      </c>
      <c r="G217" s="23"/>
      <c r="H217" s="2">
        <f>경동전체1!H217</f>
        <v>0</v>
      </c>
      <c r="I217" s="2" t="str">
        <f>경동전체1!I217&amp;""</f>
        <v/>
      </c>
      <c r="J217" s="2" t="s">
        <v>36</v>
      </c>
      <c r="K217" s="2" t="str">
        <f>IF(LEFT(경동전체1!G217,1)="","따사룸",경동전체1!G217)</f>
        <v>따사룸</v>
      </c>
      <c r="L217" s="4" t="str">
        <f t="shared" si="12"/>
        <v>1</v>
      </c>
      <c r="M217" s="1" t="str">
        <f>IF(LEFT(경동전체1!D217,1)="2","비닐",IF(LEFT(경동전체1!O217,1)="박","박스","비닐"))</f>
        <v>비닐</v>
      </c>
      <c r="N217" s="25">
        <v>1</v>
      </c>
      <c r="O217" s="25">
        <v>1</v>
      </c>
      <c r="P217" s="25">
        <v>1</v>
      </c>
      <c r="Q217" s="25">
        <v>1</v>
      </c>
      <c r="R217" s="1" t="str">
        <f t="shared" si="13"/>
        <v>50</v>
      </c>
      <c r="S217" s="1">
        <f>경동전체1!B217</f>
        <v>0</v>
      </c>
      <c r="T217" s="1" t="str">
        <f t="shared" si="14"/>
        <v>100</v>
      </c>
      <c r="U217" s="5" t="str">
        <f t="shared" si="15"/>
        <v>0</v>
      </c>
      <c r="V217" s="26">
        <v>0</v>
      </c>
      <c r="W217" s="26">
        <v>0</v>
      </c>
      <c r="X217" s="2" t="str">
        <f>SUBSTITUTE(SUBSTITUTE(SUBSTITUTE(SUBSTITUTE(SUBSTITUTE(SUBSTITUTE(SUBSTITUTE(SUBSTITUTE(SUBSTITUTE(SUBSTITUTE(SUBSTITUTE(SUBSTITUTE(SUBSTITUTE(경동전체1!D217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8" spans="1:24" ht="20.25" customHeight="1" x14ac:dyDescent="0.3">
      <c r="A218" s="2">
        <f>경동전체1!A218</f>
        <v>0</v>
      </c>
      <c r="B218" s="13" t="str">
        <f>SUBSTITUTE(SUBSTITUTE(SUBSTITUTE(SUBSTITUTE(SUBSTITUTE(SUBSTITUTE(SUBSTITUTE(SUBSTITUTE(SUBSTITUTE(SUBSTITUTE(SUBSTITUTE(SUBSTITUTE(SUBSTITUTE(경동전체1!K218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8" s="30">
        <f>경동전체1!E218</f>
        <v>0</v>
      </c>
      <c r="D218" s="23"/>
      <c r="E218" s="23"/>
      <c r="F218" s="4">
        <f>경동전체1!J218</f>
        <v>0</v>
      </c>
      <c r="G218" s="23"/>
      <c r="H218" s="2">
        <f>경동전체1!H218</f>
        <v>0</v>
      </c>
      <c r="I218" s="2" t="str">
        <f>경동전체1!I218&amp;""</f>
        <v/>
      </c>
      <c r="J218" s="2" t="s">
        <v>36</v>
      </c>
      <c r="K218" s="2" t="str">
        <f>IF(LEFT(경동전체1!G218,1)="","따사룸",경동전체1!G218)</f>
        <v>따사룸</v>
      </c>
      <c r="L218" s="4" t="str">
        <f t="shared" si="12"/>
        <v>1</v>
      </c>
      <c r="M218" s="1" t="str">
        <f>IF(LEFT(경동전체1!D218,1)="2","비닐",IF(LEFT(경동전체1!O218,1)="박","박스","비닐"))</f>
        <v>비닐</v>
      </c>
      <c r="N218" s="25">
        <v>1</v>
      </c>
      <c r="O218" s="25">
        <v>1</v>
      </c>
      <c r="P218" s="25">
        <v>1</v>
      </c>
      <c r="Q218" s="25">
        <v>1</v>
      </c>
      <c r="R218" s="1" t="str">
        <f t="shared" si="13"/>
        <v>50</v>
      </c>
      <c r="S218" s="1">
        <f>경동전체1!B218</f>
        <v>0</v>
      </c>
      <c r="T218" s="1" t="str">
        <f t="shared" si="14"/>
        <v>100</v>
      </c>
      <c r="U218" s="5" t="str">
        <f t="shared" si="15"/>
        <v>0</v>
      </c>
      <c r="V218" s="26">
        <v>0</v>
      </c>
      <c r="W218" s="26">
        <v>0</v>
      </c>
      <c r="X218" s="2" t="str">
        <f>SUBSTITUTE(SUBSTITUTE(SUBSTITUTE(SUBSTITUTE(SUBSTITUTE(SUBSTITUTE(SUBSTITUTE(SUBSTITUTE(SUBSTITUTE(SUBSTITUTE(SUBSTITUTE(SUBSTITUTE(SUBSTITUTE(경동전체1!D218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9" spans="1:24" ht="20.25" customHeight="1" x14ac:dyDescent="0.3">
      <c r="A219" s="2">
        <f>경동전체1!A219</f>
        <v>0</v>
      </c>
      <c r="B219" s="13" t="str">
        <f>SUBSTITUTE(SUBSTITUTE(SUBSTITUTE(SUBSTITUTE(SUBSTITUTE(SUBSTITUTE(SUBSTITUTE(SUBSTITUTE(SUBSTITUTE(SUBSTITUTE(SUBSTITUTE(SUBSTITUTE(SUBSTITUTE(경동전체1!K219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9" s="30">
        <f>경동전체1!E219</f>
        <v>0</v>
      </c>
      <c r="D219" s="23"/>
      <c r="E219" s="23"/>
      <c r="F219" s="4">
        <f>경동전체1!J219</f>
        <v>0</v>
      </c>
      <c r="G219" s="23"/>
      <c r="H219" s="2">
        <f>경동전체1!H219</f>
        <v>0</v>
      </c>
      <c r="I219" s="2" t="str">
        <f>경동전체1!I219&amp;""</f>
        <v/>
      </c>
      <c r="J219" s="2" t="s">
        <v>36</v>
      </c>
      <c r="K219" s="2" t="str">
        <f>IF(LEFT(경동전체1!G219,1)="","따사룸",경동전체1!G219)</f>
        <v>따사룸</v>
      </c>
      <c r="L219" s="4" t="str">
        <f t="shared" si="12"/>
        <v>1</v>
      </c>
      <c r="M219" s="1" t="str">
        <f>IF(LEFT(경동전체1!D219,1)="2","비닐",IF(LEFT(경동전체1!O219,1)="박","박스","비닐"))</f>
        <v>비닐</v>
      </c>
      <c r="N219" s="25">
        <v>1</v>
      </c>
      <c r="O219" s="25">
        <v>1</v>
      </c>
      <c r="P219" s="25">
        <v>1</v>
      </c>
      <c r="Q219" s="25">
        <v>1</v>
      </c>
      <c r="R219" s="1" t="str">
        <f t="shared" si="13"/>
        <v>50</v>
      </c>
      <c r="S219" s="1">
        <f>경동전체1!B219</f>
        <v>0</v>
      </c>
      <c r="T219" s="1" t="str">
        <f t="shared" si="14"/>
        <v>100</v>
      </c>
      <c r="U219" s="5" t="str">
        <f t="shared" si="15"/>
        <v>0</v>
      </c>
      <c r="V219" s="26">
        <v>0</v>
      </c>
      <c r="W219" s="26">
        <v>0</v>
      </c>
      <c r="X219" s="2" t="str">
        <f>SUBSTITUTE(SUBSTITUTE(SUBSTITUTE(SUBSTITUTE(SUBSTITUTE(SUBSTITUTE(SUBSTITUTE(SUBSTITUTE(SUBSTITUTE(SUBSTITUTE(SUBSTITUTE(SUBSTITUTE(SUBSTITUTE(경동전체1!D219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0" spans="1:24" ht="20.25" customHeight="1" x14ac:dyDescent="0.3">
      <c r="A220" s="2">
        <f>경동전체1!A220</f>
        <v>0</v>
      </c>
      <c r="B220" s="13" t="str">
        <f>SUBSTITUTE(SUBSTITUTE(SUBSTITUTE(SUBSTITUTE(SUBSTITUTE(SUBSTITUTE(SUBSTITUTE(SUBSTITUTE(SUBSTITUTE(SUBSTITUTE(SUBSTITUTE(SUBSTITUTE(SUBSTITUTE(경동전체1!K220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0" s="30">
        <f>경동전체1!E220</f>
        <v>0</v>
      </c>
      <c r="D220" s="23"/>
      <c r="E220" s="23"/>
      <c r="F220" s="4">
        <f>경동전체1!J220</f>
        <v>0</v>
      </c>
      <c r="G220" s="23"/>
      <c r="H220" s="2">
        <f>경동전체1!H220</f>
        <v>0</v>
      </c>
      <c r="I220" s="2" t="str">
        <f>경동전체1!I220&amp;""</f>
        <v/>
      </c>
      <c r="J220" s="2" t="s">
        <v>36</v>
      </c>
      <c r="K220" s="2" t="str">
        <f>IF(LEFT(경동전체1!G220,1)="","따사룸",경동전체1!G220)</f>
        <v>따사룸</v>
      </c>
      <c r="L220" s="4" t="str">
        <f t="shared" si="12"/>
        <v>1</v>
      </c>
      <c r="M220" s="1" t="str">
        <f>IF(LEFT(경동전체1!D220,1)="2","비닐",IF(LEFT(경동전체1!O220,1)="박","박스","비닐"))</f>
        <v>비닐</v>
      </c>
      <c r="N220" s="25">
        <v>1</v>
      </c>
      <c r="O220" s="25">
        <v>1</v>
      </c>
      <c r="P220" s="25">
        <v>1</v>
      </c>
      <c r="Q220" s="25">
        <v>1</v>
      </c>
      <c r="R220" s="1" t="str">
        <f t="shared" si="13"/>
        <v>50</v>
      </c>
      <c r="S220" s="1">
        <f>경동전체1!B220</f>
        <v>0</v>
      </c>
      <c r="T220" s="1" t="str">
        <f t="shared" si="14"/>
        <v>100</v>
      </c>
      <c r="U220" s="5" t="str">
        <f t="shared" si="15"/>
        <v>0</v>
      </c>
      <c r="V220" s="26">
        <v>0</v>
      </c>
      <c r="W220" s="26">
        <v>0</v>
      </c>
      <c r="X220" s="2" t="str">
        <f>SUBSTITUTE(SUBSTITUTE(SUBSTITUTE(SUBSTITUTE(SUBSTITUTE(SUBSTITUTE(SUBSTITUTE(SUBSTITUTE(SUBSTITUTE(SUBSTITUTE(SUBSTITUTE(SUBSTITUTE(SUBSTITUTE(경동전체1!D220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1" spans="1:24" ht="20.25" customHeight="1" x14ac:dyDescent="0.3">
      <c r="A221" s="2">
        <f>경동전체1!A221</f>
        <v>0</v>
      </c>
      <c r="B221" s="13" t="str">
        <f>SUBSTITUTE(SUBSTITUTE(SUBSTITUTE(SUBSTITUTE(SUBSTITUTE(SUBSTITUTE(SUBSTITUTE(SUBSTITUTE(SUBSTITUTE(SUBSTITUTE(SUBSTITUTE(SUBSTITUTE(SUBSTITUTE(경동전체1!K221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1" s="30">
        <f>경동전체1!E221</f>
        <v>0</v>
      </c>
      <c r="D221" s="23"/>
      <c r="E221" s="23"/>
      <c r="F221" s="4">
        <f>경동전체1!J221</f>
        <v>0</v>
      </c>
      <c r="G221" s="23"/>
      <c r="H221" s="2">
        <f>경동전체1!H221</f>
        <v>0</v>
      </c>
      <c r="I221" s="2" t="str">
        <f>경동전체1!I221&amp;""</f>
        <v/>
      </c>
      <c r="J221" s="2" t="s">
        <v>36</v>
      </c>
      <c r="K221" s="2" t="str">
        <f>IF(LEFT(경동전체1!G221,1)="","따사룸",경동전체1!G221)</f>
        <v>따사룸</v>
      </c>
      <c r="L221" s="4" t="str">
        <f t="shared" si="12"/>
        <v>1</v>
      </c>
      <c r="M221" s="1" t="str">
        <f>IF(LEFT(경동전체1!D221,1)="2","비닐",IF(LEFT(경동전체1!O221,1)="박","박스","비닐"))</f>
        <v>비닐</v>
      </c>
      <c r="N221" s="25">
        <v>1</v>
      </c>
      <c r="O221" s="25">
        <v>1</v>
      </c>
      <c r="P221" s="25">
        <v>1</v>
      </c>
      <c r="Q221" s="25">
        <v>1</v>
      </c>
      <c r="R221" s="1" t="str">
        <f t="shared" si="13"/>
        <v>50</v>
      </c>
      <c r="S221" s="1">
        <f>경동전체1!B221</f>
        <v>0</v>
      </c>
      <c r="T221" s="1" t="str">
        <f t="shared" si="14"/>
        <v>100</v>
      </c>
      <c r="U221" s="5" t="str">
        <f t="shared" si="15"/>
        <v>0</v>
      </c>
      <c r="V221" s="26">
        <v>0</v>
      </c>
      <c r="W221" s="26">
        <v>0</v>
      </c>
      <c r="X221" s="2" t="str">
        <f>SUBSTITUTE(SUBSTITUTE(SUBSTITUTE(SUBSTITUTE(SUBSTITUTE(SUBSTITUTE(SUBSTITUTE(SUBSTITUTE(SUBSTITUTE(SUBSTITUTE(SUBSTITUTE(SUBSTITUTE(SUBSTITUTE(경동전체1!D221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2" spans="1:24" ht="20.25" customHeight="1" x14ac:dyDescent="0.3">
      <c r="A222" s="2">
        <f>경동전체1!A222</f>
        <v>0</v>
      </c>
      <c r="B222" s="13" t="str">
        <f>SUBSTITUTE(SUBSTITUTE(SUBSTITUTE(SUBSTITUTE(SUBSTITUTE(SUBSTITUTE(SUBSTITUTE(SUBSTITUTE(SUBSTITUTE(SUBSTITUTE(SUBSTITUTE(SUBSTITUTE(SUBSTITUTE(경동전체1!K222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2" s="30">
        <f>경동전체1!E222</f>
        <v>0</v>
      </c>
      <c r="D222" s="23"/>
      <c r="E222" s="23"/>
      <c r="F222" s="4">
        <f>경동전체1!J222</f>
        <v>0</v>
      </c>
      <c r="G222" s="23"/>
      <c r="H222" s="2">
        <f>경동전체1!H222</f>
        <v>0</v>
      </c>
      <c r="I222" s="2" t="str">
        <f>경동전체1!I222&amp;""</f>
        <v/>
      </c>
      <c r="J222" s="2" t="s">
        <v>36</v>
      </c>
      <c r="K222" s="2" t="str">
        <f>IF(LEFT(경동전체1!G222,1)="","따사룸",경동전체1!G222)</f>
        <v>따사룸</v>
      </c>
      <c r="L222" s="4" t="str">
        <f t="shared" si="12"/>
        <v>1</v>
      </c>
      <c r="M222" s="1" t="str">
        <f>IF(LEFT(경동전체1!D222,1)="2","비닐",IF(LEFT(경동전체1!O222,1)="박","박스","비닐"))</f>
        <v>비닐</v>
      </c>
      <c r="N222" s="25">
        <v>1</v>
      </c>
      <c r="O222" s="25">
        <v>1</v>
      </c>
      <c r="P222" s="25">
        <v>1</v>
      </c>
      <c r="Q222" s="25">
        <v>1</v>
      </c>
      <c r="R222" s="1" t="str">
        <f t="shared" si="13"/>
        <v>50</v>
      </c>
      <c r="S222" s="1">
        <f>경동전체1!B222</f>
        <v>0</v>
      </c>
      <c r="T222" s="1" t="str">
        <f t="shared" si="14"/>
        <v>100</v>
      </c>
      <c r="U222" s="5" t="str">
        <f t="shared" si="15"/>
        <v>0</v>
      </c>
      <c r="V222" s="26">
        <v>0</v>
      </c>
      <c r="W222" s="26">
        <v>0</v>
      </c>
      <c r="X222" s="2" t="str">
        <f>SUBSTITUTE(SUBSTITUTE(SUBSTITUTE(SUBSTITUTE(SUBSTITUTE(SUBSTITUTE(SUBSTITUTE(SUBSTITUTE(SUBSTITUTE(SUBSTITUTE(SUBSTITUTE(SUBSTITUTE(SUBSTITUTE(경동전체1!D222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3" spans="1:24" ht="20.25" customHeight="1" x14ac:dyDescent="0.3">
      <c r="A223" s="2">
        <f>경동전체1!A223</f>
        <v>0</v>
      </c>
      <c r="B223" s="13" t="str">
        <f>SUBSTITUTE(SUBSTITUTE(SUBSTITUTE(SUBSTITUTE(SUBSTITUTE(SUBSTITUTE(SUBSTITUTE(SUBSTITUTE(SUBSTITUTE(SUBSTITUTE(SUBSTITUTE(SUBSTITUTE(SUBSTITUTE(경동전체1!K223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3" s="30">
        <f>경동전체1!E223</f>
        <v>0</v>
      </c>
      <c r="D223" s="23"/>
      <c r="E223" s="23"/>
      <c r="F223" s="4">
        <f>경동전체1!J223</f>
        <v>0</v>
      </c>
      <c r="G223" s="23"/>
      <c r="H223" s="2">
        <f>경동전체1!H223</f>
        <v>0</v>
      </c>
      <c r="I223" s="2" t="str">
        <f>경동전체1!I223&amp;""</f>
        <v/>
      </c>
      <c r="J223" s="2" t="s">
        <v>36</v>
      </c>
      <c r="K223" s="2" t="str">
        <f>IF(LEFT(경동전체1!G223,1)="","따사룸",경동전체1!G223)</f>
        <v>따사룸</v>
      </c>
      <c r="L223" s="4" t="str">
        <f t="shared" si="12"/>
        <v>1</v>
      </c>
      <c r="M223" s="1" t="str">
        <f>IF(LEFT(경동전체1!D223,1)="2","비닐",IF(LEFT(경동전체1!O223,1)="박","박스","비닐"))</f>
        <v>비닐</v>
      </c>
      <c r="N223" s="25">
        <v>1</v>
      </c>
      <c r="O223" s="25">
        <v>1</v>
      </c>
      <c r="P223" s="25">
        <v>1</v>
      </c>
      <c r="Q223" s="25">
        <v>1</v>
      </c>
      <c r="R223" s="1" t="str">
        <f t="shared" si="13"/>
        <v>50</v>
      </c>
      <c r="S223" s="1">
        <f>경동전체1!B223</f>
        <v>0</v>
      </c>
      <c r="T223" s="1" t="str">
        <f t="shared" si="14"/>
        <v>100</v>
      </c>
      <c r="U223" s="5" t="str">
        <f t="shared" si="15"/>
        <v>0</v>
      </c>
      <c r="V223" s="26">
        <v>0</v>
      </c>
      <c r="W223" s="26">
        <v>0</v>
      </c>
      <c r="X223" s="2" t="str">
        <f>SUBSTITUTE(SUBSTITUTE(SUBSTITUTE(SUBSTITUTE(SUBSTITUTE(SUBSTITUTE(SUBSTITUTE(SUBSTITUTE(SUBSTITUTE(SUBSTITUTE(SUBSTITUTE(SUBSTITUTE(SUBSTITUTE(경동전체1!D223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4" spans="1:24" ht="20.25" customHeight="1" x14ac:dyDescent="0.3">
      <c r="A224" s="2">
        <f>경동전체1!A224</f>
        <v>0</v>
      </c>
      <c r="B224" s="13" t="str">
        <f>SUBSTITUTE(SUBSTITUTE(SUBSTITUTE(SUBSTITUTE(SUBSTITUTE(SUBSTITUTE(SUBSTITUTE(SUBSTITUTE(SUBSTITUTE(SUBSTITUTE(SUBSTITUTE(SUBSTITUTE(SUBSTITUTE(경동전체1!K224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4" s="30">
        <f>경동전체1!E224</f>
        <v>0</v>
      </c>
      <c r="D224" s="23"/>
      <c r="E224" s="23"/>
      <c r="F224" s="4">
        <f>경동전체1!J224</f>
        <v>0</v>
      </c>
      <c r="G224" s="23"/>
      <c r="H224" s="2">
        <f>경동전체1!H224</f>
        <v>0</v>
      </c>
      <c r="I224" s="2" t="str">
        <f>경동전체1!I224&amp;""</f>
        <v/>
      </c>
      <c r="J224" s="2" t="s">
        <v>36</v>
      </c>
      <c r="K224" s="2" t="str">
        <f>IF(LEFT(경동전체1!G224,1)="","따사룸",경동전체1!G224)</f>
        <v>따사룸</v>
      </c>
      <c r="L224" s="4" t="str">
        <f t="shared" si="12"/>
        <v>1</v>
      </c>
      <c r="M224" s="1" t="str">
        <f>IF(LEFT(경동전체1!D224,1)="2","비닐",IF(LEFT(경동전체1!O224,1)="박","박스","비닐"))</f>
        <v>비닐</v>
      </c>
      <c r="N224" s="25">
        <v>1</v>
      </c>
      <c r="O224" s="25">
        <v>1</v>
      </c>
      <c r="P224" s="25">
        <v>1</v>
      </c>
      <c r="Q224" s="25">
        <v>1</v>
      </c>
      <c r="R224" s="1" t="str">
        <f t="shared" si="13"/>
        <v>50</v>
      </c>
      <c r="S224" s="1">
        <f>경동전체1!B224</f>
        <v>0</v>
      </c>
      <c r="T224" s="1" t="str">
        <f t="shared" si="14"/>
        <v>100</v>
      </c>
      <c r="U224" s="5" t="str">
        <f t="shared" si="15"/>
        <v>0</v>
      </c>
      <c r="V224" s="26">
        <v>0</v>
      </c>
      <c r="W224" s="26">
        <v>0</v>
      </c>
      <c r="X224" s="2" t="str">
        <f>SUBSTITUTE(SUBSTITUTE(SUBSTITUTE(SUBSTITUTE(SUBSTITUTE(SUBSTITUTE(SUBSTITUTE(SUBSTITUTE(SUBSTITUTE(SUBSTITUTE(SUBSTITUTE(SUBSTITUTE(SUBSTITUTE(경동전체1!D224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5" spans="1:24" ht="20.25" customHeight="1" x14ac:dyDescent="0.3">
      <c r="A225" s="2">
        <f>경동전체1!A225</f>
        <v>0</v>
      </c>
      <c r="B225" s="13" t="str">
        <f>SUBSTITUTE(SUBSTITUTE(SUBSTITUTE(SUBSTITUTE(SUBSTITUTE(SUBSTITUTE(SUBSTITUTE(SUBSTITUTE(SUBSTITUTE(SUBSTITUTE(SUBSTITUTE(SUBSTITUTE(SUBSTITUTE(경동전체1!K225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5" s="30">
        <f>경동전체1!E225</f>
        <v>0</v>
      </c>
      <c r="D225" s="23"/>
      <c r="E225" s="23"/>
      <c r="F225" s="4">
        <f>경동전체1!J225</f>
        <v>0</v>
      </c>
      <c r="G225" s="23"/>
      <c r="H225" s="2">
        <f>경동전체1!H225</f>
        <v>0</v>
      </c>
      <c r="I225" s="2" t="str">
        <f>경동전체1!I225&amp;""</f>
        <v/>
      </c>
      <c r="J225" s="2" t="s">
        <v>36</v>
      </c>
      <c r="K225" s="2" t="str">
        <f>IF(LEFT(경동전체1!G225,1)="","따사룸",경동전체1!G225)</f>
        <v>따사룸</v>
      </c>
      <c r="L225" s="4" t="str">
        <f t="shared" si="12"/>
        <v>1</v>
      </c>
      <c r="M225" s="1" t="str">
        <f>IF(LEFT(경동전체1!D225,1)="2","비닐",IF(LEFT(경동전체1!O225,1)="박","박스","비닐"))</f>
        <v>비닐</v>
      </c>
      <c r="N225" s="25">
        <v>1</v>
      </c>
      <c r="O225" s="25">
        <v>1</v>
      </c>
      <c r="P225" s="25">
        <v>1</v>
      </c>
      <c r="Q225" s="25">
        <v>1</v>
      </c>
      <c r="R225" s="1" t="str">
        <f t="shared" si="13"/>
        <v>50</v>
      </c>
      <c r="S225" s="1">
        <f>경동전체1!B225</f>
        <v>0</v>
      </c>
      <c r="T225" s="1" t="str">
        <f t="shared" si="14"/>
        <v>100</v>
      </c>
      <c r="U225" s="5" t="str">
        <f t="shared" si="15"/>
        <v>0</v>
      </c>
      <c r="V225" s="26">
        <v>0</v>
      </c>
      <c r="W225" s="26">
        <v>0</v>
      </c>
      <c r="X225" s="2" t="str">
        <f>SUBSTITUTE(SUBSTITUTE(SUBSTITUTE(SUBSTITUTE(SUBSTITUTE(SUBSTITUTE(SUBSTITUTE(SUBSTITUTE(SUBSTITUTE(SUBSTITUTE(SUBSTITUTE(SUBSTITUTE(SUBSTITUTE(경동전체1!D225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6" spans="1:24" ht="20.25" customHeight="1" x14ac:dyDescent="0.3">
      <c r="A226" s="2">
        <f>경동전체1!A226</f>
        <v>0</v>
      </c>
      <c r="B226" s="13" t="str">
        <f>SUBSTITUTE(SUBSTITUTE(SUBSTITUTE(SUBSTITUTE(SUBSTITUTE(SUBSTITUTE(SUBSTITUTE(SUBSTITUTE(SUBSTITUTE(SUBSTITUTE(SUBSTITUTE(SUBSTITUTE(SUBSTITUTE(경동전체1!K226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6" s="30">
        <f>경동전체1!E226</f>
        <v>0</v>
      </c>
      <c r="D226" s="23"/>
      <c r="E226" s="23"/>
      <c r="F226" s="4">
        <f>경동전체1!J226</f>
        <v>0</v>
      </c>
      <c r="G226" s="23"/>
      <c r="H226" s="2">
        <f>경동전체1!H226</f>
        <v>0</v>
      </c>
      <c r="I226" s="2" t="str">
        <f>경동전체1!I226&amp;""</f>
        <v/>
      </c>
      <c r="J226" s="2" t="s">
        <v>36</v>
      </c>
      <c r="K226" s="2" t="str">
        <f>IF(LEFT(경동전체1!G226,1)="","따사룸",경동전체1!G226)</f>
        <v>따사룸</v>
      </c>
      <c r="L226" s="4" t="str">
        <f t="shared" si="12"/>
        <v>1</v>
      </c>
      <c r="M226" s="1" t="str">
        <f>IF(LEFT(경동전체1!D226,1)="2","비닐",IF(LEFT(경동전체1!O226,1)="박","박스","비닐"))</f>
        <v>비닐</v>
      </c>
      <c r="N226" s="25">
        <v>1</v>
      </c>
      <c r="O226" s="25">
        <v>1</v>
      </c>
      <c r="P226" s="25">
        <v>1</v>
      </c>
      <c r="Q226" s="25">
        <v>1</v>
      </c>
      <c r="R226" s="1" t="str">
        <f t="shared" si="13"/>
        <v>50</v>
      </c>
      <c r="S226" s="1">
        <f>경동전체1!B226</f>
        <v>0</v>
      </c>
      <c r="T226" s="1" t="str">
        <f t="shared" si="14"/>
        <v>100</v>
      </c>
      <c r="U226" s="5" t="str">
        <f t="shared" si="15"/>
        <v>0</v>
      </c>
      <c r="V226" s="26">
        <v>0</v>
      </c>
      <c r="W226" s="26">
        <v>0</v>
      </c>
      <c r="X226" s="2" t="str">
        <f>SUBSTITUTE(SUBSTITUTE(SUBSTITUTE(SUBSTITUTE(SUBSTITUTE(SUBSTITUTE(SUBSTITUTE(SUBSTITUTE(SUBSTITUTE(SUBSTITUTE(SUBSTITUTE(SUBSTITUTE(SUBSTITUTE(경동전체1!D226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7" spans="1:24" ht="20.25" customHeight="1" x14ac:dyDescent="0.3">
      <c r="A227" s="2">
        <f>경동전체1!A227</f>
        <v>0</v>
      </c>
      <c r="B227" s="13" t="str">
        <f>SUBSTITUTE(SUBSTITUTE(SUBSTITUTE(SUBSTITUTE(SUBSTITUTE(SUBSTITUTE(SUBSTITUTE(SUBSTITUTE(SUBSTITUTE(SUBSTITUTE(SUBSTITUTE(SUBSTITUTE(SUBSTITUTE(경동전체1!K227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7" s="30">
        <f>경동전체1!E227</f>
        <v>0</v>
      </c>
      <c r="D227" s="23"/>
      <c r="E227" s="23"/>
      <c r="F227" s="4">
        <f>경동전체1!J227</f>
        <v>0</v>
      </c>
      <c r="G227" s="23"/>
      <c r="H227" s="2">
        <f>경동전체1!H227</f>
        <v>0</v>
      </c>
      <c r="I227" s="2" t="str">
        <f>경동전체1!I227&amp;""</f>
        <v/>
      </c>
      <c r="J227" s="2" t="s">
        <v>36</v>
      </c>
      <c r="K227" s="2" t="str">
        <f>IF(LEFT(경동전체1!G227,1)="","따사룸",경동전체1!G227)</f>
        <v>따사룸</v>
      </c>
      <c r="L227" s="4" t="str">
        <f t="shared" si="12"/>
        <v>1</v>
      </c>
      <c r="M227" s="1" t="str">
        <f>IF(LEFT(경동전체1!D227,1)="2","비닐",IF(LEFT(경동전체1!O227,1)="박","박스","비닐"))</f>
        <v>비닐</v>
      </c>
      <c r="N227" s="25">
        <v>1</v>
      </c>
      <c r="O227" s="25">
        <v>1</v>
      </c>
      <c r="P227" s="25">
        <v>1</v>
      </c>
      <c r="Q227" s="25">
        <v>1</v>
      </c>
      <c r="R227" s="1" t="str">
        <f t="shared" si="13"/>
        <v>50</v>
      </c>
      <c r="S227" s="1">
        <f>경동전체1!B227</f>
        <v>0</v>
      </c>
      <c r="T227" s="1" t="str">
        <f t="shared" si="14"/>
        <v>100</v>
      </c>
      <c r="U227" s="5" t="str">
        <f t="shared" si="15"/>
        <v>0</v>
      </c>
      <c r="V227" s="26">
        <v>0</v>
      </c>
      <c r="W227" s="26">
        <v>0</v>
      </c>
      <c r="X227" s="2" t="str">
        <f>SUBSTITUTE(SUBSTITUTE(SUBSTITUTE(SUBSTITUTE(SUBSTITUTE(SUBSTITUTE(SUBSTITUTE(SUBSTITUTE(SUBSTITUTE(SUBSTITUTE(SUBSTITUTE(SUBSTITUTE(SUBSTITUTE(경동전체1!D227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8" spans="1:24" ht="20.25" customHeight="1" x14ac:dyDescent="0.3">
      <c r="A228" s="2">
        <f>경동전체1!A228</f>
        <v>0</v>
      </c>
      <c r="B228" s="13" t="str">
        <f>SUBSTITUTE(SUBSTITUTE(SUBSTITUTE(SUBSTITUTE(SUBSTITUTE(SUBSTITUTE(SUBSTITUTE(SUBSTITUTE(SUBSTITUTE(SUBSTITUTE(SUBSTITUTE(SUBSTITUTE(SUBSTITUTE(경동전체1!K228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8" s="30">
        <f>경동전체1!E228</f>
        <v>0</v>
      </c>
      <c r="D228" s="23"/>
      <c r="E228" s="23"/>
      <c r="F228" s="4">
        <f>경동전체1!J228</f>
        <v>0</v>
      </c>
      <c r="G228" s="23"/>
      <c r="H228" s="2">
        <f>경동전체1!H228</f>
        <v>0</v>
      </c>
      <c r="I228" s="2" t="str">
        <f>경동전체1!I228&amp;""</f>
        <v/>
      </c>
      <c r="J228" s="2" t="s">
        <v>36</v>
      </c>
      <c r="K228" s="2" t="str">
        <f>IF(LEFT(경동전체1!G228,1)="","따사룸",경동전체1!G228)</f>
        <v>따사룸</v>
      </c>
      <c r="L228" s="4" t="str">
        <f t="shared" si="12"/>
        <v>1</v>
      </c>
      <c r="M228" s="1" t="str">
        <f>IF(LEFT(경동전체1!D228,1)="2","비닐",IF(LEFT(경동전체1!O228,1)="박","박스","비닐"))</f>
        <v>비닐</v>
      </c>
      <c r="N228" s="25">
        <v>1</v>
      </c>
      <c r="O228" s="25">
        <v>1</v>
      </c>
      <c r="P228" s="25">
        <v>1</v>
      </c>
      <c r="Q228" s="25">
        <v>1</v>
      </c>
      <c r="R228" s="1" t="str">
        <f t="shared" si="13"/>
        <v>50</v>
      </c>
      <c r="S228" s="1">
        <f>경동전체1!B228</f>
        <v>0</v>
      </c>
      <c r="T228" s="1" t="str">
        <f t="shared" si="14"/>
        <v>100</v>
      </c>
      <c r="U228" s="5" t="str">
        <f t="shared" si="15"/>
        <v>0</v>
      </c>
      <c r="V228" s="26">
        <v>0</v>
      </c>
      <c r="W228" s="26">
        <v>0</v>
      </c>
      <c r="X228" s="2" t="str">
        <f>SUBSTITUTE(SUBSTITUTE(SUBSTITUTE(SUBSTITUTE(SUBSTITUTE(SUBSTITUTE(SUBSTITUTE(SUBSTITUTE(SUBSTITUTE(SUBSTITUTE(SUBSTITUTE(SUBSTITUTE(SUBSTITUTE(경동전체1!D228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9" spans="1:24" ht="20.25" customHeight="1" x14ac:dyDescent="0.3">
      <c r="A229" s="2">
        <f>경동전체1!A229</f>
        <v>0</v>
      </c>
      <c r="B229" s="13" t="str">
        <f>SUBSTITUTE(SUBSTITUTE(SUBSTITUTE(SUBSTITUTE(SUBSTITUTE(SUBSTITUTE(SUBSTITUTE(SUBSTITUTE(SUBSTITUTE(SUBSTITUTE(SUBSTITUTE(SUBSTITUTE(SUBSTITUTE(경동전체1!K229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9" s="30">
        <f>경동전체1!E229</f>
        <v>0</v>
      </c>
      <c r="D229" s="23"/>
      <c r="E229" s="23"/>
      <c r="F229" s="4">
        <f>경동전체1!J229</f>
        <v>0</v>
      </c>
      <c r="G229" s="23"/>
      <c r="H229" s="2">
        <f>경동전체1!H229</f>
        <v>0</v>
      </c>
      <c r="I229" s="2" t="str">
        <f>경동전체1!I229&amp;""</f>
        <v/>
      </c>
      <c r="J229" s="2" t="s">
        <v>36</v>
      </c>
      <c r="K229" s="2" t="str">
        <f>IF(LEFT(경동전체1!G229,1)="","따사룸",경동전체1!G229)</f>
        <v>따사룸</v>
      </c>
      <c r="L229" s="4" t="str">
        <f t="shared" si="12"/>
        <v>1</v>
      </c>
      <c r="M229" s="1" t="str">
        <f>IF(LEFT(경동전체1!D229,1)="2","비닐",IF(LEFT(경동전체1!O229,1)="박","박스","비닐"))</f>
        <v>비닐</v>
      </c>
      <c r="N229" s="25">
        <v>1</v>
      </c>
      <c r="O229" s="25">
        <v>1</v>
      </c>
      <c r="P229" s="25">
        <v>1</v>
      </c>
      <c r="Q229" s="25">
        <v>1</v>
      </c>
      <c r="R229" s="1" t="str">
        <f t="shared" si="13"/>
        <v>50</v>
      </c>
      <c r="S229" s="1">
        <f>경동전체1!B229</f>
        <v>0</v>
      </c>
      <c r="T229" s="1" t="str">
        <f t="shared" si="14"/>
        <v>100</v>
      </c>
      <c r="U229" s="5" t="str">
        <f t="shared" si="15"/>
        <v>0</v>
      </c>
      <c r="V229" s="26">
        <v>0</v>
      </c>
      <c r="W229" s="26">
        <v>0</v>
      </c>
      <c r="X229" s="2" t="str">
        <f>SUBSTITUTE(SUBSTITUTE(SUBSTITUTE(SUBSTITUTE(SUBSTITUTE(SUBSTITUTE(SUBSTITUTE(SUBSTITUTE(SUBSTITUTE(SUBSTITUTE(SUBSTITUTE(SUBSTITUTE(SUBSTITUTE(경동전체1!D229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0" spans="1:24" ht="20.25" customHeight="1" x14ac:dyDescent="0.3">
      <c r="A230" s="2">
        <f>경동전체1!A230</f>
        <v>0</v>
      </c>
      <c r="B230" s="13" t="str">
        <f>SUBSTITUTE(SUBSTITUTE(SUBSTITUTE(SUBSTITUTE(SUBSTITUTE(SUBSTITUTE(SUBSTITUTE(SUBSTITUTE(SUBSTITUTE(SUBSTITUTE(SUBSTITUTE(SUBSTITUTE(SUBSTITUTE(경동전체1!K230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0" s="30">
        <f>경동전체1!E230</f>
        <v>0</v>
      </c>
      <c r="D230" s="23"/>
      <c r="E230" s="23"/>
      <c r="F230" s="4">
        <f>경동전체1!J230</f>
        <v>0</v>
      </c>
      <c r="G230" s="23"/>
      <c r="H230" s="2">
        <f>경동전체1!H230</f>
        <v>0</v>
      </c>
      <c r="I230" s="2" t="str">
        <f>경동전체1!I230&amp;""</f>
        <v/>
      </c>
      <c r="J230" s="2" t="s">
        <v>36</v>
      </c>
      <c r="K230" s="2" t="str">
        <f>IF(LEFT(경동전체1!G230,1)="","따사룸",경동전체1!G230)</f>
        <v>따사룸</v>
      </c>
      <c r="L230" s="4" t="str">
        <f t="shared" si="12"/>
        <v>1</v>
      </c>
      <c r="M230" s="1" t="str">
        <f>IF(LEFT(경동전체1!D230,1)="2","비닐",IF(LEFT(경동전체1!O230,1)="박","박스","비닐"))</f>
        <v>비닐</v>
      </c>
      <c r="N230" s="25">
        <v>1</v>
      </c>
      <c r="O230" s="25">
        <v>1</v>
      </c>
      <c r="P230" s="25">
        <v>1</v>
      </c>
      <c r="Q230" s="25">
        <v>1</v>
      </c>
      <c r="R230" s="1" t="str">
        <f t="shared" si="13"/>
        <v>50</v>
      </c>
      <c r="S230" s="1">
        <f>경동전체1!B230</f>
        <v>0</v>
      </c>
      <c r="T230" s="1" t="str">
        <f t="shared" si="14"/>
        <v>100</v>
      </c>
      <c r="U230" s="5" t="str">
        <f t="shared" si="15"/>
        <v>0</v>
      </c>
      <c r="V230" s="26">
        <v>0</v>
      </c>
      <c r="W230" s="26">
        <v>0</v>
      </c>
      <c r="X230" s="2" t="str">
        <f>SUBSTITUTE(SUBSTITUTE(SUBSTITUTE(SUBSTITUTE(SUBSTITUTE(SUBSTITUTE(SUBSTITUTE(SUBSTITUTE(SUBSTITUTE(SUBSTITUTE(SUBSTITUTE(SUBSTITUTE(SUBSTITUTE(경동전체1!D230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1" spans="1:24" ht="20.25" customHeight="1" x14ac:dyDescent="0.3">
      <c r="A231" s="2">
        <f>경동전체1!A231</f>
        <v>0</v>
      </c>
      <c r="B231" s="13" t="str">
        <f>SUBSTITUTE(SUBSTITUTE(SUBSTITUTE(SUBSTITUTE(SUBSTITUTE(SUBSTITUTE(SUBSTITUTE(SUBSTITUTE(SUBSTITUTE(SUBSTITUTE(SUBSTITUTE(SUBSTITUTE(SUBSTITUTE(경동전체1!K231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1" s="30">
        <f>경동전체1!E231</f>
        <v>0</v>
      </c>
      <c r="D231" s="23"/>
      <c r="E231" s="23"/>
      <c r="F231" s="4">
        <f>경동전체1!J231</f>
        <v>0</v>
      </c>
      <c r="G231" s="23"/>
      <c r="H231" s="2">
        <f>경동전체1!H231</f>
        <v>0</v>
      </c>
      <c r="I231" s="2" t="str">
        <f>경동전체1!I231&amp;""</f>
        <v/>
      </c>
      <c r="J231" s="2" t="s">
        <v>36</v>
      </c>
      <c r="K231" s="2" t="str">
        <f>IF(LEFT(경동전체1!G231,1)="","따사룸",경동전체1!G231)</f>
        <v>따사룸</v>
      </c>
      <c r="L231" s="4" t="str">
        <f t="shared" si="12"/>
        <v>1</v>
      </c>
      <c r="M231" s="1" t="str">
        <f>IF(LEFT(경동전체1!D231,1)="2","비닐",IF(LEFT(경동전체1!O231,1)="박","박스","비닐"))</f>
        <v>비닐</v>
      </c>
      <c r="N231" s="25">
        <v>1</v>
      </c>
      <c r="O231" s="25">
        <v>1</v>
      </c>
      <c r="P231" s="25">
        <v>1</v>
      </c>
      <c r="Q231" s="25">
        <v>1</v>
      </c>
      <c r="R231" s="1" t="str">
        <f t="shared" si="13"/>
        <v>50</v>
      </c>
      <c r="S231" s="1">
        <f>경동전체1!B231</f>
        <v>0</v>
      </c>
      <c r="T231" s="1" t="str">
        <f t="shared" si="14"/>
        <v>100</v>
      </c>
      <c r="U231" s="5" t="str">
        <f t="shared" si="15"/>
        <v>0</v>
      </c>
      <c r="V231" s="26">
        <v>0</v>
      </c>
      <c r="W231" s="26">
        <v>0</v>
      </c>
      <c r="X231" s="2" t="str">
        <f>SUBSTITUTE(SUBSTITUTE(SUBSTITUTE(SUBSTITUTE(SUBSTITUTE(SUBSTITUTE(SUBSTITUTE(SUBSTITUTE(SUBSTITUTE(SUBSTITUTE(SUBSTITUTE(SUBSTITUTE(SUBSTITUTE(경동전체1!D231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2" spans="1:24" ht="20.25" customHeight="1" x14ac:dyDescent="0.3">
      <c r="A232" s="2">
        <f>경동전체1!A232</f>
        <v>0</v>
      </c>
      <c r="B232" s="13" t="str">
        <f>SUBSTITUTE(SUBSTITUTE(SUBSTITUTE(SUBSTITUTE(SUBSTITUTE(SUBSTITUTE(SUBSTITUTE(SUBSTITUTE(SUBSTITUTE(SUBSTITUTE(SUBSTITUTE(SUBSTITUTE(SUBSTITUTE(경동전체1!K232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2" s="30">
        <f>경동전체1!E232</f>
        <v>0</v>
      </c>
      <c r="D232" s="23"/>
      <c r="E232" s="23"/>
      <c r="F232" s="4">
        <f>경동전체1!J232</f>
        <v>0</v>
      </c>
      <c r="G232" s="23"/>
      <c r="H232" s="2">
        <f>경동전체1!H232</f>
        <v>0</v>
      </c>
      <c r="I232" s="2" t="str">
        <f>경동전체1!I232&amp;""</f>
        <v/>
      </c>
      <c r="J232" s="2" t="s">
        <v>36</v>
      </c>
      <c r="K232" s="2" t="str">
        <f>IF(LEFT(경동전체1!G232,1)="","따사룸",경동전체1!G232)</f>
        <v>따사룸</v>
      </c>
      <c r="L232" s="4" t="str">
        <f t="shared" si="12"/>
        <v>1</v>
      </c>
      <c r="M232" s="1" t="str">
        <f>IF(LEFT(경동전체1!D232,1)="2","비닐",IF(LEFT(경동전체1!O232,1)="박","박스","비닐"))</f>
        <v>비닐</v>
      </c>
      <c r="N232" s="25">
        <v>1</v>
      </c>
      <c r="O232" s="25">
        <v>1</v>
      </c>
      <c r="P232" s="25">
        <v>1</v>
      </c>
      <c r="Q232" s="25">
        <v>1</v>
      </c>
      <c r="R232" s="1" t="str">
        <f t="shared" si="13"/>
        <v>50</v>
      </c>
      <c r="S232" s="1">
        <f>경동전체1!B232</f>
        <v>0</v>
      </c>
      <c r="T232" s="1" t="str">
        <f t="shared" si="14"/>
        <v>100</v>
      </c>
      <c r="U232" s="5" t="str">
        <f t="shared" si="15"/>
        <v>0</v>
      </c>
      <c r="V232" s="26">
        <v>0</v>
      </c>
      <c r="W232" s="26">
        <v>0</v>
      </c>
      <c r="X232" s="2" t="str">
        <f>SUBSTITUTE(SUBSTITUTE(SUBSTITUTE(SUBSTITUTE(SUBSTITUTE(SUBSTITUTE(SUBSTITUTE(SUBSTITUTE(SUBSTITUTE(SUBSTITUTE(SUBSTITUTE(SUBSTITUTE(SUBSTITUTE(경동전체1!D232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3" spans="1:24" ht="20.25" customHeight="1" x14ac:dyDescent="0.3">
      <c r="A233" s="2">
        <f>경동전체1!A233</f>
        <v>0</v>
      </c>
      <c r="B233" s="13" t="str">
        <f>SUBSTITUTE(SUBSTITUTE(SUBSTITUTE(SUBSTITUTE(SUBSTITUTE(SUBSTITUTE(SUBSTITUTE(SUBSTITUTE(SUBSTITUTE(SUBSTITUTE(SUBSTITUTE(SUBSTITUTE(SUBSTITUTE(경동전체1!K233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3" s="30">
        <f>경동전체1!E233</f>
        <v>0</v>
      </c>
      <c r="D233" s="23"/>
      <c r="E233" s="23"/>
      <c r="F233" s="4">
        <f>경동전체1!J233</f>
        <v>0</v>
      </c>
      <c r="G233" s="23"/>
      <c r="H233" s="2">
        <f>경동전체1!H233</f>
        <v>0</v>
      </c>
      <c r="I233" s="2" t="str">
        <f>경동전체1!I233&amp;""</f>
        <v/>
      </c>
      <c r="J233" s="2" t="s">
        <v>36</v>
      </c>
      <c r="K233" s="2" t="str">
        <f>IF(LEFT(경동전체1!G233,1)="","따사룸",경동전체1!G233)</f>
        <v>따사룸</v>
      </c>
      <c r="L233" s="4" t="str">
        <f t="shared" si="12"/>
        <v>1</v>
      </c>
      <c r="M233" s="1" t="str">
        <f>IF(LEFT(경동전체1!D233,1)="2","비닐",IF(LEFT(경동전체1!O233,1)="박","박스","비닐"))</f>
        <v>비닐</v>
      </c>
      <c r="N233" s="25">
        <v>1</v>
      </c>
      <c r="O233" s="25">
        <v>1</v>
      </c>
      <c r="P233" s="25">
        <v>1</v>
      </c>
      <c r="Q233" s="25">
        <v>1</v>
      </c>
      <c r="R233" s="1" t="str">
        <f t="shared" si="13"/>
        <v>50</v>
      </c>
      <c r="S233" s="1">
        <f>경동전체1!B233</f>
        <v>0</v>
      </c>
      <c r="T233" s="1" t="str">
        <f t="shared" si="14"/>
        <v>100</v>
      </c>
      <c r="U233" s="5" t="str">
        <f t="shared" si="15"/>
        <v>0</v>
      </c>
      <c r="V233" s="26">
        <v>0</v>
      </c>
      <c r="W233" s="26">
        <v>0</v>
      </c>
      <c r="X233" s="2" t="str">
        <f>SUBSTITUTE(SUBSTITUTE(SUBSTITUTE(SUBSTITUTE(SUBSTITUTE(SUBSTITUTE(SUBSTITUTE(SUBSTITUTE(SUBSTITUTE(SUBSTITUTE(SUBSTITUTE(SUBSTITUTE(SUBSTITUTE(경동전체1!D233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4" spans="1:24" ht="20.25" customHeight="1" x14ac:dyDescent="0.3">
      <c r="A234" s="2">
        <f>경동전체1!A234</f>
        <v>0</v>
      </c>
      <c r="B234" s="13" t="str">
        <f>SUBSTITUTE(SUBSTITUTE(SUBSTITUTE(SUBSTITUTE(SUBSTITUTE(SUBSTITUTE(SUBSTITUTE(SUBSTITUTE(SUBSTITUTE(SUBSTITUTE(SUBSTITUTE(SUBSTITUTE(SUBSTITUTE(경동전체1!K234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4" s="30">
        <f>경동전체1!E234</f>
        <v>0</v>
      </c>
      <c r="D234" s="23"/>
      <c r="E234" s="23"/>
      <c r="F234" s="4">
        <f>경동전체1!J234</f>
        <v>0</v>
      </c>
      <c r="G234" s="23"/>
      <c r="H234" s="2">
        <f>경동전체1!H234</f>
        <v>0</v>
      </c>
      <c r="I234" s="2" t="str">
        <f>경동전체1!I234&amp;""</f>
        <v/>
      </c>
      <c r="J234" s="2" t="s">
        <v>36</v>
      </c>
      <c r="K234" s="2" t="str">
        <f>IF(LEFT(경동전체1!G234,1)="","따사룸",경동전체1!G234)</f>
        <v>따사룸</v>
      </c>
      <c r="L234" s="4" t="str">
        <f t="shared" si="12"/>
        <v>1</v>
      </c>
      <c r="M234" s="1" t="str">
        <f>IF(LEFT(경동전체1!D234,1)="2","비닐",IF(LEFT(경동전체1!O234,1)="박","박스","비닐"))</f>
        <v>비닐</v>
      </c>
      <c r="N234" s="25">
        <v>1</v>
      </c>
      <c r="O234" s="25">
        <v>1</v>
      </c>
      <c r="P234" s="25">
        <v>1</v>
      </c>
      <c r="Q234" s="25">
        <v>1</v>
      </c>
      <c r="R234" s="1" t="str">
        <f t="shared" si="13"/>
        <v>50</v>
      </c>
      <c r="S234" s="1">
        <f>경동전체1!B234</f>
        <v>0</v>
      </c>
      <c r="T234" s="1" t="str">
        <f t="shared" si="14"/>
        <v>100</v>
      </c>
      <c r="U234" s="5" t="str">
        <f t="shared" si="15"/>
        <v>0</v>
      </c>
      <c r="V234" s="26">
        <v>0</v>
      </c>
      <c r="W234" s="26">
        <v>0</v>
      </c>
      <c r="X234" s="2" t="str">
        <f>SUBSTITUTE(SUBSTITUTE(SUBSTITUTE(SUBSTITUTE(SUBSTITUTE(SUBSTITUTE(SUBSTITUTE(SUBSTITUTE(SUBSTITUTE(SUBSTITUTE(SUBSTITUTE(SUBSTITUTE(SUBSTITUTE(경동전체1!D234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5" spans="1:24" ht="20.25" customHeight="1" x14ac:dyDescent="0.3">
      <c r="A235" s="2">
        <f>경동전체1!A235</f>
        <v>0</v>
      </c>
      <c r="B235" s="13" t="str">
        <f>SUBSTITUTE(SUBSTITUTE(SUBSTITUTE(SUBSTITUTE(SUBSTITUTE(SUBSTITUTE(SUBSTITUTE(SUBSTITUTE(SUBSTITUTE(SUBSTITUTE(SUBSTITUTE(SUBSTITUTE(SUBSTITUTE(경동전체1!K235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5" s="30">
        <f>경동전체1!E235</f>
        <v>0</v>
      </c>
      <c r="D235" s="23"/>
      <c r="E235" s="23"/>
      <c r="F235" s="4">
        <f>경동전체1!J235</f>
        <v>0</v>
      </c>
      <c r="G235" s="23"/>
      <c r="H235" s="2">
        <f>경동전체1!H235</f>
        <v>0</v>
      </c>
      <c r="I235" s="2" t="str">
        <f>경동전체1!I235&amp;""</f>
        <v/>
      </c>
      <c r="J235" s="2" t="s">
        <v>36</v>
      </c>
      <c r="K235" s="2" t="str">
        <f>IF(LEFT(경동전체1!G235,1)="","따사룸",경동전체1!G235)</f>
        <v>따사룸</v>
      </c>
      <c r="L235" s="4" t="str">
        <f t="shared" si="12"/>
        <v>1</v>
      </c>
      <c r="M235" s="1" t="str">
        <f>IF(LEFT(경동전체1!D235,1)="2","비닐",IF(LEFT(경동전체1!O235,1)="박","박스","비닐"))</f>
        <v>비닐</v>
      </c>
      <c r="N235" s="25">
        <v>1</v>
      </c>
      <c r="O235" s="25">
        <v>1</v>
      </c>
      <c r="P235" s="25">
        <v>1</v>
      </c>
      <c r="Q235" s="25">
        <v>1</v>
      </c>
      <c r="R235" s="1" t="str">
        <f t="shared" si="13"/>
        <v>50</v>
      </c>
      <c r="S235" s="1">
        <f>경동전체1!B235</f>
        <v>0</v>
      </c>
      <c r="T235" s="1" t="str">
        <f t="shared" si="14"/>
        <v>100</v>
      </c>
      <c r="U235" s="5" t="str">
        <f t="shared" si="15"/>
        <v>0</v>
      </c>
      <c r="V235" s="26">
        <v>0</v>
      </c>
      <c r="W235" s="26">
        <v>0</v>
      </c>
      <c r="X235" s="2" t="str">
        <f>SUBSTITUTE(SUBSTITUTE(SUBSTITUTE(SUBSTITUTE(SUBSTITUTE(SUBSTITUTE(SUBSTITUTE(SUBSTITUTE(SUBSTITUTE(SUBSTITUTE(SUBSTITUTE(SUBSTITUTE(SUBSTITUTE(경동전체1!D235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6" spans="1:24" ht="20.25" customHeight="1" x14ac:dyDescent="0.3">
      <c r="A236" s="2">
        <f>경동전체1!A236</f>
        <v>0</v>
      </c>
      <c r="B236" s="13" t="str">
        <f>SUBSTITUTE(SUBSTITUTE(SUBSTITUTE(SUBSTITUTE(SUBSTITUTE(SUBSTITUTE(SUBSTITUTE(SUBSTITUTE(SUBSTITUTE(SUBSTITUTE(SUBSTITUTE(SUBSTITUTE(SUBSTITUTE(경동전체1!K236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6" s="30">
        <f>경동전체1!E236</f>
        <v>0</v>
      </c>
      <c r="D236" s="23"/>
      <c r="E236" s="23"/>
      <c r="F236" s="4">
        <f>경동전체1!J236</f>
        <v>0</v>
      </c>
      <c r="G236" s="23"/>
      <c r="H236" s="2">
        <f>경동전체1!H236</f>
        <v>0</v>
      </c>
      <c r="I236" s="2" t="str">
        <f>경동전체1!I236&amp;""</f>
        <v/>
      </c>
      <c r="J236" s="2" t="s">
        <v>36</v>
      </c>
      <c r="K236" s="2" t="str">
        <f>IF(LEFT(경동전체1!G236,1)="","따사룸",경동전체1!G236)</f>
        <v>따사룸</v>
      </c>
      <c r="L236" s="4" t="str">
        <f t="shared" si="12"/>
        <v>1</v>
      </c>
      <c r="M236" s="1" t="str">
        <f>IF(LEFT(경동전체1!D236,1)="2","비닐",IF(LEFT(경동전체1!O236,1)="박","박스","비닐"))</f>
        <v>비닐</v>
      </c>
      <c r="N236" s="25">
        <v>1</v>
      </c>
      <c r="O236" s="25">
        <v>1</v>
      </c>
      <c r="P236" s="25">
        <v>1</v>
      </c>
      <c r="Q236" s="25">
        <v>1</v>
      </c>
      <c r="R236" s="1" t="str">
        <f t="shared" si="13"/>
        <v>50</v>
      </c>
      <c r="S236" s="1">
        <f>경동전체1!B236</f>
        <v>0</v>
      </c>
      <c r="T236" s="1" t="str">
        <f t="shared" si="14"/>
        <v>100</v>
      </c>
      <c r="U236" s="5" t="str">
        <f t="shared" si="15"/>
        <v>0</v>
      </c>
      <c r="V236" s="26">
        <v>0</v>
      </c>
      <c r="W236" s="26">
        <v>0</v>
      </c>
      <c r="X236" s="2" t="str">
        <f>SUBSTITUTE(SUBSTITUTE(SUBSTITUTE(SUBSTITUTE(SUBSTITUTE(SUBSTITUTE(SUBSTITUTE(SUBSTITUTE(SUBSTITUTE(SUBSTITUTE(SUBSTITUTE(SUBSTITUTE(SUBSTITUTE(경동전체1!D236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7" spans="1:24" ht="20.25" customHeight="1" x14ac:dyDescent="0.3">
      <c r="A237" s="2">
        <f>경동전체1!A237</f>
        <v>0</v>
      </c>
      <c r="B237" s="13" t="str">
        <f>SUBSTITUTE(SUBSTITUTE(SUBSTITUTE(SUBSTITUTE(SUBSTITUTE(SUBSTITUTE(SUBSTITUTE(SUBSTITUTE(SUBSTITUTE(SUBSTITUTE(SUBSTITUTE(SUBSTITUTE(SUBSTITUTE(경동전체1!K237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7" s="30">
        <f>경동전체1!E237</f>
        <v>0</v>
      </c>
      <c r="D237" s="23"/>
      <c r="E237" s="23"/>
      <c r="F237" s="4">
        <f>경동전체1!J237</f>
        <v>0</v>
      </c>
      <c r="G237" s="23"/>
      <c r="H237" s="2">
        <f>경동전체1!H237</f>
        <v>0</v>
      </c>
      <c r="I237" s="2" t="str">
        <f>경동전체1!I237&amp;""</f>
        <v/>
      </c>
      <c r="J237" s="2" t="s">
        <v>36</v>
      </c>
      <c r="K237" s="2" t="str">
        <f>IF(LEFT(경동전체1!G237,1)="","따사룸",경동전체1!G237)</f>
        <v>따사룸</v>
      </c>
      <c r="L237" s="4" t="str">
        <f t="shared" si="12"/>
        <v>1</v>
      </c>
      <c r="M237" s="1" t="str">
        <f>IF(LEFT(경동전체1!D237,1)="2","비닐",IF(LEFT(경동전체1!O237,1)="박","박스","비닐"))</f>
        <v>비닐</v>
      </c>
      <c r="N237" s="25">
        <v>1</v>
      </c>
      <c r="O237" s="25">
        <v>1</v>
      </c>
      <c r="P237" s="25">
        <v>1</v>
      </c>
      <c r="Q237" s="25">
        <v>1</v>
      </c>
      <c r="R237" s="1" t="str">
        <f t="shared" si="13"/>
        <v>50</v>
      </c>
      <c r="S237" s="1">
        <f>경동전체1!B237</f>
        <v>0</v>
      </c>
      <c r="T237" s="1" t="str">
        <f t="shared" si="14"/>
        <v>100</v>
      </c>
      <c r="U237" s="5" t="str">
        <f t="shared" si="15"/>
        <v>0</v>
      </c>
      <c r="V237" s="26">
        <v>0</v>
      </c>
      <c r="W237" s="26">
        <v>0</v>
      </c>
      <c r="X237" s="2" t="str">
        <f>SUBSTITUTE(SUBSTITUTE(SUBSTITUTE(SUBSTITUTE(SUBSTITUTE(SUBSTITUTE(SUBSTITUTE(SUBSTITUTE(SUBSTITUTE(SUBSTITUTE(SUBSTITUTE(SUBSTITUTE(SUBSTITUTE(경동전체1!D237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8" spans="1:24" ht="20.25" customHeight="1" x14ac:dyDescent="0.3">
      <c r="A238" s="2">
        <f>경동전체1!A238</f>
        <v>0</v>
      </c>
      <c r="B238" s="13" t="str">
        <f>SUBSTITUTE(SUBSTITUTE(SUBSTITUTE(SUBSTITUTE(SUBSTITUTE(SUBSTITUTE(SUBSTITUTE(SUBSTITUTE(SUBSTITUTE(SUBSTITUTE(SUBSTITUTE(SUBSTITUTE(SUBSTITUTE(경동전체1!K238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8" s="30">
        <f>경동전체1!E238</f>
        <v>0</v>
      </c>
      <c r="D238" s="23"/>
      <c r="E238" s="23"/>
      <c r="F238" s="4">
        <f>경동전체1!J238</f>
        <v>0</v>
      </c>
      <c r="G238" s="23"/>
      <c r="H238" s="2">
        <f>경동전체1!H238</f>
        <v>0</v>
      </c>
      <c r="I238" s="2" t="str">
        <f>경동전체1!I238&amp;""</f>
        <v/>
      </c>
      <c r="J238" s="2" t="s">
        <v>36</v>
      </c>
      <c r="K238" s="2" t="str">
        <f>IF(LEFT(경동전체1!G238,1)="","따사룸",경동전체1!G238)</f>
        <v>따사룸</v>
      </c>
      <c r="L238" s="4" t="str">
        <f t="shared" si="12"/>
        <v>1</v>
      </c>
      <c r="M238" s="1" t="str">
        <f>IF(LEFT(경동전체1!D238,1)="2","비닐",IF(LEFT(경동전체1!O238,1)="박","박스","비닐"))</f>
        <v>비닐</v>
      </c>
      <c r="N238" s="25">
        <v>1</v>
      </c>
      <c r="O238" s="25">
        <v>1</v>
      </c>
      <c r="P238" s="25">
        <v>1</v>
      </c>
      <c r="Q238" s="25">
        <v>1</v>
      </c>
      <c r="R238" s="1" t="str">
        <f t="shared" si="13"/>
        <v>50</v>
      </c>
      <c r="S238" s="1">
        <f>경동전체1!B238</f>
        <v>0</v>
      </c>
      <c r="T238" s="1" t="str">
        <f t="shared" si="14"/>
        <v>100</v>
      </c>
      <c r="U238" s="5" t="str">
        <f t="shared" si="15"/>
        <v>0</v>
      </c>
      <c r="V238" s="26">
        <v>0</v>
      </c>
      <c r="W238" s="26">
        <v>0</v>
      </c>
      <c r="X238" s="2" t="str">
        <f>SUBSTITUTE(SUBSTITUTE(SUBSTITUTE(SUBSTITUTE(SUBSTITUTE(SUBSTITUTE(SUBSTITUTE(SUBSTITUTE(SUBSTITUTE(SUBSTITUTE(SUBSTITUTE(SUBSTITUTE(SUBSTITUTE(경동전체1!D238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9" spans="1:24" ht="20.25" customHeight="1" x14ac:dyDescent="0.3">
      <c r="A239" s="2">
        <f>경동전체1!A239</f>
        <v>0</v>
      </c>
      <c r="B239" s="13" t="str">
        <f>SUBSTITUTE(SUBSTITUTE(SUBSTITUTE(SUBSTITUTE(SUBSTITUTE(SUBSTITUTE(SUBSTITUTE(SUBSTITUTE(SUBSTITUTE(SUBSTITUTE(SUBSTITUTE(SUBSTITUTE(SUBSTITUTE(경동전체1!K239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9" s="30">
        <f>경동전체1!E239</f>
        <v>0</v>
      </c>
      <c r="D239" s="23"/>
      <c r="E239" s="23"/>
      <c r="F239" s="4">
        <f>경동전체1!J239</f>
        <v>0</v>
      </c>
      <c r="G239" s="23"/>
      <c r="H239" s="2">
        <f>경동전체1!H239</f>
        <v>0</v>
      </c>
      <c r="I239" s="2" t="str">
        <f>경동전체1!I239&amp;""</f>
        <v/>
      </c>
      <c r="J239" s="2" t="s">
        <v>36</v>
      </c>
      <c r="K239" s="2" t="str">
        <f>IF(LEFT(경동전체1!G239,1)="","따사룸",경동전체1!G239)</f>
        <v>따사룸</v>
      </c>
      <c r="L239" s="4" t="str">
        <f t="shared" si="12"/>
        <v>1</v>
      </c>
      <c r="M239" s="1" t="str">
        <f>IF(LEFT(경동전체1!D239,1)="2","비닐",IF(LEFT(경동전체1!O239,1)="박","박스","비닐"))</f>
        <v>비닐</v>
      </c>
      <c r="N239" s="25">
        <v>1</v>
      </c>
      <c r="O239" s="25">
        <v>1</v>
      </c>
      <c r="P239" s="25">
        <v>1</v>
      </c>
      <c r="Q239" s="25">
        <v>1</v>
      </c>
      <c r="R239" s="1" t="str">
        <f t="shared" si="13"/>
        <v>50</v>
      </c>
      <c r="S239" s="1">
        <f>경동전체1!B239</f>
        <v>0</v>
      </c>
      <c r="T239" s="1" t="str">
        <f t="shared" si="14"/>
        <v>100</v>
      </c>
      <c r="U239" s="5" t="str">
        <f t="shared" si="15"/>
        <v>0</v>
      </c>
      <c r="V239" s="26">
        <v>0</v>
      </c>
      <c r="W239" s="26">
        <v>0</v>
      </c>
      <c r="X239" s="2" t="str">
        <f>SUBSTITUTE(SUBSTITUTE(SUBSTITUTE(SUBSTITUTE(SUBSTITUTE(SUBSTITUTE(SUBSTITUTE(SUBSTITUTE(SUBSTITUTE(SUBSTITUTE(SUBSTITUTE(SUBSTITUTE(SUBSTITUTE(경동전체1!D239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0" spans="1:24" ht="20.25" customHeight="1" x14ac:dyDescent="0.3">
      <c r="A240" s="2">
        <f>경동전체1!A240</f>
        <v>0</v>
      </c>
      <c r="B240" s="13" t="str">
        <f>SUBSTITUTE(SUBSTITUTE(SUBSTITUTE(SUBSTITUTE(SUBSTITUTE(SUBSTITUTE(SUBSTITUTE(SUBSTITUTE(SUBSTITUTE(SUBSTITUTE(SUBSTITUTE(SUBSTITUTE(SUBSTITUTE(경동전체1!K240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0" s="30">
        <f>경동전체1!E240</f>
        <v>0</v>
      </c>
      <c r="D240" s="23"/>
      <c r="E240" s="23"/>
      <c r="F240" s="4">
        <f>경동전체1!J240</f>
        <v>0</v>
      </c>
      <c r="G240" s="23"/>
      <c r="H240" s="2">
        <f>경동전체1!H240</f>
        <v>0</v>
      </c>
      <c r="I240" s="2" t="str">
        <f>경동전체1!I240&amp;""</f>
        <v/>
      </c>
      <c r="J240" s="2" t="s">
        <v>36</v>
      </c>
      <c r="K240" s="2" t="str">
        <f>IF(LEFT(경동전체1!G240,1)="","따사룸",경동전체1!G240)</f>
        <v>따사룸</v>
      </c>
      <c r="L240" s="4" t="str">
        <f t="shared" si="12"/>
        <v>1</v>
      </c>
      <c r="M240" s="1" t="str">
        <f>IF(LEFT(경동전체1!D240,1)="2","비닐",IF(LEFT(경동전체1!O240,1)="박","박스","비닐"))</f>
        <v>비닐</v>
      </c>
      <c r="N240" s="25">
        <v>1</v>
      </c>
      <c r="O240" s="25">
        <v>1</v>
      </c>
      <c r="P240" s="25">
        <v>1</v>
      </c>
      <c r="Q240" s="25">
        <v>1</v>
      </c>
      <c r="R240" s="1" t="str">
        <f t="shared" si="13"/>
        <v>50</v>
      </c>
      <c r="S240" s="1">
        <f>경동전체1!B240</f>
        <v>0</v>
      </c>
      <c r="T240" s="1" t="str">
        <f t="shared" si="14"/>
        <v>100</v>
      </c>
      <c r="U240" s="5" t="str">
        <f t="shared" si="15"/>
        <v>0</v>
      </c>
      <c r="V240" s="26">
        <v>0</v>
      </c>
      <c r="W240" s="26">
        <v>0</v>
      </c>
      <c r="X240" s="2" t="str">
        <f>SUBSTITUTE(SUBSTITUTE(SUBSTITUTE(SUBSTITUTE(SUBSTITUTE(SUBSTITUTE(SUBSTITUTE(SUBSTITUTE(SUBSTITUTE(SUBSTITUTE(SUBSTITUTE(SUBSTITUTE(SUBSTITUTE(경동전체1!D240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1" spans="1:24" ht="20.25" customHeight="1" x14ac:dyDescent="0.3">
      <c r="A241" s="2">
        <f>경동전체1!A241</f>
        <v>0</v>
      </c>
      <c r="B241" s="13" t="str">
        <f>SUBSTITUTE(SUBSTITUTE(SUBSTITUTE(SUBSTITUTE(SUBSTITUTE(SUBSTITUTE(SUBSTITUTE(SUBSTITUTE(SUBSTITUTE(SUBSTITUTE(SUBSTITUTE(SUBSTITUTE(SUBSTITUTE(경동전체1!K241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1" s="30">
        <f>경동전체1!E241</f>
        <v>0</v>
      </c>
      <c r="D241" s="23"/>
      <c r="E241" s="23"/>
      <c r="F241" s="4">
        <f>경동전체1!J241</f>
        <v>0</v>
      </c>
      <c r="G241" s="23"/>
      <c r="H241" s="2">
        <f>경동전체1!H241</f>
        <v>0</v>
      </c>
      <c r="I241" s="2" t="str">
        <f>경동전체1!I241&amp;""</f>
        <v/>
      </c>
      <c r="J241" s="2" t="s">
        <v>36</v>
      </c>
      <c r="K241" s="2" t="str">
        <f>IF(LEFT(경동전체1!G241,1)="","따사룸",경동전체1!G241)</f>
        <v>따사룸</v>
      </c>
      <c r="L241" s="4" t="str">
        <f t="shared" si="12"/>
        <v>1</v>
      </c>
      <c r="M241" s="1" t="str">
        <f>IF(LEFT(경동전체1!D241,1)="2","비닐",IF(LEFT(경동전체1!O241,1)="박","박스","비닐"))</f>
        <v>비닐</v>
      </c>
      <c r="N241" s="25">
        <v>1</v>
      </c>
      <c r="O241" s="25">
        <v>1</v>
      </c>
      <c r="P241" s="25">
        <v>1</v>
      </c>
      <c r="Q241" s="25">
        <v>1</v>
      </c>
      <c r="R241" s="1" t="str">
        <f t="shared" si="13"/>
        <v>50</v>
      </c>
      <c r="S241" s="1">
        <f>경동전체1!B241</f>
        <v>0</v>
      </c>
      <c r="T241" s="1" t="str">
        <f t="shared" si="14"/>
        <v>100</v>
      </c>
      <c r="U241" s="5" t="str">
        <f t="shared" si="15"/>
        <v>0</v>
      </c>
      <c r="V241" s="26">
        <v>0</v>
      </c>
      <c r="W241" s="26">
        <v>0</v>
      </c>
      <c r="X241" s="2" t="str">
        <f>SUBSTITUTE(SUBSTITUTE(SUBSTITUTE(SUBSTITUTE(SUBSTITUTE(SUBSTITUTE(SUBSTITUTE(SUBSTITUTE(SUBSTITUTE(SUBSTITUTE(SUBSTITUTE(SUBSTITUTE(SUBSTITUTE(경동전체1!D241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2" spans="1:24" ht="20.25" customHeight="1" x14ac:dyDescent="0.3">
      <c r="A242" s="2">
        <f>경동전체1!A242</f>
        <v>0</v>
      </c>
      <c r="B242" s="13" t="str">
        <f>SUBSTITUTE(SUBSTITUTE(SUBSTITUTE(SUBSTITUTE(SUBSTITUTE(SUBSTITUTE(SUBSTITUTE(SUBSTITUTE(SUBSTITUTE(SUBSTITUTE(SUBSTITUTE(SUBSTITUTE(SUBSTITUTE(경동전체1!K242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2" s="30">
        <f>경동전체1!E242</f>
        <v>0</v>
      </c>
      <c r="D242" s="23"/>
      <c r="E242" s="23"/>
      <c r="F242" s="4">
        <f>경동전체1!J242</f>
        <v>0</v>
      </c>
      <c r="G242" s="23"/>
      <c r="H242" s="2">
        <f>경동전체1!H242</f>
        <v>0</v>
      </c>
      <c r="I242" s="2" t="str">
        <f>경동전체1!I242&amp;""</f>
        <v/>
      </c>
      <c r="J242" s="2" t="s">
        <v>36</v>
      </c>
      <c r="K242" s="2" t="str">
        <f>IF(LEFT(경동전체1!G242,1)="","따사룸",경동전체1!G242)</f>
        <v>따사룸</v>
      </c>
      <c r="L242" s="4" t="str">
        <f t="shared" si="12"/>
        <v>1</v>
      </c>
      <c r="M242" s="1" t="str">
        <f>IF(LEFT(경동전체1!D242,1)="2","비닐",IF(LEFT(경동전체1!O242,1)="박","박스","비닐"))</f>
        <v>비닐</v>
      </c>
      <c r="N242" s="25">
        <v>1</v>
      </c>
      <c r="O242" s="25">
        <v>1</v>
      </c>
      <c r="P242" s="25">
        <v>1</v>
      </c>
      <c r="Q242" s="25">
        <v>1</v>
      </c>
      <c r="R242" s="1" t="str">
        <f t="shared" si="13"/>
        <v>50</v>
      </c>
      <c r="S242" s="1">
        <f>경동전체1!B242</f>
        <v>0</v>
      </c>
      <c r="T242" s="1" t="str">
        <f t="shared" si="14"/>
        <v>100</v>
      </c>
      <c r="U242" s="5" t="str">
        <f t="shared" si="15"/>
        <v>0</v>
      </c>
      <c r="V242" s="26">
        <v>0</v>
      </c>
      <c r="W242" s="26">
        <v>0</v>
      </c>
      <c r="X242" s="2" t="str">
        <f>SUBSTITUTE(SUBSTITUTE(SUBSTITUTE(SUBSTITUTE(SUBSTITUTE(SUBSTITUTE(SUBSTITUTE(SUBSTITUTE(SUBSTITUTE(SUBSTITUTE(SUBSTITUTE(SUBSTITUTE(SUBSTITUTE(경동전체1!D242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3" spans="1:24" ht="20.25" customHeight="1" x14ac:dyDescent="0.3">
      <c r="A243" s="2">
        <f>경동전체1!A243</f>
        <v>0</v>
      </c>
      <c r="B243" s="13" t="str">
        <f>SUBSTITUTE(SUBSTITUTE(SUBSTITUTE(SUBSTITUTE(SUBSTITUTE(SUBSTITUTE(SUBSTITUTE(SUBSTITUTE(SUBSTITUTE(SUBSTITUTE(SUBSTITUTE(SUBSTITUTE(SUBSTITUTE(경동전체1!K243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3" s="30">
        <f>경동전체1!E243</f>
        <v>0</v>
      </c>
      <c r="D243" s="23"/>
      <c r="E243" s="23"/>
      <c r="F243" s="4">
        <f>경동전체1!J243</f>
        <v>0</v>
      </c>
      <c r="G243" s="23"/>
      <c r="H243" s="2">
        <f>경동전체1!H243</f>
        <v>0</v>
      </c>
      <c r="I243" s="2" t="str">
        <f>경동전체1!I243&amp;""</f>
        <v/>
      </c>
      <c r="J243" s="2" t="s">
        <v>36</v>
      </c>
      <c r="K243" s="2" t="str">
        <f>IF(LEFT(경동전체1!G243,1)="","따사룸",경동전체1!G243)</f>
        <v>따사룸</v>
      </c>
      <c r="L243" s="4" t="str">
        <f t="shared" si="12"/>
        <v>1</v>
      </c>
      <c r="M243" s="1" t="str">
        <f>IF(LEFT(경동전체1!D243,1)="2","비닐",IF(LEFT(경동전체1!O243,1)="박","박스","비닐"))</f>
        <v>비닐</v>
      </c>
      <c r="N243" s="25">
        <v>1</v>
      </c>
      <c r="O243" s="25">
        <v>1</v>
      </c>
      <c r="P243" s="25">
        <v>1</v>
      </c>
      <c r="Q243" s="25">
        <v>1</v>
      </c>
      <c r="R243" s="1" t="str">
        <f t="shared" si="13"/>
        <v>50</v>
      </c>
      <c r="S243" s="1">
        <f>경동전체1!B243</f>
        <v>0</v>
      </c>
      <c r="T243" s="1" t="str">
        <f t="shared" si="14"/>
        <v>100</v>
      </c>
      <c r="U243" s="5" t="str">
        <f t="shared" si="15"/>
        <v>0</v>
      </c>
      <c r="V243" s="26">
        <v>0</v>
      </c>
      <c r="W243" s="26">
        <v>0</v>
      </c>
      <c r="X243" s="2" t="str">
        <f>SUBSTITUTE(SUBSTITUTE(SUBSTITUTE(SUBSTITUTE(SUBSTITUTE(SUBSTITUTE(SUBSTITUTE(SUBSTITUTE(SUBSTITUTE(SUBSTITUTE(SUBSTITUTE(SUBSTITUTE(SUBSTITUTE(경동전체1!D243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4" spans="1:24" ht="20.25" customHeight="1" x14ac:dyDescent="0.3">
      <c r="A244" s="2">
        <f>경동전체1!A244</f>
        <v>0</v>
      </c>
      <c r="B244" s="13" t="str">
        <f>SUBSTITUTE(SUBSTITUTE(SUBSTITUTE(SUBSTITUTE(SUBSTITUTE(SUBSTITUTE(SUBSTITUTE(SUBSTITUTE(SUBSTITUTE(SUBSTITUTE(SUBSTITUTE(SUBSTITUTE(SUBSTITUTE(경동전체1!K244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4" s="30">
        <f>경동전체1!E244</f>
        <v>0</v>
      </c>
      <c r="D244" s="23"/>
      <c r="E244" s="23"/>
      <c r="F244" s="4">
        <f>경동전체1!J244</f>
        <v>0</v>
      </c>
      <c r="G244" s="23"/>
      <c r="H244" s="2">
        <f>경동전체1!H244</f>
        <v>0</v>
      </c>
      <c r="I244" s="2" t="str">
        <f>경동전체1!I244&amp;""</f>
        <v/>
      </c>
      <c r="J244" s="2" t="s">
        <v>36</v>
      </c>
      <c r="K244" s="2" t="str">
        <f>IF(LEFT(경동전체1!G244,1)="","따사룸",경동전체1!G244)</f>
        <v>따사룸</v>
      </c>
      <c r="L244" s="4" t="str">
        <f t="shared" si="12"/>
        <v>1</v>
      </c>
      <c r="M244" s="1" t="str">
        <f>IF(LEFT(경동전체1!D244,1)="2","비닐",IF(LEFT(경동전체1!O244,1)="박","박스","비닐"))</f>
        <v>비닐</v>
      </c>
      <c r="N244" s="25">
        <v>1</v>
      </c>
      <c r="O244" s="25">
        <v>1</v>
      </c>
      <c r="P244" s="25">
        <v>1</v>
      </c>
      <c r="Q244" s="25">
        <v>1</v>
      </c>
      <c r="R244" s="1" t="str">
        <f t="shared" si="13"/>
        <v>50</v>
      </c>
      <c r="S244" s="1">
        <f>경동전체1!B244</f>
        <v>0</v>
      </c>
      <c r="T244" s="1" t="str">
        <f t="shared" si="14"/>
        <v>100</v>
      </c>
      <c r="U244" s="5" t="str">
        <f t="shared" si="15"/>
        <v>0</v>
      </c>
      <c r="V244" s="26">
        <v>0</v>
      </c>
      <c r="W244" s="26">
        <v>0</v>
      </c>
      <c r="X244" s="2" t="str">
        <f>SUBSTITUTE(SUBSTITUTE(SUBSTITUTE(SUBSTITUTE(SUBSTITUTE(SUBSTITUTE(SUBSTITUTE(SUBSTITUTE(SUBSTITUTE(SUBSTITUTE(SUBSTITUTE(SUBSTITUTE(SUBSTITUTE(경동전체1!D244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5" spans="1:24" ht="20.25" customHeight="1" x14ac:dyDescent="0.3">
      <c r="A245" s="2">
        <f>경동전체1!A245</f>
        <v>0</v>
      </c>
      <c r="B245" s="13" t="str">
        <f>SUBSTITUTE(SUBSTITUTE(SUBSTITUTE(SUBSTITUTE(SUBSTITUTE(SUBSTITUTE(SUBSTITUTE(SUBSTITUTE(SUBSTITUTE(SUBSTITUTE(SUBSTITUTE(SUBSTITUTE(SUBSTITUTE(경동전체1!K245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5" s="30">
        <f>경동전체1!E245</f>
        <v>0</v>
      </c>
      <c r="D245" s="23"/>
      <c r="E245" s="23"/>
      <c r="F245" s="4">
        <f>경동전체1!J245</f>
        <v>0</v>
      </c>
      <c r="G245" s="23"/>
      <c r="H245" s="2">
        <f>경동전체1!H245</f>
        <v>0</v>
      </c>
      <c r="I245" s="2" t="str">
        <f>경동전체1!I245&amp;""</f>
        <v/>
      </c>
      <c r="J245" s="2" t="s">
        <v>36</v>
      </c>
      <c r="K245" s="2" t="str">
        <f>IF(LEFT(경동전체1!G245,1)="","따사룸",경동전체1!G245)</f>
        <v>따사룸</v>
      </c>
      <c r="L245" s="4" t="str">
        <f t="shared" si="12"/>
        <v>1</v>
      </c>
      <c r="M245" s="1" t="str">
        <f>IF(LEFT(경동전체1!D245,1)="2","비닐",IF(LEFT(경동전체1!O245,1)="박","박스","비닐"))</f>
        <v>비닐</v>
      </c>
      <c r="N245" s="25">
        <v>1</v>
      </c>
      <c r="O245" s="25">
        <v>1</v>
      </c>
      <c r="P245" s="25">
        <v>1</v>
      </c>
      <c r="Q245" s="25">
        <v>1</v>
      </c>
      <c r="R245" s="1" t="str">
        <f t="shared" si="13"/>
        <v>50</v>
      </c>
      <c r="S245" s="1">
        <f>경동전체1!B245</f>
        <v>0</v>
      </c>
      <c r="T245" s="1" t="str">
        <f t="shared" si="14"/>
        <v>100</v>
      </c>
      <c r="U245" s="5" t="str">
        <f t="shared" si="15"/>
        <v>0</v>
      </c>
      <c r="V245" s="26">
        <v>0</v>
      </c>
      <c r="W245" s="26">
        <v>0</v>
      </c>
      <c r="X245" s="2" t="str">
        <f>SUBSTITUTE(SUBSTITUTE(SUBSTITUTE(SUBSTITUTE(SUBSTITUTE(SUBSTITUTE(SUBSTITUTE(SUBSTITUTE(SUBSTITUTE(SUBSTITUTE(SUBSTITUTE(SUBSTITUTE(SUBSTITUTE(경동전체1!D245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6" spans="1:24" ht="20.25" customHeight="1" x14ac:dyDescent="0.3">
      <c r="A246" s="2">
        <f>경동전체1!A246</f>
        <v>0</v>
      </c>
      <c r="B246" s="13" t="str">
        <f>SUBSTITUTE(SUBSTITUTE(SUBSTITUTE(SUBSTITUTE(SUBSTITUTE(SUBSTITUTE(SUBSTITUTE(SUBSTITUTE(SUBSTITUTE(SUBSTITUTE(SUBSTITUTE(SUBSTITUTE(SUBSTITUTE(경동전체1!K246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6" s="30">
        <f>경동전체1!E246</f>
        <v>0</v>
      </c>
      <c r="D246" s="23"/>
      <c r="E246" s="23"/>
      <c r="F246" s="4">
        <f>경동전체1!J246</f>
        <v>0</v>
      </c>
      <c r="G246" s="23"/>
      <c r="H246" s="2">
        <f>경동전체1!H246</f>
        <v>0</v>
      </c>
      <c r="I246" s="2" t="str">
        <f>경동전체1!I246&amp;""</f>
        <v/>
      </c>
      <c r="J246" s="2" t="s">
        <v>36</v>
      </c>
      <c r="K246" s="2" t="str">
        <f>IF(LEFT(경동전체1!G246,1)="","따사룸",경동전체1!G246)</f>
        <v>따사룸</v>
      </c>
      <c r="L246" s="4" t="str">
        <f t="shared" si="12"/>
        <v>1</v>
      </c>
      <c r="M246" s="1" t="str">
        <f>IF(LEFT(경동전체1!D246,1)="2","비닐",IF(LEFT(경동전체1!O246,1)="박","박스","비닐"))</f>
        <v>비닐</v>
      </c>
      <c r="N246" s="25">
        <v>1</v>
      </c>
      <c r="O246" s="25">
        <v>1</v>
      </c>
      <c r="P246" s="25">
        <v>1</v>
      </c>
      <c r="Q246" s="25">
        <v>1</v>
      </c>
      <c r="R246" s="1" t="str">
        <f t="shared" si="13"/>
        <v>50</v>
      </c>
      <c r="S246" s="1">
        <f>경동전체1!B246</f>
        <v>0</v>
      </c>
      <c r="T246" s="1" t="str">
        <f t="shared" si="14"/>
        <v>100</v>
      </c>
      <c r="U246" s="5" t="str">
        <f t="shared" si="15"/>
        <v>0</v>
      </c>
      <c r="V246" s="26">
        <v>0</v>
      </c>
      <c r="W246" s="26">
        <v>0</v>
      </c>
      <c r="X246" s="2" t="str">
        <f>SUBSTITUTE(SUBSTITUTE(SUBSTITUTE(SUBSTITUTE(SUBSTITUTE(SUBSTITUTE(SUBSTITUTE(SUBSTITUTE(SUBSTITUTE(SUBSTITUTE(SUBSTITUTE(SUBSTITUTE(SUBSTITUTE(경동전체1!D246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7" spans="1:24" ht="20.25" customHeight="1" x14ac:dyDescent="0.3">
      <c r="A247" s="2">
        <f>경동전체1!A247</f>
        <v>0</v>
      </c>
      <c r="B247" s="13" t="str">
        <f>SUBSTITUTE(SUBSTITUTE(SUBSTITUTE(SUBSTITUTE(SUBSTITUTE(SUBSTITUTE(SUBSTITUTE(SUBSTITUTE(SUBSTITUTE(SUBSTITUTE(SUBSTITUTE(SUBSTITUTE(SUBSTITUTE(경동전체1!K247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7" s="30">
        <f>경동전체1!E247</f>
        <v>0</v>
      </c>
      <c r="D247" s="23"/>
      <c r="E247" s="23"/>
      <c r="F247" s="4">
        <f>경동전체1!J247</f>
        <v>0</v>
      </c>
      <c r="G247" s="23"/>
      <c r="H247" s="2">
        <f>경동전체1!H247</f>
        <v>0</v>
      </c>
      <c r="I247" s="2" t="str">
        <f>경동전체1!I247&amp;""</f>
        <v/>
      </c>
      <c r="J247" s="2" t="s">
        <v>36</v>
      </c>
      <c r="K247" s="2" t="str">
        <f>IF(LEFT(경동전체1!G247,1)="","따사룸",경동전체1!G247)</f>
        <v>따사룸</v>
      </c>
      <c r="L247" s="4" t="str">
        <f t="shared" si="12"/>
        <v>1</v>
      </c>
      <c r="M247" s="1" t="str">
        <f>IF(LEFT(경동전체1!D247,1)="2","비닐",IF(LEFT(경동전체1!O247,1)="박","박스","비닐"))</f>
        <v>비닐</v>
      </c>
      <c r="N247" s="25">
        <v>1</v>
      </c>
      <c r="O247" s="25">
        <v>1</v>
      </c>
      <c r="P247" s="25">
        <v>1</v>
      </c>
      <c r="Q247" s="25">
        <v>1</v>
      </c>
      <c r="R247" s="1" t="str">
        <f t="shared" si="13"/>
        <v>50</v>
      </c>
      <c r="S247" s="1">
        <f>경동전체1!B247</f>
        <v>0</v>
      </c>
      <c r="T247" s="1" t="str">
        <f t="shared" si="14"/>
        <v>100</v>
      </c>
      <c r="U247" s="5" t="str">
        <f t="shared" si="15"/>
        <v>0</v>
      </c>
      <c r="V247" s="26">
        <v>0</v>
      </c>
      <c r="W247" s="26">
        <v>0</v>
      </c>
      <c r="X247" s="2" t="str">
        <f>SUBSTITUTE(SUBSTITUTE(SUBSTITUTE(SUBSTITUTE(SUBSTITUTE(SUBSTITUTE(SUBSTITUTE(SUBSTITUTE(SUBSTITUTE(SUBSTITUTE(SUBSTITUTE(SUBSTITUTE(SUBSTITUTE(경동전체1!D247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8" spans="1:24" ht="20.25" customHeight="1" x14ac:dyDescent="0.3">
      <c r="A248" s="2">
        <f>경동전체1!A248</f>
        <v>0</v>
      </c>
      <c r="B248" s="13" t="str">
        <f>SUBSTITUTE(SUBSTITUTE(SUBSTITUTE(SUBSTITUTE(SUBSTITUTE(SUBSTITUTE(SUBSTITUTE(SUBSTITUTE(SUBSTITUTE(SUBSTITUTE(SUBSTITUTE(SUBSTITUTE(SUBSTITUTE(경동전체1!K248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8" s="30">
        <f>경동전체1!E248</f>
        <v>0</v>
      </c>
      <c r="D248" s="23"/>
      <c r="E248" s="23"/>
      <c r="F248" s="4">
        <f>경동전체1!J248</f>
        <v>0</v>
      </c>
      <c r="G248" s="23"/>
      <c r="H248" s="2">
        <f>경동전체1!H248</f>
        <v>0</v>
      </c>
      <c r="I248" s="2" t="str">
        <f>경동전체1!I248&amp;""</f>
        <v/>
      </c>
      <c r="J248" s="2" t="s">
        <v>36</v>
      </c>
      <c r="K248" s="2" t="str">
        <f>IF(LEFT(경동전체1!G248,1)="","따사룸",경동전체1!G248)</f>
        <v>따사룸</v>
      </c>
      <c r="L248" s="4" t="str">
        <f t="shared" si="12"/>
        <v>1</v>
      </c>
      <c r="M248" s="1" t="str">
        <f>IF(LEFT(경동전체1!D248,1)="2","비닐",IF(LEFT(경동전체1!O248,1)="박","박스","비닐"))</f>
        <v>비닐</v>
      </c>
      <c r="N248" s="25">
        <v>1</v>
      </c>
      <c r="O248" s="25">
        <v>1</v>
      </c>
      <c r="P248" s="25">
        <v>1</v>
      </c>
      <c r="Q248" s="25">
        <v>1</v>
      </c>
      <c r="R248" s="1" t="str">
        <f t="shared" si="13"/>
        <v>50</v>
      </c>
      <c r="S248" s="1">
        <f>경동전체1!B248</f>
        <v>0</v>
      </c>
      <c r="T248" s="1" t="str">
        <f t="shared" si="14"/>
        <v>100</v>
      </c>
      <c r="U248" s="5" t="str">
        <f t="shared" si="15"/>
        <v>0</v>
      </c>
      <c r="V248" s="26">
        <v>0</v>
      </c>
      <c r="W248" s="26">
        <v>0</v>
      </c>
      <c r="X248" s="2" t="str">
        <f>SUBSTITUTE(SUBSTITUTE(SUBSTITUTE(SUBSTITUTE(SUBSTITUTE(SUBSTITUTE(SUBSTITUTE(SUBSTITUTE(SUBSTITUTE(SUBSTITUTE(SUBSTITUTE(SUBSTITUTE(SUBSTITUTE(경동전체1!D248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9" spans="1:24" ht="20.25" customHeight="1" x14ac:dyDescent="0.3">
      <c r="A249" s="2">
        <f>경동전체1!A249</f>
        <v>0</v>
      </c>
      <c r="B249" s="13" t="str">
        <f>SUBSTITUTE(SUBSTITUTE(SUBSTITUTE(SUBSTITUTE(SUBSTITUTE(SUBSTITUTE(SUBSTITUTE(SUBSTITUTE(SUBSTITUTE(SUBSTITUTE(SUBSTITUTE(SUBSTITUTE(SUBSTITUTE(경동전체1!K249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9" s="30">
        <f>경동전체1!E249</f>
        <v>0</v>
      </c>
      <c r="D249" s="23"/>
      <c r="E249" s="23"/>
      <c r="F249" s="4">
        <f>경동전체1!J249</f>
        <v>0</v>
      </c>
      <c r="G249" s="23"/>
      <c r="H249" s="2">
        <f>경동전체1!H249</f>
        <v>0</v>
      </c>
      <c r="I249" s="2" t="str">
        <f>경동전체1!I249&amp;""</f>
        <v/>
      </c>
      <c r="J249" s="2" t="s">
        <v>36</v>
      </c>
      <c r="K249" s="2" t="str">
        <f>IF(LEFT(경동전체1!G249,1)="","따사룸",경동전체1!G249)</f>
        <v>따사룸</v>
      </c>
      <c r="L249" s="4" t="str">
        <f t="shared" si="12"/>
        <v>1</v>
      </c>
      <c r="M249" s="1" t="str">
        <f>IF(LEFT(경동전체1!D249,1)="2","비닐",IF(LEFT(경동전체1!O249,1)="박","박스","비닐"))</f>
        <v>비닐</v>
      </c>
      <c r="N249" s="25">
        <v>1</v>
      </c>
      <c r="O249" s="25">
        <v>1</v>
      </c>
      <c r="P249" s="25">
        <v>1</v>
      </c>
      <c r="Q249" s="25">
        <v>1</v>
      </c>
      <c r="R249" s="1" t="str">
        <f t="shared" si="13"/>
        <v>50</v>
      </c>
      <c r="S249" s="1">
        <f>경동전체1!B249</f>
        <v>0</v>
      </c>
      <c r="T249" s="1" t="str">
        <f t="shared" si="14"/>
        <v>100</v>
      </c>
      <c r="U249" s="5" t="str">
        <f t="shared" si="15"/>
        <v>0</v>
      </c>
      <c r="V249" s="26">
        <v>0</v>
      </c>
      <c r="W249" s="26">
        <v>0</v>
      </c>
      <c r="X249" s="2" t="str">
        <f>SUBSTITUTE(SUBSTITUTE(SUBSTITUTE(SUBSTITUTE(SUBSTITUTE(SUBSTITUTE(SUBSTITUTE(SUBSTITUTE(SUBSTITUTE(SUBSTITUTE(SUBSTITUTE(SUBSTITUTE(SUBSTITUTE(경동전체1!D249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0" spans="1:24" ht="20.25" customHeight="1" x14ac:dyDescent="0.3">
      <c r="A250" s="2">
        <f>경동전체1!A250</f>
        <v>0</v>
      </c>
      <c r="B250" s="13" t="str">
        <f>SUBSTITUTE(SUBSTITUTE(SUBSTITUTE(SUBSTITUTE(SUBSTITUTE(SUBSTITUTE(SUBSTITUTE(SUBSTITUTE(SUBSTITUTE(SUBSTITUTE(SUBSTITUTE(SUBSTITUTE(SUBSTITUTE(경동전체1!K250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0" s="30">
        <f>경동전체1!E250</f>
        <v>0</v>
      </c>
      <c r="D250" s="23"/>
      <c r="E250" s="23"/>
      <c r="F250" s="4">
        <f>경동전체1!J250</f>
        <v>0</v>
      </c>
      <c r="G250" s="23"/>
      <c r="H250" s="2">
        <f>경동전체1!H250</f>
        <v>0</v>
      </c>
      <c r="I250" s="2" t="str">
        <f>경동전체1!I250&amp;""</f>
        <v/>
      </c>
      <c r="J250" s="2" t="s">
        <v>36</v>
      </c>
      <c r="K250" s="2" t="str">
        <f>IF(LEFT(경동전체1!G250,1)="","따사룸",경동전체1!G250)</f>
        <v>따사룸</v>
      </c>
      <c r="L250" s="4" t="str">
        <f t="shared" si="12"/>
        <v>1</v>
      </c>
      <c r="M250" s="1" t="str">
        <f>IF(LEFT(경동전체1!D250,1)="2","비닐",IF(LEFT(경동전체1!O250,1)="박","박스","비닐"))</f>
        <v>비닐</v>
      </c>
      <c r="N250" s="25">
        <v>1</v>
      </c>
      <c r="O250" s="25">
        <v>1</v>
      </c>
      <c r="P250" s="25">
        <v>1</v>
      </c>
      <c r="Q250" s="25">
        <v>1</v>
      </c>
      <c r="R250" s="1" t="str">
        <f t="shared" si="13"/>
        <v>50</v>
      </c>
      <c r="S250" s="1">
        <f>경동전체1!B250</f>
        <v>0</v>
      </c>
      <c r="T250" s="1" t="str">
        <f t="shared" si="14"/>
        <v>100</v>
      </c>
      <c r="U250" s="5" t="str">
        <f t="shared" si="15"/>
        <v>0</v>
      </c>
      <c r="V250" s="26">
        <v>0</v>
      </c>
      <c r="W250" s="26">
        <v>0</v>
      </c>
      <c r="X250" s="2" t="str">
        <f>SUBSTITUTE(SUBSTITUTE(SUBSTITUTE(SUBSTITUTE(SUBSTITUTE(SUBSTITUTE(SUBSTITUTE(SUBSTITUTE(SUBSTITUTE(SUBSTITUTE(SUBSTITUTE(SUBSTITUTE(SUBSTITUTE(경동전체1!D250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1" spans="1:24" ht="20.25" customHeight="1" x14ac:dyDescent="0.3">
      <c r="A251" s="2">
        <f>경동전체1!A251</f>
        <v>0</v>
      </c>
      <c r="B251" s="13" t="str">
        <f>SUBSTITUTE(SUBSTITUTE(SUBSTITUTE(SUBSTITUTE(SUBSTITUTE(SUBSTITUTE(SUBSTITUTE(SUBSTITUTE(SUBSTITUTE(SUBSTITUTE(SUBSTITUTE(SUBSTITUTE(SUBSTITUTE(경동전체1!K251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1" s="30">
        <f>경동전체1!E251</f>
        <v>0</v>
      </c>
      <c r="D251" s="23"/>
      <c r="E251" s="23"/>
      <c r="F251" s="4">
        <f>경동전체1!J251</f>
        <v>0</v>
      </c>
      <c r="G251" s="23"/>
      <c r="H251" s="2">
        <f>경동전체1!H251</f>
        <v>0</v>
      </c>
      <c r="I251" s="2" t="str">
        <f>경동전체1!I251&amp;""</f>
        <v/>
      </c>
      <c r="J251" s="2" t="s">
        <v>36</v>
      </c>
      <c r="K251" s="2" t="str">
        <f>IF(LEFT(경동전체1!G251,1)="","따사룸",경동전체1!G251)</f>
        <v>따사룸</v>
      </c>
      <c r="L251" s="4" t="str">
        <f t="shared" si="12"/>
        <v>1</v>
      </c>
      <c r="M251" s="1" t="str">
        <f>IF(LEFT(경동전체1!D251,1)="2","비닐",IF(LEFT(경동전체1!O251,1)="박","박스","비닐"))</f>
        <v>비닐</v>
      </c>
      <c r="N251" s="25">
        <v>1</v>
      </c>
      <c r="O251" s="25">
        <v>1</v>
      </c>
      <c r="P251" s="25">
        <v>1</v>
      </c>
      <c r="Q251" s="25">
        <v>1</v>
      </c>
      <c r="R251" s="1" t="str">
        <f t="shared" si="13"/>
        <v>50</v>
      </c>
      <c r="S251" s="1">
        <f>경동전체1!B251</f>
        <v>0</v>
      </c>
      <c r="T251" s="1" t="str">
        <f t="shared" si="14"/>
        <v>100</v>
      </c>
      <c r="U251" s="5" t="str">
        <f t="shared" si="15"/>
        <v>0</v>
      </c>
      <c r="V251" s="26">
        <v>0</v>
      </c>
      <c r="W251" s="26">
        <v>0</v>
      </c>
      <c r="X251" s="2" t="str">
        <f>SUBSTITUTE(SUBSTITUTE(SUBSTITUTE(SUBSTITUTE(SUBSTITUTE(SUBSTITUTE(SUBSTITUTE(SUBSTITUTE(SUBSTITUTE(SUBSTITUTE(SUBSTITUTE(SUBSTITUTE(SUBSTITUTE(경동전체1!D251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2" spans="1:24" ht="20.25" customHeight="1" x14ac:dyDescent="0.3">
      <c r="A252" s="2">
        <f>경동전체1!A252</f>
        <v>0</v>
      </c>
      <c r="B252" s="13" t="str">
        <f>SUBSTITUTE(SUBSTITUTE(SUBSTITUTE(SUBSTITUTE(SUBSTITUTE(SUBSTITUTE(SUBSTITUTE(SUBSTITUTE(SUBSTITUTE(SUBSTITUTE(SUBSTITUTE(SUBSTITUTE(SUBSTITUTE(경동전체1!K252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2" s="30">
        <f>경동전체1!E252</f>
        <v>0</v>
      </c>
      <c r="D252" s="23"/>
      <c r="E252" s="23"/>
      <c r="F252" s="4">
        <f>경동전체1!J252</f>
        <v>0</v>
      </c>
      <c r="G252" s="23"/>
      <c r="H252" s="2">
        <f>경동전체1!H252</f>
        <v>0</v>
      </c>
      <c r="I252" s="2" t="str">
        <f>경동전체1!I252&amp;""</f>
        <v/>
      </c>
      <c r="J252" s="2" t="s">
        <v>36</v>
      </c>
      <c r="K252" s="2" t="str">
        <f>IF(LEFT(경동전체1!G252,1)="","따사룸",경동전체1!G252)</f>
        <v>따사룸</v>
      </c>
      <c r="L252" s="4" t="str">
        <f t="shared" si="12"/>
        <v>1</v>
      </c>
      <c r="M252" s="1" t="str">
        <f>IF(LEFT(경동전체1!D252,1)="2","비닐",IF(LEFT(경동전체1!O252,1)="박","박스","비닐"))</f>
        <v>비닐</v>
      </c>
      <c r="N252" s="25">
        <v>1</v>
      </c>
      <c r="O252" s="25">
        <v>1</v>
      </c>
      <c r="P252" s="25">
        <v>1</v>
      </c>
      <c r="Q252" s="25">
        <v>1</v>
      </c>
      <c r="R252" s="1" t="str">
        <f t="shared" si="13"/>
        <v>50</v>
      </c>
      <c r="S252" s="1">
        <f>경동전체1!B252</f>
        <v>0</v>
      </c>
      <c r="T252" s="1" t="str">
        <f t="shared" si="14"/>
        <v>100</v>
      </c>
      <c r="U252" s="5" t="str">
        <f t="shared" si="15"/>
        <v>0</v>
      </c>
      <c r="V252" s="26">
        <v>0</v>
      </c>
      <c r="W252" s="26">
        <v>0</v>
      </c>
      <c r="X252" s="2" t="str">
        <f>SUBSTITUTE(SUBSTITUTE(SUBSTITUTE(SUBSTITUTE(SUBSTITUTE(SUBSTITUTE(SUBSTITUTE(SUBSTITUTE(SUBSTITUTE(SUBSTITUTE(SUBSTITUTE(SUBSTITUTE(SUBSTITUTE(경동전체1!D252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3" spans="1:24" ht="20.25" customHeight="1" x14ac:dyDescent="0.3">
      <c r="A253" s="2">
        <f>경동전체1!A253</f>
        <v>0</v>
      </c>
      <c r="B253" s="13" t="str">
        <f>SUBSTITUTE(SUBSTITUTE(SUBSTITUTE(SUBSTITUTE(SUBSTITUTE(SUBSTITUTE(SUBSTITUTE(SUBSTITUTE(SUBSTITUTE(SUBSTITUTE(SUBSTITUTE(SUBSTITUTE(SUBSTITUTE(경동전체1!K253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3" s="30">
        <f>경동전체1!E253</f>
        <v>0</v>
      </c>
      <c r="D253" s="23"/>
      <c r="E253" s="23"/>
      <c r="F253" s="4">
        <f>경동전체1!J253</f>
        <v>0</v>
      </c>
      <c r="G253" s="23"/>
      <c r="H253" s="2">
        <f>경동전체1!H253</f>
        <v>0</v>
      </c>
      <c r="I253" s="2" t="str">
        <f>경동전체1!I253&amp;""</f>
        <v/>
      </c>
      <c r="J253" s="2" t="s">
        <v>36</v>
      </c>
      <c r="K253" s="2" t="str">
        <f>IF(LEFT(경동전체1!G253,1)="","따사룸",경동전체1!G253)</f>
        <v>따사룸</v>
      </c>
      <c r="L253" s="4" t="str">
        <f t="shared" si="12"/>
        <v>1</v>
      </c>
      <c r="M253" s="1" t="str">
        <f>IF(LEFT(경동전체1!D253,1)="2","비닐",IF(LEFT(경동전체1!O253,1)="박","박스","비닐"))</f>
        <v>비닐</v>
      </c>
      <c r="N253" s="25">
        <v>1</v>
      </c>
      <c r="O253" s="25">
        <v>1</v>
      </c>
      <c r="P253" s="25">
        <v>1</v>
      </c>
      <c r="Q253" s="25">
        <v>1</v>
      </c>
      <c r="R253" s="1" t="str">
        <f t="shared" si="13"/>
        <v>50</v>
      </c>
      <c r="S253" s="1">
        <f>경동전체1!B253</f>
        <v>0</v>
      </c>
      <c r="T253" s="1" t="str">
        <f t="shared" si="14"/>
        <v>100</v>
      </c>
      <c r="U253" s="5" t="str">
        <f t="shared" si="15"/>
        <v>0</v>
      </c>
      <c r="V253" s="26">
        <v>0</v>
      </c>
      <c r="W253" s="26">
        <v>0</v>
      </c>
      <c r="X253" s="2" t="str">
        <f>SUBSTITUTE(SUBSTITUTE(SUBSTITUTE(SUBSTITUTE(SUBSTITUTE(SUBSTITUTE(SUBSTITUTE(SUBSTITUTE(SUBSTITUTE(SUBSTITUTE(SUBSTITUTE(SUBSTITUTE(SUBSTITUTE(경동전체1!D253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4" spans="1:24" ht="20.25" customHeight="1" x14ac:dyDescent="0.3">
      <c r="A254" s="2">
        <f>경동전체1!A254</f>
        <v>0</v>
      </c>
      <c r="B254" s="13" t="str">
        <f>SUBSTITUTE(SUBSTITUTE(SUBSTITUTE(SUBSTITUTE(SUBSTITUTE(SUBSTITUTE(SUBSTITUTE(SUBSTITUTE(SUBSTITUTE(SUBSTITUTE(SUBSTITUTE(SUBSTITUTE(SUBSTITUTE(경동전체1!K254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4" s="30">
        <f>경동전체1!E254</f>
        <v>0</v>
      </c>
      <c r="D254" s="23"/>
      <c r="E254" s="23"/>
      <c r="F254" s="4">
        <f>경동전체1!J254</f>
        <v>0</v>
      </c>
      <c r="G254" s="23"/>
      <c r="H254" s="2">
        <f>경동전체1!H254</f>
        <v>0</v>
      </c>
      <c r="I254" s="2" t="str">
        <f>경동전체1!I254&amp;""</f>
        <v/>
      </c>
      <c r="J254" s="2" t="s">
        <v>36</v>
      </c>
      <c r="K254" s="2" t="str">
        <f>IF(LEFT(경동전체1!G254,1)="","따사룸",경동전체1!G254)</f>
        <v>따사룸</v>
      </c>
      <c r="L254" s="4" t="str">
        <f t="shared" si="12"/>
        <v>1</v>
      </c>
      <c r="M254" s="1" t="str">
        <f>IF(LEFT(경동전체1!D254,1)="2","비닐",IF(LEFT(경동전체1!O254,1)="박","박스","비닐"))</f>
        <v>비닐</v>
      </c>
      <c r="N254" s="25">
        <v>1</v>
      </c>
      <c r="O254" s="25">
        <v>1</v>
      </c>
      <c r="P254" s="25">
        <v>1</v>
      </c>
      <c r="Q254" s="25">
        <v>1</v>
      </c>
      <c r="R254" s="1" t="str">
        <f t="shared" si="13"/>
        <v>50</v>
      </c>
      <c r="S254" s="1">
        <f>경동전체1!B254</f>
        <v>0</v>
      </c>
      <c r="T254" s="1" t="str">
        <f t="shared" si="14"/>
        <v>100</v>
      </c>
      <c r="U254" s="5" t="str">
        <f t="shared" si="15"/>
        <v>0</v>
      </c>
      <c r="V254" s="26">
        <v>0</v>
      </c>
      <c r="W254" s="26">
        <v>0</v>
      </c>
      <c r="X254" s="2" t="str">
        <f>SUBSTITUTE(SUBSTITUTE(SUBSTITUTE(SUBSTITUTE(SUBSTITUTE(SUBSTITUTE(SUBSTITUTE(SUBSTITUTE(SUBSTITUTE(SUBSTITUTE(SUBSTITUTE(SUBSTITUTE(SUBSTITUTE(경동전체1!D254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5" spans="1:24" ht="20.25" customHeight="1" x14ac:dyDescent="0.3">
      <c r="A255" s="2">
        <f>경동전체1!A255</f>
        <v>0</v>
      </c>
      <c r="B255" s="13" t="str">
        <f>SUBSTITUTE(SUBSTITUTE(SUBSTITUTE(SUBSTITUTE(SUBSTITUTE(SUBSTITUTE(SUBSTITUTE(SUBSTITUTE(SUBSTITUTE(SUBSTITUTE(SUBSTITUTE(SUBSTITUTE(SUBSTITUTE(경동전체1!K255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5" s="30">
        <f>경동전체1!E255</f>
        <v>0</v>
      </c>
      <c r="D255" s="23"/>
      <c r="E255" s="23"/>
      <c r="F255" s="4">
        <f>경동전체1!J255</f>
        <v>0</v>
      </c>
      <c r="G255" s="23"/>
      <c r="H255" s="2">
        <f>경동전체1!H255</f>
        <v>0</v>
      </c>
      <c r="I255" s="2" t="str">
        <f>경동전체1!I255&amp;""</f>
        <v/>
      </c>
      <c r="J255" s="2" t="s">
        <v>36</v>
      </c>
      <c r="K255" s="2" t="str">
        <f>IF(LEFT(경동전체1!G255,1)="","따사룸",경동전체1!G255)</f>
        <v>따사룸</v>
      </c>
      <c r="L255" s="4" t="str">
        <f t="shared" si="12"/>
        <v>1</v>
      </c>
      <c r="M255" s="1" t="str">
        <f>IF(LEFT(경동전체1!D255,1)="2","비닐",IF(LEFT(경동전체1!O255,1)="박","박스","비닐"))</f>
        <v>비닐</v>
      </c>
      <c r="N255" s="25">
        <v>1</v>
      </c>
      <c r="O255" s="25">
        <v>1</v>
      </c>
      <c r="P255" s="25">
        <v>1</v>
      </c>
      <c r="Q255" s="25">
        <v>1</v>
      </c>
      <c r="R255" s="1" t="str">
        <f t="shared" si="13"/>
        <v>50</v>
      </c>
      <c r="S255" s="1">
        <f>경동전체1!B255</f>
        <v>0</v>
      </c>
      <c r="T255" s="1" t="str">
        <f t="shared" si="14"/>
        <v>100</v>
      </c>
      <c r="U255" s="5" t="str">
        <f t="shared" si="15"/>
        <v>0</v>
      </c>
      <c r="V255" s="26">
        <v>0</v>
      </c>
      <c r="W255" s="26">
        <v>0</v>
      </c>
      <c r="X255" s="2" t="str">
        <f>SUBSTITUTE(SUBSTITUTE(SUBSTITUTE(SUBSTITUTE(SUBSTITUTE(SUBSTITUTE(SUBSTITUTE(SUBSTITUTE(SUBSTITUTE(SUBSTITUTE(SUBSTITUTE(SUBSTITUTE(SUBSTITUTE(경동전체1!D255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6" spans="1:24" ht="20.25" customHeight="1" x14ac:dyDescent="0.3">
      <c r="A256" s="2">
        <f>경동전체1!A256</f>
        <v>0</v>
      </c>
      <c r="B256" s="13" t="str">
        <f>SUBSTITUTE(SUBSTITUTE(SUBSTITUTE(SUBSTITUTE(SUBSTITUTE(SUBSTITUTE(SUBSTITUTE(SUBSTITUTE(SUBSTITUTE(SUBSTITUTE(SUBSTITUTE(SUBSTITUTE(SUBSTITUTE(경동전체1!K256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6" s="30">
        <f>경동전체1!E256</f>
        <v>0</v>
      </c>
      <c r="D256" s="23"/>
      <c r="E256" s="23"/>
      <c r="F256" s="4">
        <f>경동전체1!J256</f>
        <v>0</v>
      </c>
      <c r="G256" s="23"/>
      <c r="H256" s="2">
        <f>경동전체1!H256</f>
        <v>0</v>
      </c>
      <c r="I256" s="2" t="str">
        <f>경동전체1!I256&amp;""</f>
        <v/>
      </c>
      <c r="J256" s="2" t="s">
        <v>36</v>
      </c>
      <c r="K256" s="2" t="str">
        <f>IF(LEFT(경동전체1!G256,1)="","따사룸",경동전체1!G256)</f>
        <v>따사룸</v>
      </c>
      <c r="L256" s="4" t="str">
        <f t="shared" si="12"/>
        <v>1</v>
      </c>
      <c r="M256" s="1" t="str">
        <f>IF(LEFT(경동전체1!D256,1)="2","비닐",IF(LEFT(경동전체1!O256,1)="박","박스","비닐"))</f>
        <v>비닐</v>
      </c>
      <c r="N256" s="25">
        <v>1</v>
      </c>
      <c r="O256" s="25">
        <v>1</v>
      </c>
      <c r="P256" s="25">
        <v>1</v>
      </c>
      <c r="Q256" s="25">
        <v>1</v>
      </c>
      <c r="R256" s="1" t="str">
        <f t="shared" si="13"/>
        <v>50</v>
      </c>
      <c r="S256" s="1">
        <f>경동전체1!B256</f>
        <v>0</v>
      </c>
      <c r="T256" s="1" t="str">
        <f t="shared" si="14"/>
        <v>100</v>
      </c>
      <c r="U256" s="5" t="str">
        <f t="shared" si="15"/>
        <v>0</v>
      </c>
      <c r="V256" s="26">
        <v>0</v>
      </c>
      <c r="W256" s="26">
        <v>0</v>
      </c>
      <c r="X256" s="2" t="str">
        <f>SUBSTITUTE(SUBSTITUTE(SUBSTITUTE(SUBSTITUTE(SUBSTITUTE(SUBSTITUTE(SUBSTITUTE(SUBSTITUTE(SUBSTITUTE(SUBSTITUTE(SUBSTITUTE(SUBSTITUTE(SUBSTITUTE(경동전체1!D256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7" spans="1:24" ht="20.25" customHeight="1" x14ac:dyDescent="0.3">
      <c r="A257" s="2">
        <f>경동전체1!A257</f>
        <v>0</v>
      </c>
      <c r="B257" s="13" t="str">
        <f>SUBSTITUTE(SUBSTITUTE(SUBSTITUTE(SUBSTITUTE(SUBSTITUTE(SUBSTITUTE(SUBSTITUTE(SUBSTITUTE(SUBSTITUTE(SUBSTITUTE(SUBSTITUTE(SUBSTITUTE(SUBSTITUTE(경동전체1!K257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7" s="30">
        <f>경동전체1!E257</f>
        <v>0</v>
      </c>
      <c r="D257" s="23"/>
      <c r="E257" s="23"/>
      <c r="F257" s="4">
        <f>경동전체1!J257</f>
        <v>0</v>
      </c>
      <c r="G257" s="23"/>
      <c r="H257" s="2">
        <f>경동전체1!H257</f>
        <v>0</v>
      </c>
      <c r="I257" s="2" t="str">
        <f>경동전체1!I257&amp;""</f>
        <v/>
      </c>
      <c r="J257" s="2" t="s">
        <v>36</v>
      </c>
      <c r="K257" s="2" t="str">
        <f>IF(LEFT(경동전체1!G257,1)="","따사룸",경동전체1!G257)</f>
        <v>따사룸</v>
      </c>
      <c r="L257" s="4" t="str">
        <f t="shared" si="12"/>
        <v>1</v>
      </c>
      <c r="M257" s="1" t="str">
        <f>IF(LEFT(경동전체1!D257,1)="2","비닐",IF(LEFT(경동전체1!O257,1)="박","박스","비닐"))</f>
        <v>비닐</v>
      </c>
      <c r="N257" s="25">
        <v>1</v>
      </c>
      <c r="O257" s="25">
        <v>1</v>
      </c>
      <c r="P257" s="25">
        <v>1</v>
      </c>
      <c r="Q257" s="25">
        <v>1</v>
      </c>
      <c r="R257" s="1" t="str">
        <f t="shared" si="13"/>
        <v>50</v>
      </c>
      <c r="S257" s="1">
        <f>경동전체1!B257</f>
        <v>0</v>
      </c>
      <c r="T257" s="1" t="str">
        <f t="shared" si="14"/>
        <v>100</v>
      </c>
      <c r="U257" s="5" t="str">
        <f t="shared" si="15"/>
        <v>0</v>
      </c>
      <c r="V257" s="26">
        <v>0</v>
      </c>
      <c r="W257" s="26">
        <v>0</v>
      </c>
      <c r="X257" s="2" t="str">
        <f>SUBSTITUTE(SUBSTITUTE(SUBSTITUTE(SUBSTITUTE(SUBSTITUTE(SUBSTITUTE(SUBSTITUTE(SUBSTITUTE(SUBSTITUTE(SUBSTITUTE(SUBSTITUTE(SUBSTITUTE(SUBSTITUTE(경동전체1!D257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8" spans="1:24" ht="20.25" customHeight="1" x14ac:dyDescent="0.3">
      <c r="A258" s="2">
        <f>경동전체1!A258</f>
        <v>0</v>
      </c>
      <c r="B258" s="13" t="str">
        <f>SUBSTITUTE(SUBSTITUTE(SUBSTITUTE(SUBSTITUTE(SUBSTITUTE(SUBSTITUTE(SUBSTITUTE(SUBSTITUTE(SUBSTITUTE(SUBSTITUTE(SUBSTITUTE(SUBSTITUTE(SUBSTITUTE(경동전체1!K258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8" s="30">
        <f>경동전체1!E258</f>
        <v>0</v>
      </c>
      <c r="D258" s="23"/>
      <c r="E258" s="23"/>
      <c r="F258" s="4">
        <f>경동전체1!J258</f>
        <v>0</v>
      </c>
      <c r="G258" s="23"/>
      <c r="H258" s="2">
        <f>경동전체1!H258</f>
        <v>0</v>
      </c>
      <c r="I258" s="2" t="str">
        <f>경동전체1!I258&amp;""</f>
        <v/>
      </c>
      <c r="J258" s="2" t="s">
        <v>36</v>
      </c>
      <c r="K258" s="2" t="str">
        <f>IF(LEFT(경동전체1!G258,1)="","따사룸",경동전체1!G258)</f>
        <v>따사룸</v>
      </c>
      <c r="L258" s="4" t="str">
        <f t="shared" si="12"/>
        <v>1</v>
      </c>
      <c r="M258" s="1" t="str">
        <f>IF(LEFT(경동전체1!D258,1)="2","비닐",IF(LEFT(경동전체1!O258,1)="박","박스","비닐"))</f>
        <v>비닐</v>
      </c>
      <c r="N258" s="25">
        <v>1</v>
      </c>
      <c r="O258" s="25">
        <v>1</v>
      </c>
      <c r="P258" s="25">
        <v>1</v>
      </c>
      <c r="Q258" s="25">
        <v>1</v>
      </c>
      <c r="R258" s="1" t="str">
        <f t="shared" si="13"/>
        <v>50</v>
      </c>
      <c r="S258" s="1">
        <f>경동전체1!B258</f>
        <v>0</v>
      </c>
      <c r="T258" s="1" t="str">
        <f t="shared" si="14"/>
        <v>100</v>
      </c>
      <c r="U258" s="5" t="str">
        <f t="shared" si="15"/>
        <v>0</v>
      </c>
      <c r="V258" s="26">
        <v>0</v>
      </c>
      <c r="W258" s="26">
        <v>0</v>
      </c>
      <c r="X258" s="2" t="str">
        <f>SUBSTITUTE(SUBSTITUTE(SUBSTITUTE(SUBSTITUTE(SUBSTITUTE(SUBSTITUTE(SUBSTITUTE(SUBSTITUTE(SUBSTITUTE(SUBSTITUTE(SUBSTITUTE(SUBSTITUTE(SUBSTITUTE(경동전체1!D258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9" spans="1:24" ht="20.25" customHeight="1" x14ac:dyDescent="0.3">
      <c r="A259" s="2">
        <f>경동전체1!A259</f>
        <v>0</v>
      </c>
      <c r="B259" s="13" t="str">
        <f>SUBSTITUTE(SUBSTITUTE(SUBSTITUTE(SUBSTITUTE(SUBSTITUTE(SUBSTITUTE(SUBSTITUTE(SUBSTITUTE(SUBSTITUTE(SUBSTITUTE(SUBSTITUTE(SUBSTITUTE(SUBSTITUTE(경동전체1!K259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9" s="30">
        <f>경동전체1!E259</f>
        <v>0</v>
      </c>
      <c r="D259" s="23"/>
      <c r="E259" s="23"/>
      <c r="F259" s="4">
        <f>경동전체1!J259</f>
        <v>0</v>
      </c>
      <c r="G259" s="23"/>
      <c r="H259" s="2">
        <f>경동전체1!H259</f>
        <v>0</v>
      </c>
      <c r="I259" s="2" t="str">
        <f>경동전체1!I259&amp;""</f>
        <v/>
      </c>
      <c r="J259" s="2" t="s">
        <v>36</v>
      </c>
      <c r="K259" s="2" t="str">
        <f>IF(LEFT(경동전체1!G259,1)="","따사룸",경동전체1!G259)</f>
        <v>따사룸</v>
      </c>
      <c r="L259" s="4" t="str">
        <f t="shared" ref="L259:L322" si="16">"1"</f>
        <v>1</v>
      </c>
      <c r="M259" s="1" t="str">
        <f>IF(LEFT(경동전체1!D259,1)="2","비닐",IF(LEFT(경동전체1!O259,1)="박","박스","비닐"))</f>
        <v>비닐</v>
      </c>
      <c r="N259" s="25">
        <v>1</v>
      </c>
      <c r="O259" s="25">
        <v>1</v>
      </c>
      <c r="P259" s="25">
        <v>1</v>
      </c>
      <c r="Q259" s="25">
        <v>1</v>
      </c>
      <c r="R259" s="1" t="str">
        <f t="shared" ref="R259:R322" si="17">"50"</f>
        <v>50</v>
      </c>
      <c r="S259" s="1">
        <f>경동전체1!B259</f>
        <v>0</v>
      </c>
      <c r="T259" s="1" t="str">
        <f t="shared" ref="T259:T322" si="18">"100"</f>
        <v>100</v>
      </c>
      <c r="U259" s="5" t="str">
        <f t="shared" ref="U259:U322" si="19">"0"</f>
        <v>0</v>
      </c>
      <c r="V259" s="26">
        <v>0</v>
      </c>
      <c r="W259" s="26">
        <v>0</v>
      </c>
      <c r="X259" s="2" t="str">
        <f>SUBSTITUTE(SUBSTITUTE(SUBSTITUTE(SUBSTITUTE(SUBSTITUTE(SUBSTITUTE(SUBSTITUTE(SUBSTITUTE(SUBSTITUTE(SUBSTITUTE(SUBSTITUTE(SUBSTITUTE(SUBSTITUTE(경동전체1!D259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0" spans="1:24" ht="20.25" customHeight="1" x14ac:dyDescent="0.3">
      <c r="A260" s="2">
        <f>경동전체1!A260</f>
        <v>0</v>
      </c>
      <c r="B260" s="13" t="str">
        <f>SUBSTITUTE(SUBSTITUTE(SUBSTITUTE(SUBSTITUTE(SUBSTITUTE(SUBSTITUTE(SUBSTITUTE(SUBSTITUTE(SUBSTITUTE(SUBSTITUTE(SUBSTITUTE(SUBSTITUTE(SUBSTITUTE(경동전체1!K260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0" s="30">
        <f>경동전체1!E260</f>
        <v>0</v>
      </c>
      <c r="D260" s="23"/>
      <c r="E260" s="23"/>
      <c r="F260" s="4">
        <f>경동전체1!J260</f>
        <v>0</v>
      </c>
      <c r="G260" s="23"/>
      <c r="H260" s="2">
        <f>경동전체1!H260</f>
        <v>0</v>
      </c>
      <c r="I260" s="2" t="str">
        <f>경동전체1!I260&amp;""</f>
        <v/>
      </c>
      <c r="J260" s="2" t="s">
        <v>36</v>
      </c>
      <c r="K260" s="2" t="str">
        <f>IF(LEFT(경동전체1!G260,1)="","따사룸",경동전체1!G260)</f>
        <v>따사룸</v>
      </c>
      <c r="L260" s="4" t="str">
        <f t="shared" si="16"/>
        <v>1</v>
      </c>
      <c r="M260" s="1" t="str">
        <f>IF(LEFT(경동전체1!D260,1)="2","비닐",IF(LEFT(경동전체1!O260,1)="박","박스","비닐"))</f>
        <v>비닐</v>
      </c>
      <c r="N260" s="25">
        <v>1</v>
      </c>
      <c r="O260" s="25">
        <v>1</v>
      </c>
      <c r="P260" s="25">
        <v>1</v>
      </c>
      <c r="Q260" s="25">
        <v>1</v>
      </c>
      <c r="R260" s="1" t="str">
        <f t="shared" si="17"/>
        <v>50</v>
      </c>
      <c r="S260" s="1">
        <f>경동전체1!B260</f>
        <v>0</v>
      </c>
      <c r="T260" s="1" t="str">
        <f t="shared" si="18"/>
        <v>100</v>
      </c>
      <c r="U260" s="5" t="str">
        <f t="shared" si="19"/>
        <v>0</v>
      </c>
      <c r="V260" s="26">
        <v>0</v>
      </c>
      <c r="W260" s="26">
        <v>0</v>
      </c>
      <c r="X260" s="2" t="str">
        <f>SUBSTITUTE(SUBSTITUTE(SUBSTITUTE(SUBSTITUTE(SUBSTITUTE(SUBSTITUTE(SUBSTITUTE(SUBSTITUTE(SUBSTITUTE(SUBSTITUTE(SUBSTITUTE(SUBSTITUTE(SUBSTITUTE(경동전체1!D260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1" spans="1:24" ht="20.25" customHeight="1" x14ac:dyDescent="0.3">
      <c r="A261" s="2">
        <f>경동전체1!A261</f>
        <v>0</v>
      </c>
      <c r="B261" s="13" t="str">
        <f>SUBSTITUTE(SUBSTITUTE(SUBSTITUTE(SUBSTITUTE(SUBSTITUTE(SUBSTITUTE(SUBSTITUTE(SUBSTITUTE(SUBSTITUTE(SUBSTITUTE(SUBSTITUTE(SUBSTITUTE(SUBSTITUTE(경동전체1!K261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1" s="30">
        <f>경동전체1!E261</f>
        <v>0</v>
      </c>
      <c r="D261" s="23"/>
      <c r="E261" s="23"/>
      <c r="F261" s="4">
        <f>경동전체1!J261</f>
        <v>0</v>
      </c>
      <c r="G261" s="23"/>
      <c r="H261" s="2">
        <f>경동전체1!H261</f>
        <v>0</v>
      </c>
      <c r="I261" s="2" t="str">
        <f>경동전체1!I261&amp;""</f>
        <v/>
      </c>
      <c r="J261" s="2" t="s">
        <v>36</v>
      </c>
      <c r="K261" s="2" t="str">
        <f>IF(LEFT(경동전체1!G261,1)="","따사룸",경동전체1!G261)</f>
        <v>따사룸</v>
      </c>
      <c r="L261" s="4" t="str">
        <f t="shared" si="16"/>
        <v>1</v>
      </c>
      <c r="M261" s="1" t="str">
        <f>IF(LEFT(경동전체1!D261,1)="2","비닐",IF(LEFT(경동전체1!O261,1)="박","박스","비닐"))</f>
        <v>비닐</v>
      </c>
      <c r="N261" s="25">
        <v>1</v>
      </c>
      <c r="O261" s="25">
        <v>1</v>
      </c>
      <c r="P261" s="25">
        <v>1</v>
      </c>
      <c r="Q261" s="25">
        <v>1</v>
      </c>
      <c r="R261" s="1" t="str">
        <f t="shared" si="17"/>
        <v>50</v>
      </c>
      <c r="S261" s="1">
        <f>경동전체1!B261</f>
        <v>0</v>
      </c>
      <c r="T261" s="1" t="str">
        <f t="shared" si="18"/>
        <v>100</v>
      </c>
      <c r="U261" s="5" t="str">
        <f t="shared" si="19"/>
        <v>0</v>
      </c>
      <c r="V261" s="26">
        <v>0</v>
      </c>
      <c r="W261" s="26">
        <v>0</v>
      </c>
      <c r="X261" s="2" t="str">
        <f>SUBSTITUTE(SUBSTITUTE(SUBSTITUTE(SUBSTITUTE(SUBSTITUTE(SUBSTITUTE(SUBSTITUTE(SUBSTITUTE(SUBSTITUTE(SUBSTITUTE(SUBSTITUTE(SUBSTITUTE(SUBSTITUTE(경동전체1!D261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2" spans="1:24" ht="20.25" customHeight="1" x14ac:dyDescent="0.3">
      <c r="A262" s="2">
        <f>경동전체1!A262</f>
        <v>0</v>
      </c>
      <c r="B262" s="13" t="str">
        <f>SUBSTITUTE(SUBSTITUTE(SUBSTITUTE(SUBSTITUTE(SUBSTITUTE(SUBSTITUTE(SUBSTITUTE(SUBSTITUTE(SUBSTITUTE(SUBSTITUTE(SUBSTITUTE(SUBSTITUTE(SUBSTITUTE(경동전체1!K262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2" s="30">
        <f>경동전체1!E262</f>
        <v>0</v>
      </c>
      <c r="D262" s="23"/>
      <c r="E262" s="23"/>
      <c r="F262" s="4">
        <f>경동전체1!J262</f>
        <v>0</v>
      </c>
      <c r="G262" s="23"/>
      <c r="H262" s="2">
        <f>경동전체1!H262</f>
        <v>0</v>
      </c>
      <c r="I262" s="2" t="str">
        <f>경동전체1!I262&amp;""</f>
        <v/>
      </c>
      <c r="J262" s="2" t="s">
        <v>36</v>
      </c>
      <c r="K262" s="2" t="str">
        <f>IF(LEFT(경동전체1!G262,1)="","따사룸",경동전체1!G262)</f>
        <v>따사룸</v>
      </c>
      <c r="L262" s="4" t="str">
        <f t="shared" si="16"/>
        <v>1</v>
      </c>
      <c r="M262" s="1" t="str">
        <f>IF(LEFT(경동전체1!D262,1)="2","비닐",IF(LEFT(경동전체1!O262,1)="박","박스","비닐"))</f>
        <v>비닐</v>
      </c>
      <c r="N262" s="25">
        <v>1</v>
      </c>
      <c r="O262" s="25">
        <v>1</v>
      </c>
      <c r="P262" s="25">
        <v>1</v>
      </c>
      <c r="Q262" s="25">
        <v>1</v>
      </c>
      <c r="R262" s="1" t="str">
        <f t="shared" si="17"/>
        <v>50</v>
      </c>
      <c r="S262" s="1">
        <f>경동전체1!B262</f>
        <v>0</v>
      </c>
      <c r="T262" s="1" t="str">
        <f t="shared" si="18"/>
        <v>100</v>
      </c>
      <c r="U262" s="5" t="str">
        <f t="shared" si="19"/>
        <v>0</v>
      </c>
      <c r="V262" s="26">
        <v>0</v>
      </c>
      <c r="W262" s="26">
        <v>0</v>
      </c>
      <c r="X262" s="2" t="str">
        <f>SUBSTITUTE(SUBSTITUTE(SUBSTITUTE(SUBSTITUTE(SUBSTITUTE(SUBSTITUTE(SUBSTITUTE(SUBSTITUTE(SUBSTITUTE(SUBSTITUTE(SUBSTITUTE(SUBSTITUTE(SUBSTITUTE(경동전체1!D262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3" spans="1:24" ht="20.25" customHeight="1" x14ac:dyDescent="0.3">
      <c r="A263" s="2">
        <f>경동전체1!A263</f>
        <v>0</v>
      </c>
      <c r="B263" s="13" t="str">
        <f>SUBSTITUTE(SUBSTITUTE(SUBSTITUTE(SUBSTITUTE(SUBSTITUTE(SUBSTITUTE(SUBSTITUTE(SUBSTITUTE(SUBSTITUTE(SUBSTITUTE(SUBSTITUTE(SUBSTITUTE(SUBSTITUTE(경동전체1!K263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3" s="30">
        <f>경동전체1!E263</f>
        <v>0</v>
      </c>
      <c r="D263" s="23"/>
      <c r="E263" s="23"/>
      <c r="F263" s="4">
        <f>경동전체1!J263</f>
        <v>0</v>
      </c>
      <c r="G263" s="23"/>
      <c r="H263" s="2">
        <f>경동전체1!H263</f>
        <v>0</v>
      </c>
      <c r="I263" s="2" t="str">
        <f>경동전체1!I263&amp;""</f>
        <v/>
      </c>
      <c r="J263" s="2" t="s">
        <v>36</v>
      </c>
      <c r="K263" s="2" t="str">
        <f>IF(LEFT(경동전체1!G263,1)="","따사룸",경동전체1!G263)</f>
        <v>따사룸</v>
      </c>
      <c r="L263" s="4" t="str">
        <f t="shared" si="16"/>
        <v>1</v>
      </c>
      <c r="M263" s="1" t="str">
        <f>IF(LEFT(경동전체1!D263,1)="2","비닐",IF(LEFT(경동전체1!O263,1)="박","박스","비닐"))</f>
        <v>비닐</v>
      </c>
      <c r="N263" s="25">
        <v>1</v>
      </c>
      <c r="O263" s="25">
        <v>1</v>
      </c>
      <c r="P263" s="25">
        <v>1</v>
      </c>
      <c r="Q263" s="25">
        <v>1</v>
      </c>
      <c r="R263" s="1" t="str">
        <f t="shared" si="17"/>
        <v>50</v>
      </c>
      <c r="S263" s="1">
        <f>경동전체1!B263</f>
        <v>0</v>
      </c>
      <c r="T263" s="1" t="str">
        <f t="shared" si="18"/>
        <v>100</v>
      </c>
      <c r="U263" s="5" t="str">
        <f t="shared" si="19"/>
        <v>0</v>
      </c>
      <c r="V263" s="26">
        <v>0</v>
      </c>
      <c r="W263" s="26">
        <v>0</v>
      </c>
      <c r="X263" s="2" t="str">
        <f>SUBSTITUTE(SUBSTITUTE(SUBSTITUTE(SUBSTITUTE(SUBSTITUTE(SUBSTITUTE(SUBSTITUTE(SUBSTITUTE(SUBSTITUTE(SUBSTITUTE(SUBSTITUTE(SUBSTITUTE(SUBSTITUTE(경동전체1!D263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4" spans="1:24" ht="20.25" customHeight="1" x14ac:dyDescent="0.3">
      <c r="A264" s="2">
        <f>경동전체1!A264</f>
        <v>0</v>
      </c>
      <c r="B264" s="13" t="str">
        <f>SUBSTITUTE(SUBSTITUTE(SUBSTITUTE(SUBSTITUTE(SUBSTITUTE(SUBSTITUTE(SUBSTITUTE(SUBSTITUTE(SUBSTITUTE(SUBSTITUTE(SUBSTITUTE(SUBSTITUTE(SUBSTITUTE(경동전체1!K264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4" s="30">
        <f>경동전체1!E264</f>
        <v>0</v>
      </c>
      <c r="D264" s="23"/>
      <c r="E264" s="23"/>
      <c r="F264" s="4">
        <f>경동전체1!J264</f>
        <v>0</v>
      </c>
      <c r="G264" s="23"/>
      <c r="H264" s="2">
        <f>경동전체1!H264</f>
        <v>0</v>
      </c>
      <c r="I264" s="2" t="str">
        <f>경동전체1!I264&amp;""</f>
        <v/>
      </c>
      <c r="J264" s="2" t="s">
        <v>36</v>
      </c>
      <c r="K264" s="2" t="str">
        <f>IF(LEFT(경동전체1!G264,1)="","따사룸",경동전체1!G264)</f>
        <v>따사룸</v>
      </c>
      <c r="L264" s="4" t="str">
        <f t="shared" si="16"/>
        <v>1</v>
      </c>
      <c r="M264" s="1" t="str">
        <f>IF(LEFT(경동전체1!D264,1)="2","비닐",IF(LEFT(경동전체1!O264,1)="박","박스","비닐"))</f>
        <v>비닐</v>
      </c>
      <c r="N264" s="25">
        <v>1</v>
      </c>
      <c r="O264" s="25">
        <v>1</v>
      </c>
      <c r="P264" s="25">
        <v>1</v>
      </c>
      <c r="Q264" s="25">
        <v>1</v>
      </c>
      <c r="R264" s="1" t="str">
        <f t="shared" si="17"/>
        <v>50</v>
      </c>
      <c r="S264" s="1">
        <f>경동전체1!B264</f>
        <v>0</v>
      </c>
      <c r="T264" s="1" t="str">
        <f t="shared" si="18"/>
        <v>100</v>
      </c>
      <c r="U264" s="5" t="str">
        <f t="shared" si="19"/>
        <v>0</v>
      </c>
      <c r="V264" s="26">
        <v>0</v>
      </c>
      <c r="W264" s="26">
        <v>0</v>
      </c>
      <c r="X264" s="2" t="str">
        <f>SUBSTITUTE(SUBSTITUTE(SUBSTITUTE(SUBSTITUTE(SUBSTITUTE(SUBSTITUTE(SUBSTITUTE(SUBSTITUTE(SUBSTITUTE(SUBSTITUTE(SUBSTITUTE(SUBSTITUTE(SUBSTITUTE(경동전체1!D264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5" spans="1:24" ht="20.25" customHeight="1" x14ac:dyDescent="0.3">
      <c r="A265" s="2">
        <f>경동전체1!A265</f>
        <v>0</v>
      </c>
      <c r="B265" s="13" t="str">
        <f>SUBSTITUTE(SUBSTITUTE(SUBSTITUTE(SUBSTITUTE(SUBSTITUTE(SUBSTITUTE(SUBSTITUTE(SUBSTITUTE(SUBSTITUTE(SUBSTITUTE(SUBSTITUTE(SUBSTITUTE(SUBSTITUTE(경동전체1!K265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5" s="30">
        <f>경동전체1!E265</f>
        <v>0</v>
      </c>
      <c r="D265" s="23"/>
      <c r="E265" s="23"/>
      <c r="F265" s="4">
        <f>경동전체1!J265</f>
        <v>0</v>
      </c>
      <c r="G265" s="23"/>
      <c r="H265" s="2">
        <f>경동전체1!H265</f>
        <v>0</v>
      </c>
      <c r="I265" s="2" t="str">
        <f>경동전체1!I265&amp;""</f>
        <v/>
      </c>
      <c r="J265" s="2" t="s">
        <v>36</v>
      </c>
      <c r="K265" s="2" t="str">
        <f>IF(LEFT(경동전체1!G265,1)="","따사룸",경동전체1!G265)</f>
        <v>따사룸</v>
      </c>
      <c r="L265" s="4" t="str">
        <f t="shared" si="16"/>
        <v>1</v>
      </c>
      <c r="M265" s="1" t="str">
        <f>IF(LEFT(경동전체1!D265,1)="2","비닐",IF(LEFT(경동전체1!O265,1)="박","박스","비닐"))</f>
        <v>비닐</v>
      </c>
      <c r="N265" s="25">
        <v>1</v>
      </c>
      <c r="O265" s="25">
        <v>1</v>
      </c>
      <c r="P265" s="25">
        <v>1</v>
      </c>
      <c r="Q265" s="25">
        <v>1</v>
      </c>
      <c r="R265" s="1" t="str">
        <f t="shared" si="17"/>
        <v>50</v>
      </c>
      <c r="S265" s="1">
        <f>경동전체1!B265</f>
        <v>0</v>
      </c>
      <c r="T265" s="1" t="str">
        <f t="shared" si="18"/>
        <v>100</v>
      </c>
      <c r="U265" s="5" t="str">
        <f t="shared" si="19"/>
        <v>0</v>
      </c>
      <c r="V265" s="26">
        <v>0</v>
      </c>
      <c r="W265" s="26">
        <v>0</v>
      </c>
      <c r="X265" s="2" t="str">
        <f>SUBSTITUTE(SUBSTITUTE(SUBSTITUTE(SUBSTITUTE(SUBSTITUTE(SUBSTITUTE(SUBSTITUTE(SUBSTITUTE(SUBSTITUTE(SUBSTITUTE(SUBSTITUTE(SUBSTITUTE(SUBSTITUTE(경동전체1!D265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6" spans="1:24" ht="20.25" customHeight="1" x14ac:dyDescent="0.3">
      <c r="A266" s="2">
        <f>경동전체1!A266</f>
        <v>0</v>
      </c>
      <c r="B266" s="13" t="str">
        <f>SUBSTITUTE(SUBSTITUTE(SUBSTITUTE(SUBSTITUTE(SUBSTITUTE(SUBSTITUTE(SUBSTITUTE(SUBSTITUTE(SUBSTITUTE(SUBSTITUTE(SUBSTITUTE(SUBSTITUTE(SUBSTITUTE(경동전체1!K266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6" s="30">
        <f>경동전체1!E266</f>
        <v>0</v>
      </c>
      <c r="D266" s="23"/>
      <c r="E266" s="23"/>
      <c r="F266" s="4">
        <f>경동전체1!J266</f>
        <v>0</v>
      </c>
      <c r="G266" s="23"/>
      <c r="H266" s="2">
        <f>경동전체1!H266</f>
        <v>0</v>
      </c>
      <c r="I266" s="2" t="str">
        <f>경동전체1!I266&amp;""</f>
        <v/>
      </c>
      <c r="J266" s="2" t="s">
        <v>36</v>
      </c>
      <c r="K266" s="2" t="str">
        <f>IF(LEFT(경동전체1!G266,1)="","따사룸",경동전체1!G266)</f>
        <v>따사룸</v>
      </c>
      <c r="L266" s="4" t="str">
        <f t="shared" si="16"/>
        <v>1</v>
      </c>
      <c r="M266" s="1" t="str">
        <f>IF(LEFT(경동전체1!D266,1)="2","비닐",IF(LEFT(경동전체1!O266,1)="박","박스","비닐"))</f>
        <v>비닐</v>
      </c>
      <c r="N266" s="25">
        <v>1</v>
      </c>
      <c r="O266" s="25">
        <v>1</v>
      </c>
      <c r="P266" s="25">
        <v>1</v>
      </c>
      <c r="Q266" s="25">
        <v>1</v>
      </c>
      <c r="R266" s="1" t="str">
        <f t="shared" si="17"/>
        <v>50</v>
      </c>
      <c r="S266" s="1">
        <f>경동전체1!B266</f>
        <v>0</v>
      </c>
      <c r="T266" s="1" t="str">
        <f t="shared" si="18"/>
        <v>100</v>
      </c>
      <c r="U266" s="5" t="str">
        <f t="shared" si="19"/>
        <v>0</v>
      </c>
      <c r="V266" s="26">
        <v>0</v>
      </c>
      <c r="W266" s="26">
        <v>0</v>
      </c>
      <c r="X266" s="2" t="str">
        <f>SUBSTITUTE(SUBSTITUTE(SUBSTITUTE(SUBSTITUTE(SUBSTITUTE(SUBSTITUTE(SUBSTITUTE(SUBSTITUTE(SUBSTITUTE(SUBSTITUTE(SUBSTITUTE(SUBSTITUTE(SUBSTITUTE(경동전체1!D266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7" spans="1:24" ht="20.25" customHeight="1" x14ac:dyDescent="0.3">
      <c r="A267" s="2">
        <f>경동전체1!A267</f>
        <v>0</v>
      </c>
      <c r="B267" s="13" t="str">
        <f>SUBSTITUTE(SUBSTITUTE(SUBSTITUTE(SUBSTITUTE(SUBSTITUTE(SUBSTITUTE(SUBSTITUTE(SUBSTITUTE(SUBSTITUTE(SUBSTITUTE(SUBSTITUTE(SUBSTITUTE(SUBSTITUTE(경동전체1!K267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7" s="30">
        <f>경동전체1!E267</f>
        <v>0</v>
      </c>
      <c r="D267" s="23"/>
      <c r="E267" s="23"/>
      <c r="F267" s="4">
        <f>경동전체1!J267</f>
        <v>0</v>
      </c>
      <c r="G267" s="23"/>
      <c r="H267" s="2">
        <f>경동전체1!H267</f>
        <v>0</v>
      </c>
      <c r="I267" s="2" t="str">
        <f>경동전체1!I267&amp;""</f>
        <v/>
      </c>
      <c r="J267" s="2" t="s">
        <v>36</v>
      </c>
      <c r="K267" s="2" t="str">
        <f>IF(LEFT(경동전체1!G267,1)="","따사룸",경동전체1!G267)</f>
        <v>따사룸</v>
      </c>
      <c r="L267" s="4" t="str">
        <f t="shared" si="16"/>
        <v>1</v>
      </c>
      <c r="M267" s="1" t="str">
        <f>IF(LEFT(경동전체1!D267,1)="2","비닐",IF(LEFT(경동전체1!O267,1)="박","박스","비닐"))</f>
        <v>비닐</v>
      </c>
      <c r="N267" s="25">
        <v>1</v>
      </c>
      <c r="O267" s="25">
        <v>1</v>
      </c>
      <c r="P267" s="25">
        <v>1</v>
      </c>
      <c r="Q267" s="25">
        <v>1</v>
      </c>
      <c r="R267" s="1" t="str">
        <f t="shared" si="17"/>
        <v>50</v>
      </c>
      <c r="S267" s="1">
        <f>경동전체1!B267</f>
        <v>0</v>
      </c>
      <c r="T267" s="1" t="str">
        <f t="shared" si="18"/>
        <v>100</v>
      </c>
      <c r="U267" s="5" t="str">
        <f t="shared" si="19"/>
        <v>0</v>
      </c>
      <c r="V267" s="26">
        <v>0</v>
      </c>
      <c r="W267" s="26">
        <v>0</v>
      </c>
      <c r="X267" s="2" t="str">
        <f>SUBSTITUTE(SUBSTITUTE(SUBSTITUTE(SUBSTITUTE(SUBSTITUTE(SUBSTITUTE(SUBSTITUTE(SUBSTITUTE(SUBSTITUTE(SUBSTITUTE(SUBSTITUTE(SUBSTITUTE(SUBSTITUTE(경동전체1!D267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8" spans="1:24" ht="20.25" customHeight="1" x14ac:dyDescent="0.3">
      <c r="A268" s="2">
        <f>경동전체1!A268</f>
        <v>0</v>
      </c>
      <c r="B268" s="13" t="str">
        <f>SUBSTITUTE(SUBSTITUTE(SUBSTITUTE(SUBSTITUTE(SUBSTITUTE(SUBSTITUTE(SUBSTITUTE(SUBSTITUTE(SUBSTITUTE(SUBSTITUTE(SUBSTITUTE(SUBSTITUTE(SUBSTITUTE(경동전체1!K268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8" s="30">
        <f>경동전체1!E268</f>
        <v>0</v>
      </c>
      <c r="D268" s="23"/>
      <c r="E268" s="23"/>
      <c r="F268" s="4">
        <f>경동전체1!J268</f>
        <v>0</v>
      </c>
      <c r="G268" s="23"/>
      <c r="H268" s="2">
        <f>경동전체1!H268</f>
        <v>0</v>
      </c>
      <c r="I268" s="2" t="str">
        <f>경동전체1!I268&amp;""</f>
        <v/>
      </c>
      <c r="J268" s="2" t="s">
        <v>36</v>
      </c>
      <c r="K268" s="2" t="str">
        <f>IF(LEFT(경동전체1!G268,1)="","따사룸",경동전체1!G268)</f>
        <v>따사룸</v>
      </c>
      <c r="L268" s="4" t="str">
        <f t="shared" si="16"/>
        <v>1</v>
      </c>
      <c r="M268" s="1" t="str">
        <f>IF(LEFT(경동전체1!D268,1)="2","비닐",IF(LEFT(경동전체1!O268,1)="박","박스","비닐"))</f>
        <v>비닐</v>
      </c>
      <c r="N268" s="25">
        <v>1</v>
      </c>
      <c r="O268" s="25">
        <v>1</v>
      </c>
      <c r="P268" s="25">
        <v>1</v>
      </c>
      <c r="Q268" s="25">
        <v>1</v>
      </c>
      <c r="R268" s="1" t="str">
        <f t="shared" si="17"/>
        <v>50</v>
      </c>
      <c r="S268" s="1">
        <f>경동전체1!B268</f>
        <v>0</v>
      </c>
      <c r="T268" s="1" t="str">
        <f t="shared" si="18"/>
        <v>100</v>
      </c>
      <c r="U268" s="5" t="str">
        <f t="shared" si="19"/>
        <v>0</v>
      </c>
      <c r="V268" s="26">
        <v>0</v>
      </c>
      <c r="W268" s="26">
        <v>0</v>
      </c>
      <c r="X268" s="2" t="str">
        <f>SUBSTITUTE(SUBSTITUTE(SUBSTITUTE(SUBSTITUTE(SUBSTITUTE(SUBSTITUTE(SUBSTITUTE(SUBSTITUTE(SUBSTITUTE(SUBSTITUTE(SUBSTITUTE(SUBSTITUTE(SUBSTITUTE(경동전체1!D268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9" spans="1:24" ht="20.25" customHeight="1" x14ac:dyDescent="0.3">
      <c r="A269" s="2">
        <f>경동전체1!A269</f>
        <v>0</v>
      </c>
      <c r="B269" s="13" t="str">
        <f>SUBSTITUTE(SUBSTITUTE(SUBSTITUTE(SUBSTITUTE(SUBSTITUTE(SUBSTITUTE(SUBSTITUTE(SUBSTITUTE(SUBSTITUTE(SUBSTITUTE(SUBSTITUTE(SUBSTITUTE(SUBSTITUTE(경동전체1!K269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9" s="30">
        <f>경동전체1!E269</f>
        <v>0</v>
      </c>
      <c r="D269" s="23"/>
      <c r="E269" s="23"/>
      <c r="F269" s="4">
        <f>경동전체1!J269</f>
        <v>0</v>
      </c>
      <c r="G269" s="23"/>
      <c r="H269" s="2">
        <f>경동전체1!H269</f>
        <v>0</v>
      </c>
      <c r="I269" s="2" t="str">
        <f>경동전체1!I269&amp;""</f>
        <v/>
      </c>
      <c r="J269" s="2" t="s">
        <v>36</v>
      </c>
      <c r="K269" s="2" t="str">
        <f>IF(LEFT(경동전체1!G269,1)="","따사룸",경동전체1!G269)</f>
        <v>따사룸</v>
      </c>
      <c r="L269" s="4" t="str">
        <f t="shared" si="16"/>
        <v>1</v>
      </c>
      <c r="M269" s="1" t="str">
        <f>IF(LEFT(경동전체1!D269,1)="2","비닐",IF(LEFT(경동전체1!O269,1)="박","박스","비닐"))</f>
        <v>비닐</v>
      </c>
      <c r="N269" s="25">
        <v>1</v>
      </c>
      <c r="O269" s="25">
        <v>1</v>
      </c>
      <c r="P269" s="25">
        <v>1</v>
      </c>
      <c r="Q269" s="25">
        <v>1</v>
      </c>
      <c r="R269" s="1" t="str">
        <f t="shared" si="17"/>
        <v>50</v>
      </c>
      <c r="S269" s="1">
        <f>경동전체1!B269</f>
        <v>0</v>
      </c>
      <c r="T269" s="1" t="str">
        <f t="shared" si="18"/>
        <v>100</v>
      </c>
      <c r="U269" s="5" t="str">
        <f t="shared" si="19"/>
        <v>0</v>
      </c>
      <c r="V269" s="26">
        <v>0</v>
      </c>
      <c r="W269" s="26">
        <v>0</v>
      </c>
      <c r="X269" s="2" t="str">
        <f>SUBSTITUTE(SUBSTITUTE(SUBSTITUTE(SUBSTITUTE(SUBSTITUTE(SUBSTITUTE(SUBSTITUTE(SUBSTITUTE(SUBSTITUTE(SUBSTITUTE(SUBSTITUTE(SUBSTITUTE(SUBSTITUTE(경동전체1!D269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0" spans="1:24" ht="20.25" customHeight="1" x14ac:dyDescent="0.3">
      <c r="A270" s="2">
        <f>경동전체1!A270</f>
        <v>0</v>
      </c>
      <c r="B270" s="13" t="str">
        <f>SUBSTITUTE(SUBSTITUTE(SUBSTITUTE(SUBSTITUTE(SUBSTITUTE(SUBSTITUTE(SUBSTITUTE(SUBSTITUTE(SUBSTITUTE(SUBSTITUTE(SUBSTITUTE(SUBSTITUTE(SUBSTITUTE(경동전체1!K270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0" s="30">
        <f>경동전체1!E270</f>
        <v>0</v>
      </c>
      <c r="D270" s="23"/>
      <c r="E270" s="23"/>
      <c r="F270" s="4">
        <f>경동전체1!J270</f>
        <v>0</v>
      </c>
      <c r="G270" s="23"/>
      <c r="H270" s="2">
        <f>경동전체1!H270</f>
        <v>0</v>
      </c>
      <c r="I270" s="2" t="str">
        <f>경동전체1!I270&amp;""</f>
        <v/>
      </c>
      <c r="J270" s="2" t="s">
        <v>36</v>
      </c>
      <c r="K270" s="2" t="str">
        <f>IF(LEFT(경동전체1!G270,1)="","따사룸",경동전체1!G270)</f>
        <v>따사룸</v>
      </c>
      <c r="L270" s="4" t="str">
        <f t="shared" si="16"/>
        <v>1</v>
      </c>
      <c r="M270" s="1" t="str">
        <f>IF(LEFT(경동전체1!D270,1)="2","비닐",IF(LEFT(경동전체1!O270,1)="박","박스","비닐"))</f>
        <v>비닐</v>
      </c>
      <c r="N270" s="25">
        <v>1</v>
      </c>
      <c r="O270" s="25">
        <v>1</v>
      </c>
      <c r="P270" s="25">
        <v>1</v>
      </c>
      <c r="Q270" s="25">
        <v>1</v>
      </c>
      <c r="R270" s="1" t="str">
        <f t="shared" si="17"/>
        <v>50</v>
      </c>
      <c r="S270" s="1">
        <f>경동전체1!B270</f>
        <v>0</v>
      </c>
      <c r="T270" s="1" t="str">
        <f t="shared" si="18"/>
        <v>100</v>
      </c>
      <c r="U270" s="5" t="str">
        <f t="shared" si="19"/>
        <v>0</v>
      </c>
      <c r="V270" s="26">
        <v>0</v>
      </c>
      <c r="W270" s="26">
        <v>0</v>
      </c>
      <c r="X270" s="2" t="str">
        <f>SUBSTITUTE(SUBSTITUTE(SUBSTITUTE(SUBSTITUTE(SUBSTITUTE(SUBSTITUTE(SUBSTITUTE(SUBSTITUTE(SUBSTITUTE(SUBSTITUTE(SUBSTITUTE(SUBSTITUTE(SUBSTITUTE(경동전체1!D270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1" spans="1:24" ht="20.25" customHeight="1" x14ac:dyDescent="0.3">
      <c r="A271" s="2">
        <f>경동전체1!A271</f>
        <v>0</v>
      </c>
      <c r="B271" s="13" t="str">
        <f>SUBSTITUTE(SUBSTITUTE(SUBSTITUTE(SUBSTITUTE(SUBSTITUTE(SUBSTITUTE(SUBSTITUTE(SUBSTITUTE(SUBSTITUTE(SUBSTITUTE(SUBSTITUTE(SUBSTITUTE(SUBSTITUTE(경동전체1!K271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1" s="30">
        <f>경동전체1!E271</f>
        <v>0</v>
      </c>
      <c r="D271" s="23"/>
      <c r="E271" s="23"/>
      <c r="F271" s="4">
        <f>경동전체1!J271</f>
        <v>0</v>
      </c>
      <c r="G271" s="23"/>
      <c r="H271" s="2">
        <f>경동전체1!H271</f>
        <v>0</v>
      </c>
      <c r="I271" s="2" t="str">
        <f>경동전체1!I271&amp;""</f>
        <v/>
      </c>
      <c r="J271" s="2" t="s">
        <v>36</v>
      </c>
      <c r="K271" s="2" t="str">
        <f>IF(LEFT(경동전체1!G271,1)="","따사룸",경동전체1!G271)</f>
        <v>따사룸</v>
      </c>
      <c r="L271" s="4" t="str">
        <f t="shared" si="16"/>
        <v>1</v>
      </c>
      <c r="M271" s="1" t="str">
        <f>IF(LEFT(경동전체1!D271,1)="2","비닐",IF(LEFT(경동전체1!O271,1)="박","박스","비닐"))</f>
        <v>비닐</v>
      </c>
      <c r="N271" s="25">
        <v>1</v>
      </c>
      <c r="O271" s="25">
        <v>1</v>
      </c>
      <c r="P271" s="25">
        <v>1</v>
      </c>
      <c r="Q271" s="25">
        <v>1</v>
      </c>
      <c r="R271" s="1" t="str">
        <f t="shared" si="17"/>
        <v>50</v>
      </c>
      <c r="S271" s="1">
        <f>경동전체1!B271</f>
        <v>0</v>
      </c>
      <c r="T271" s="1" t="str">
        <f t="shared" si="18"/>
        <v>100</v>
      </c>
      <c r="U271" s="5" t="str">
        <f t="shared" si="19"/>
        <v>0</v>
      </c>
      <c r="V271" s="26">
        <v>0</v>
      </c>
      <c r="W271" s="26">
        <v>0</v>
      </c>
      <c r="X271" s="2" t="str">
        <f>SUBSTITUTE(SUBSTITUTE(SUBSTITUTE(SUBSTITUTE(SUBSTITUTE(SUBSTITUTE(SUBSTITUTE(SUBSTITUTE(SUBSTITUTE(SUBSTITUTE(SUBSTITUTE(SUBSTITUTE(SUBSTITUTE(경동전체1!D271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2" spans="1:24" ht="20.25" customHeight="1" x14ac:dyDescent="0.3">
      <c r="A272" s="2">
        <f>경동전체1!A272</f>
        <v>0</v>
      </c>
      <c r="B272" s="13" t="str">
        <f>SUBSTITUTE(SUBSTITUTE(SUBSTITUTE(SUBSTITUTE(SUBSTITUTE(SUBSTITUTE(SUBSTITUTE(SUBSTITUTE(SUBSTITUTE(SUBSTITUTE(SUBSTITUTE(SUBSTITUTE(SUBSTITUTE(경동전체1!K272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2" s="30">
        <f>경동전체1!E272</f>
        <v>0</v>
      </c>
      <c r="D272" s="23"/>
      <c r="E272" s="23"/>
      <c r="F272" s="4">
        <f>경동전체1!J272</f>
        <v>0</v>
      </c>
      <c r="G272" s="23"/>
      <c r="H272" s="2">
        <f>경동전체1!H272</f>
        <v>0</v>
      </c>
      <c r="I272" s="2" t="str">
        <f>경동전체1!I272&amp;""</f>
        <v/>
      </c>
      <c r="J272" s="2" t="s">
        <v>36</v>
      </c>
      <c r="K272" s="2" t="str">
        <f>IF(LEFT(경동전체1!G272,1)="","따사룸",경동전체1!G272)</f>
        <v>따사룸</v>
      </c>
      <c r="L272" s="4" t="str">
        <f t="shared" si="16"/>
        <v>1</v>
      </c>
      <c r="M272" s="1" t="str">
        <f>IF(LEFT(경동전체1!D272,1)="2","비닐",IF(LEFT(경동전체1!O272,1)="박","박스","비닐"))</f>
        <v>비닐</v>
      </c>
      <c r="N272" s="25">
        <v>1</v>
      </c>
      <c r="O272" s="25">
        <v>1</v>
      </c>
      <c r="P272" s="25">
        <v>1</v>
      </c>
      <c r="Q272" s="25">
        <v>1</v>
      </c>
      <c r="R272" s="1" t="str">
        <f t="shared" si="17"/>
        <v>50</v>
      </c>
      <c r="S272" s="1">
        <f>경동전체1!B272</f>
        <v>0</v>
      </c>
      <c r="T272" s="1" t="str">
        <f t="shared" si="18"/>
        <v>100</v>
      </c>
      <c r="U272" s="5" t="str">
        <f t="shared" si="19"/>
        <v>0</v>
      </c>
      <c r="V272" s="26">
        <v>0</v>
      </c>
      <c r="W272" s="26">
        <v>0</v>
      </c>
      <c r="X272" s="2" t="str">
        <f>SUBSTITUTE(SUBSTITUTE(SUBSTITUTE(SUBSTITUTE(SUBSTITUTE(SUBSTITUTE(SUBSTITUTE(SUBSTITUTE(SUBSTITUTE(SUBSTITUTE(SUBSTITUTE(SUBSTITUTE(SUBSTITUTE(경동전체1!D272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3" spans="1:24" ht="20.25" customHeight="1" x14ac:dyDescent="0.3">
      <c r="A273" s="2">
        <f>경동전체1!A273</f>
        <v>0</v>
      </c>
      <c r="B273" s="13" t="str">
        <f>SUBSTITUTE(SUBSTITUTE(SUBSTITUTE(SUBSTITUTE(SUBSTITUTE(SUBSTITUTE(SUBSTITUTE(SUBSTITUTE(SUBSTITUTE(SUBSTITUTE(SUBSTITUTE(SUBSTITUTE(SUBSTITUTE(경동전체1!K273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3" s="30">
        <f>경동전체1!E273</f>
        <v>0</v>
      </c>
      <c r="D273" s="23"/>
      <c r="E273" s="23"/>
      <c r="F273" s="4">
        <f>경동전체1!J273</f>
        <v>0</v>
      </c>
      <c r="G273" s="23"/>
      <c r="H273" s="2">
        <f>경동전체1!H273</f>
        <v>0</v>
      </c>
      <c r="I273" s="2" t="str">
        <f>경동전체1!I273&amp;""</f>
        <v/>
      </c>
      <c r="J273" s="2" t="s">
        <v>36</v>
      </c>
      <c r="K273" s="2" t="str">
        <f>IF(LEFT(경동전체1!G273,1)="","따사룸",경동전체1!G273)</f>
        <v>따사룸</v>
      </c>
      <c r="L273" s="4" t="str">
        <f t="shared" si="16"/>
        <v>1</v>
      </c>
      <c r="M273" s="1" t="str">
        <f>IF(LEFT(경동전체1!D273,1)="2","비닐",IF(LEFT(경동전체1!O273,1)="박","박스","비닐"))</f>
        <v>비닐</v>
      </c>
      <c r="N273" s="25">
        <v>1</v>
      </c>
      <c r="O273" s="25">
        <v>1</v>
      </c>
      <c r="P273" s="25">
        <v>1</v>
      </c>
      <c r="Q273" s="25">
        <v>1</v>
      </c>
      <c r="R273" s="1" t="str">
        <f t="shared" si="17"/>
        <v>50</v>
      </c>
      <c r="S273" s="1">
        <f>경동전체1!B273</f>
        <v>0</v>
      </c>
      <c r="T273" s="1" t="str">
        <f t="shared" si="18"/>
        <v>100</v>
      </c>
      <c r="U273" s="5" t="str">
        <f t="shared" si="19"/>
        <v>0</v>
      </c>
      <c r="V273" s="26">
        <v>0</v>
      </c>
      <c r="W273" s="26">
        <v>0</v>
      </c>
      <c r="X273" s="2" t="str">
        <f>SUBSTITUTE(SUBSTITUTE(SUBSTITUTE(SUBSTITUTE(SUBSTITUTE(SUBSTITUTE(SUBSTITUTE(SUBSTITUTE(SUBSTITUTE(SUBSTITUTE(SUBSTITUTE(SUBSTITUTE(SUBSTITUTE(경동전체1!D273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4" spans="1:24" ht="20.25" customHeight="1" x14ac:dyDescent="0.3">
      <c r="A274" s="2">
        <f>경동전체1!A274</f>
        <v>0</v>
      </c>
      <c r="B274" s="13" t="str">
        <f>SUBSTITUTE(SUBSTITUTE(SUBSTITUTE(SUBSTITUTE(SUBSTITUTE(SUBSTITUTE(SUBSTITUTE(SUBSTITUTE(SUBSTITUTE(SUBSTITUTE(SUBSTITUTE(SUBSTITUTE(SUBSTITUTE(경동전체1!K274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4" s="30">
        <f>경동전체1!E274</f>
        <v>0</v>
      </c>
      <c r="D274" s="23"/>
      <c r="E274" s="23"/>
      <c r="F274" s="4">
        <f>경동전체1!J274</f>
        <v>0</v>
      </c>
      <c r="G274" s="23"/>
      <c r="H274" s="2">
        <f>경동전체1!H274</f>
        <v>0</v>
      </c>
      <c r="I274" s="2" t="str">
        <f>경동전체1!I274&amp;""</f>
        <v/>
      </c>
      <c r="J274" s="2" t="s">
        <v>36</v>
      </c>
      <c r="K274" s="2" t="str">
        <f>IF(LEFT(경동전체1!G274,1)="","따사룸",경동전체1!G274)</f>
        <v>따사룸</v>
      </c>
      <c r="L274" s="4" t="str">
        <f t="shared" si="16"/>
        <v>1</v>
      </c>
      <c r="M274" s="1" t="str">
        <f>IF(LEFT(경동전체1!D274,1)="2","비닐",IF(LEFT(경동전체1!O274,1)="박","박스","비닐"))</f>
        <v>비닐</v>
      </c>
      <c r="N274" s="25">
        <v>1</v>
      </c>
      <c r="O274" s="25">
        <v>1</v>
      </c>
      <c r="P274" s="25">
        <v>1</v>
      </c>
      <c r="Q274" s="25">
        <v>1</v>
      </c>
      <c r="R274" s="1" t="str">
        <f t="shared" si="17"/>
        <v>50</v>
      </c>
      <c r="S274" s="1">
        <f>경동전체1!B274</f>
        <v>0</v>
      </c>
      <c r="T274" s="1" t="str">
        <f t="shared" si="18"/>
        <v>100</v>
      </c>
      <c r="U274" s="5" t="str">
        <f t="shared" si="19"/>
        <v>0</v>
      </c>
      <c r="V274" s="26">
        <v>0</v>
      </c>
      <c r="W274" s="26">
        <v>0</v>
      </c>
      <c r="X274" s="2" t="str">
        <f>SUBSTITUTE(SUBSTITUTE(SUBSTITUTE(SUBSTITUTE(SUBSTITUTE(SUBSTITUTE(SUBSTITUTE(SUBSTITUTE(SUBSTITUTE(SUBSTITUTE(SUBSTITUTE(SUBSTITUTE(SUBSTITUTE(경동전체1!D274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5" spans="1:24" ht="20.25" customHeight="1" x14ac:dyDescent="0.3">
      <c r="A275" s="2">
        <f>경동전체1!A275</f>
        <v>0</v>
      </c>
      <c r="B275" s="13" t="str">
        <f>SUBSTITUTE(SUBSTITUTE(SUBSTITUTE(SUBSTITUTE(SUBSTITUTE(SUBSTITUTE(SUBSTITUTE(SUBSTITUTE(SUBSTITUTE(SUBSTITUTE(SUBSTITUTE(SUBSTITUTE(SUBSTITUTE(경동전체1!K275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5" s="30">
        <f>경동전체1!E275</f>
        <v>0</v>
      </c>
      <c r="D275" s="23"/>
      <c r="E275" s="23"/>
      <c r="F275" s="4">
        <f>경동전체1!J275</f>
        <v>0</v>
      </c>
      <c r="G275" s="23"/>
      <c r="H275" s="2">
        <f>경동전체1!H275</f>
        <v>0</v>
      </c>
      <c r="I275" s="2" t="str">
        <f>경동전체1!I275&amp;""</f>
        <v/>
      </c>
      <c r="J275" s="2" t="s">
        <v>36</v>
      </c>
      <c r="K275" s="2" t="str">
        <f>IF(LEFT(경동전체1!G275,1)="","따사룸",경동전체1!G275)</f>
        <v>따사룸</v>
      </c>
      <c r="L275" s="4" t="str">
        <f t="shared" si="16"/>
        <v>1</v>
      </c>
      <c r="M275" s="1" t="str">
        <f>IF(LEFT(경동전체1!D275,1)="2","비닐",IF(LEFT(경동전체1!O275,1)="박","박스","비닐"))</f>
        <v>비닐</v>
      </c>
      <c r="N275" s="25">
        <v>1</v>
      </c>
      <c r="O275" s="25">
        <v>1</v>
      </c>
      <c r="P275" s="25">
        <v>1</v>
      </c>
      <c r="Q275" s="25">
        <v>1</v>
      </c>
      <c r="R275" s="1" t="str">
        <f t="shared" si="17"/>
        <v>50</v>
      </c>
      <c r="S275" s="1">
        <f>경동전체1!B275</f>
        <v>0</v>
      </c>
      <c r="T275" s="1" t="str">
        <f t="shared" si="18"/>
        <v>100</v>
      </c>
      <c r="U275" s="5" t="str">
        <f t="shared" si="19"/>
        <v>0</v>
      </c>
      <c r="V275" s="26">
        <v>0</v>
      </c>
      <c r="W275" s="26">
        <v>0</v>
      </c>
      <c r="X275" s="2" t="str">
        <f>SUBSTITUTE(SUBSTITUTE(SUBSTITUTE(SUBSTITUTE(SUBSTITUTE(SUBSTITUTE(SUBSTITUTE(SUBSTITUTE(SUBSTITUTE(SUBSTITUTE(SUBSTITUTE(SUBSTITUTE(SUBSTITUTE(경동전체1!D275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6" spans="1:24" ht="20.25" customHeight="1" x14ac:dyDescent="0.3">
      <c r="A276" s="2">
        <f>경동전체1!A276</f>
        <v>0</v>
      </c>
      <c r="B276" s="13" t="str">
        <f>SUBSTITUTE(SUBSTITUTE(SUBSTITUTE(SUBSTITUTE(SUBSTITUTE(SUBSTITUTE(SUBSTITUTE(SUBSTITUTE(SUBSTITUTE(SUBSTITUTE(SUBSTITUTE(SUBSTITUTE(SUBSTITUTE(경동전체1!K276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6" s="30">
        <f>경동전체1!E276</f>
        <v>0</v>
      </c>
      <c r="D276" s="23"/>
      <c r="E276" s="23"/>
      <c r="F276" s="4">
        <f>경동전체1!J276</f>
        <v>0</v>
      </c>
      <c r="G276" s="23"/>
      <c r="H276" s="2">
        <f>경동전체1!H276</f>
        <v>0</v>
      </c>
      <c r="I276" s="2" t="str">
        <f>경동전체1!I276&amp;""</f>
        <v/>
      </c>
      <c r="J276" s="2" t="s">
        <v>36</v>
      </c>
      <c r="K276" s="2" t="str">
        <f>IF(LEFT(경동전체1!G276,1)="","따사룸",경동전체1!G276)</f>
        <v>따사룸</v>
      </c>
      <c r="L276" s="4" t="str">
        <f t="shared" si="16"/>
        <v>1</v>
      </c>
      <c r="M276" s="1" t="str">
        <f>IF(LEFT(경동전체1!D276,1)="2","비닐",IF(LEFT(경동전체1!O276,1)="박","박스","비닐"))</f>
        <v>비닐</v>
      </c>
      <c r="N276" s="25">
        <v>1</v>
      </c>
      <c r="O276" s="25">
        <v>1</v>
      </c>
      <c r="P276" s="25">
        <v>1</v>
      </c>
      <c r="Q276" s="25">
        <v>1</v>
      </c>
      <c r="R276" s="1" t="str">
        <f t="shared" si="17"/>
        <v>50</v>
      </c>
      <c r="S276" s="1">
        <f>경동전체1!B276</f>
        <v>0</v>
      </c>
      <c r="T276" s="1" t="str">
        <f t="shared" si="18"/>
        <v>100</v>
      </c>
      <c r="U276" s="5" t="str">
        <f t="shared" si="19"/>
        <v>0</v>
      </c>
      <c r="V276" s="26">
        <v>0</v>
      </c>
      <c r="W276" s="26">
        <v>0</v>
      </c>
      <c r="X276" s="2" t="str">
        <f>SUBSTITUTE(SUBSTITUTE(SUBSTITUTE(SUBSTITUTE(SUBSTITUTE(SUBSTITUTE(SUBSTITUTE(SUBSTITUTE(SUBSTITUTE(SUBSTITUTE(SUBSTITUTE(SUBSTITUTE(SUBSTITUTE(경동전체1!D276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7" spans="1:24" ht="20.25" customHeight="1" x14ac:dyDescent="0.3">
      <c r="A277" s="2">
        <f>경동전체1!A277</f>
        <v>0</v>
      </c>
      <c r="B277" s="13" t="str">
        <f>SUBSTITUTE(SUBSTITUTE(SUBSTITUTE(SUBSTITUTE(SUBSTITUTE(SUBSTITUTE(SUBSTITUTE(SUBSTITUTE(SUBSTITUTE(SUBSTITUTE(SUBSTITUTE(SUBSTITUTE(SUBSTITUTE(경동전체1!K277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7" s="30">
        <f>경동전체1!E277</f>
        <v>0</v>
      </c>
      <c r="D277" s="23"/>
      <c r="E277" s="23"/>
      <c r="F277" s="4">
        <f>경동전체1!J277</f>
        <v>0</v>
      </c>
      <c r="G277" s="23"/>
      <c r="H277" s="2">
        <f>경동전체1!H277</f>
        <v>0</v>
      </c>
      <c r="I277" s="2" t="str">
        <f>경동전체1!I277&amp;""</f>
        <v/>
      </c>
      <c r="J277" s="2" t="s">
        <v>36</v>
      </c>
      <c r="K277" s="2" t="str">
        <f>IF(LEFT(경동전체1!G277,1)="","따사룸",경동전체1!G277)</f>
        <v>따사룸</v>
      </c>
      <c r="L277" s="4" t="str">
        <f t="shared" si="16"/>
        <v>1</v>
      </c>
      <c r="M277" s="1" t="str">
        <f>IF(LEFT(경동전체1!D277,1)="2","비닐",IF(LEFT(경동전체1!O277,1)="박","박스","비닐"))</f>
        <v>비닐</v>
      </c>
      <c r="N277" s="25">
        <v>1</v>
      </c>
      <c r="O277" s="25">
        <v>1</v>
      </c>
      <c r="P277" s="25">
        <v>1</v>
      </c>
      <c r="Q277" s="25">
        <v>1</v>
      </c>
      <c r="R277" s="1" t="str">
        <f t="shared" si="17"/>
        <v>50</v>
      </c>
      <c r="S277" s="1">
        <f>경동전체1!B277</f>
        <v>0</v>
      </c>
      <c r="T277" s="1" t="str">
        <f t="shared" si="18"/>
        <v>100</v>
      </c>
      <c r="U277" s="5" t="str">
        <f t="shared" si="19"/>
        <v>0</v>
      </c>
      <c r="V277" s="26">
        <v>0</v>
      </c>
      <c r="W277" s="26">
        <v>0</v>
      </c>
      <c r="X277" s="2" t="str">
        <f>SUBSTITUTE(SUBSTITUTE(SUBSTITUTE(SUBSTITUTE(SUBSTITUTE(SUBSTITUTE(SUBSTITUTE(SUBSTITUTE(SUBSTITUTE(SUBSTITUTE(SUBSTITUTE(SUBSTITUTE(SUBSTITUTE(경동전체1!D277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8" spans="1:24" ht="20.25" customHeight="1" x14ac:dyDescent="0.3">
      <c r="A278" s="2">
        <f>경동전체1!A278</f>
        <v>0</v>
      </c>
      <c r="B278" s="13" t="str">
        <f>SUBSTITUTE(SUBSTITUTE(SUBSTITUTE(SUBSTITUTE(SUBSTITUTE(SUBSTITUTE(SUBSTITUTE(SUBSTITUTE(SUBSTITUTE(SUBSTITUTE(SUBSTITUTE(SUBSTITUTE(SUBSTITUTE(경동전체1!K278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8" s="30">
        <f>경동전체1!E278</f>
        <v>0</v>
      </c>
      <c r="D278" s="23"/>
      <c r="E278" s="23"/>
      <c r="F278" s="4">
        <f>경동전체1!J278</f>
        <v>0</v>
      </c>
      <c r="G278" s="23"/>
      <c r="H278" s="2">
        <f>경동전체1!H278</f>
        <v>0</v>
      </c>
      <c r="I278" s="2" t="str">
        <f>경동전체1!I278&amp;""</f>
        <v/>
      </c>
      <c r="J278" s="2" t="s">
        <v>36</v>
      </c>
      <c r="K278" s="2" t="str">
        <f>IF(LEFT(경동전체1!G278,1)="","따사룸",경동전체1!G278)</f>
        <v>따사룸</v>
      </c>
      <c r="L278" s="4" t="str">
        <f t="shared" si="16"/>
        <v>1</v>
      </c>
      <c r="M278" s="1" t="str">
        <f>IF(LEFT(경동전체1!D278,1)="2","비닐",IF(LEFT(경동전체1!O278,1)="박","박스","비닐"))</f>
        <v>비닐</v>
      </c>
      <c r="N278" s="25">
        <v>1</v>
      </c>
      <c r="O278" s="25">
        <v>1</v>
      </c>
      <c r="P278" s="25">
        <v>1</v>
      </c>
      <c r="Q278" s="25">
        <v>1</v>
      </c>
      <c r="R278" s="1" t="str">
        <f t="shared" si="17"/>
        <v>50</v>
      </c>
      <c r="S278" s="1">
        <f>경동전체1!B278</f>
        <v>0</v>
      </c>
      <c r="T278" s="1" t="str">
        <f t="shared" si="18"/>
        <v>100</v>
      </c>
      <c r="U278" s="5" t="str">
        <f t="shared" si="19"/>
        <v>0</v>
      </c>
      <c r="V278" s="26">
        <v>0</v>
      </c>
      <c r="W278" s="26">
        <v>0</v>
      </c>
      <c r="X278" s="2" t="str">
        <f>SUBSTITUTE(SUBSTITUTE(SUBSTITUTE(SUBSTITUTE(SUBSTITUTE(SUBSTITUTE(SUBSTITUTE(SUBSTITUTE(SUBSTITUTE(SUBSTITUTE(SUBSTITUTE(SUBSTITUTE(SUBSTITUTE(경동전체1!D278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9" spans="1:24" ht="20.25" customHeight="1" x14ac:dyDescent="0.3">
      <c r="A279" s="2">
        <f>경동전체1!A279</f>
        <v>0</v>
      </c>
      <c r="B279" s="13" t="str">
        <f>SUBSTITUTE(SUBSTITUTE(SUBSTITUTE(SUBSTITUTE(SUBSTITUTE(SUBSTITUTE(SUBSTITUTE(SUBSTITUTE(SUBSTITUTE(SUBSTITUTE(SUBSTITUTE(SUBSTITUTE(SUBSTITUTE(경동전체1!K279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9" s="30">
        <f>경동전체1!E279</f>
        <v>0</v>
      </c>
      <c r="D279" s="23"/>
      <c r="E279" s="23"/>
      <c r="F279" s="4">
        <f>경동전체1!J279</f>
        <v>0</v>
      </c>
      <c r="G279" s="23"/>
      <c r="H279" s="2">
        <f>경동전체1!H279</f>
        <v>0</v>
      </c>
      <c r="I279" s="2" t="str">
        <f>경동전체1!I279&amp;""</f>
        <v/>
      </c>
      <c r="J279" s="2" t="s">
        <v>36</v>
      </c>
      <c r="K279" s="2" t="str">
        <f>IF(LEFT(경동전체1!G279,1)="","따사룸",경동전체1!G279)</f>
        <v>따사룸</v>
      </c>
      <c r="L279" s="4" t="str">
        <f t="shared" si="16"/>
        <v>1</v>
      </c>
      <c r="M279" s="1" t="str">
        <f>IF(LEFT(경동전체1!D279,1)="2","비닐",IF(LEFT(경동전체1!O279,1)="박","박스","비닐"))</f>
        <v>비닐</v>
      </c>
      <c r="N279" s="25">
        <v>1</v>
      </c>
      <c r="O279" s="25">
        <v>1</v>
      </c>
      <c r="P279" s="25">
        <v>1</v>
      </c>
      <c r="Q279" s="25">
        <v>1</v>
      </c>
      <c r="R279" s="1" t="str">
        <f t="shared" si="17"/>
        <v>50</v>
      </c>
      <c r="S279" s="1">
        <f>경동전체1!B279</f>
        <v>0</v>
      </c>
      <c r="T279" s="1" t="str">
        <f t="shared" si="18"/>
        <v>100</v>
      </c>
      <c r="U279" s="5" t="str">
        <f t="shared" si="19"/>
        <v>0</v>
      </c>
      <c r="V279" s="26">
        <v>0</v>
      </c>
      <c r="W279" s="26">
        <v>0</v>
      </c>
      <c r="X279" s="2" t="str">
        <f>SUBSTITUTE(SUBSTITUTE(SUBSTITUTE(SUBSTITUTE(SUBSTITUTE(SUBSTITUTE(SUBSTITUTE(SUBSTITUTE(SUBSTITUTE(SUBSTITUTE(SUBSTITUTE(SUBSTITUTE(SUBSTITUTE(경동전체1!D279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0" spans="1:24" ht="20.25" customHeight="1" x14ac:dyDescent="0.3">
      <c r="A280" s="2">
        <f>경동전체1!A280</f>
        <v>0</v>
      </c>
      <c r="B280" s="13" t="str">
        <f>SUBSTITUTE(SUBSTITUTE(SUBSTITUTE(SUBSTITUTE(SUBSTITUTE(SUBSTITUTE(SUBSTITUTE(SUBSTITUTE(SUBSTITUTE(SUBSTITUTE(SUBSTITUTE(SUBSTITUTE(SUBSTITUTE(경동전체1!K280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0" s="30">
        <f>경동전체1!E280</f>
        <v>0</v>
      </c>
      <c r="D280" s="23"/>
      <c r="E280" s="23"/>
      <c r="F280" s="4">
        <f>경동전체1!J280</f>
        <v>0</v>
      </c>
      <c r="G280" s="23"/>
      <c r="H280" s="2">
        <f>경동전체1!H280</f>
        <v>0</v>
      </c>
      <c r="I280" s="2" t="str">
        <f>경동전체1!I280&amp;""</f>
        <v/>
      </c>
      <c r="J280" s="2" t="s">
        <v>36</v>
      </c>
      <c r="K280" s="2" t="str">
        <f>IF(LEFT(경동전체1!G280,1)="","따사룸",경동전체1!G280)</f>
        <v>따사룸</v>
      </c>
      <c r="L280" s="4" t="str">
        <f t="shared" si="16"/>
        <v>1</v>
      </c>
      <c r="M280" s="1" t="str">
        <f>IF(LEFT(경동전체1!D280,1)="2","비닐",IF(LEFT(경동전체1!O280,1)="박","박스","비닐"))</f>
        <v>비닐</v>
      </c>
      <c r="N280" s="25">
        <v>1</v>
      </c>
      <c r="O280" s="25">
        <v>1</v>
      </c>
      <c r="P280" s="25">
        <v>1</v>
      </c>
      <c r="Q280" s="25">
        <v>1</v>
      </c>
      <c r="R280" s="1" t="str">
        <f t="shared" si="17"/>
        <v>50</v>
      </c>
      <c r="S280" s="1">
        <f>경동전체1!B280</f>
        <v>0</v>
      </c>
      <c r="T280" s="1" t="str">
        <f t="shared" si="18"/>
        <v>100</v>
      </c>
      <c r="U280" s="5" t="str">
        <f t="shared" si="19"/>
        <v>0</v>
      </c>
      <c r="V280" s="26">
        <v>0</v>
      </c>
      <c r="W280" s="26">
        <v>0</v>
      </c>
      <c r="X280" s="2" t="str">
        <f>SUBSTITUTE(SUBSTITUTE(SUBSTITUTE(SUBSTITUTE(SUBSTITUTE(SUBSTITUTE(SUBSTITUTE(SUBSTITUTE(SUBSTITUTE(SUBSTITUTE(SUBSTITUTE(SUBSTITUTE(SUBSTITUTE(경동전체1!D280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1" spans="1:24" ht="20.25" customHeight="1" x14ac:dyDescent="0.3">
      <c r="A281" s="2">
        <f>경동전체1!A281</f>
        <v>0</v>
      </c>
      <c r="B281" s="13" t="str">
        <f>SUBSTITUTE(SUBSTITUTE(SUBSTITUTE(SUBSTITUTE(SUBSTITUTE(SUBSTITUTE(SUBSTITUTE(SUBSTITUTE(SUBSTITUTE(SUBSTITUTE(SUBSTITUTE(SUBSTITUTE(SUBSTITUTE(경동전체1!K281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1" s="30">
        <f>경동전체1!E281</f>
        <v>0</v>
      </c>
      <c r="D281" s="23"/>
      <c r="E281" s="23"/>
      <c r="F281" s="4">
        <f>경동전체1!J281</f>
        <v>0</v>
      </c>
      <c r="G281" s="23"/>
      <c r="H281" s="2">
        <f>경동전체1!H281</f>
        <v>0</v>
      </c>
      <c r="I281" s="2" t="str">
        <f>경동전체1!I281&amp;""</f>
        <v/>
      </c>
      <c r="J281" s="2" t="s">
        <v>36</v>
      </c>
      <c r="K281" s="2" t="str">
        <f>IF(LEFT(경동전체1!G281,1)="","따사룸",경동전체1!G281)</f>
        <v>따사룸</v>
      </c>
      <c r="L281" s="4" t="str">
        <f t="shared" si="16"/>
        <v>1</v>
      </c>
      <c r="M281" s="1" t="str">
        <f>IF(LEFT(경동전체1!D281,1)="2","비닐",IF(LEFT(경동전체1!O281,1)="박","박스","비닐"))</f>
        <v>비닐</v>
      </c>
      <c r="N281" s="25">
        <v>1</v>
      </c>
      <c r="O281" s="25">
        <v>1</v>
      </c>
      <c r="P281" s="25">
        <v>1</v>
      </c>
      <c r="Q281" s="25">
        <v>1</v>
      </c>
      <c r="R281" s="1" t="str">
        <f t="shared" si="17"/>
        <v>50</v>
      </c>
      <c r="S281" s="1">
        <f>경동전체1!B281</f>
        <v>0</v>
      </c>
      <c r="T281" s="1" t="str">
        <f t="shared" si="18"/>
        <v>100</v>
      </c>
      <c r="U281" s="5" t="str">
        <f t="shared" si="19"/>
        <v>0</v>
      </c>
      <c r="V281" s="26">
        <v>0</v>
      </c>
      <c r="W281" s="26">
        <v>0</v>
      </c>
      <c r="X281" s="2" t="str">
        <f>SUBSTITUTE(SUBSTITUTE(SUBSTITUTE(SUBSTITUTE(SUBSTITUTE(SUBSTITUTE(SUBSTITUTE(SUBSTITUTE(SUBSTITUTE(SUBSTITUTE(SUBSTITUTE(SUBSTITUTE(SUBSTITUTE(경동전체1!D281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2" spans="1:24" ht="20.25" customHeight="1" x14ac:dyDescent="0.3">
      <c r="A282" s="2">
        <f>경동전체1!A282</f>
        <v>0</v>
      </c>
      <c r="B282" s="13" t="str">
        <f>SUBSTITUTE(SUBSTITUTE(SUBSTITUTE(SUBSTITUTE(SUBSTITUTE(SUBSTITUTE(SUBSTITUTE(SUBSTITUTE(SUBSTITUTE(SUBSTITUTE(SUBSTITUTE(SUBSTITUTE(SUBSTITUTE(경동전체1!K282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2" s="30">
        <f>경동전체1!E282</f>
        <v>0</v>
      </c>
      <c r="D282" s="23"/>
      <c r="E282" s="23"/>
      <c r="F282" s="4">
        <f>경동전체1!J282</f>
        <v>0</v>
      </c>
      <c r="G282" s="23"/>
      <c r="H282" s="2">
        <f>경동전체1!H282</f>
        <v>0</v>
      </c>
      <c r="I282" s="2" t="str">
        <f>경동전체1!I282&amp;""</f>
        <v/>
      </c>
      <c r="J282" s="2" t="s">
        <v>36</v>
      </c>
      <c r="K282" s="2" t="str">
        <f>IF(LEFT(경동전체1!G282,1)="","따사룸",경동전체1!G282)</f>
        <v>따사룸</v>
      </c>
      <c r="L282" s="4" t="str">
        <f t="shared" si="16"/>
        <v>1</v>
      </c>
      <c r="M282" s="1" t="str">
        <f>IF(LEFT(경동전체1!D282,1)="2","비닐",IF(LEFT(경동전체1!O282,1)="박","박스","비닐"))</f>
        <v>비닐</v>
      </c>
      <c r="N282" s="25">
        <v>1</v>
      </c>
      <c r="O282" s="25">
        <v>1</v>
      </c>
      <c r="P282" s="25">
        <v>1</v>
      </c>
      <c r="Q282" s="25">
        <v>1</v>
      </c>
      <c r="R282" s="1" t="str">
        <f t="shared" si="17"/>
        <v>50</v>
      </c>
      <c r="S282" s="1">
        <f>경동전체1!B282</f>
        <v>0</v>
      </c>
      <c r="T282" s="1" t="str">
        <f t="shared" si="18"/>
        <v>100</v>
      </c>
      <c r="U282" s="5" t="str">
        <f t="shared" si="19"/>
        <v>0</v>
      </c>
      <c r="V282" s="26">
        <v>0</v>
      </c>
      <c r="W282" s="26">
        <v>0</v>
      </c>
      <c r="X282" s="2" t="str">
        <f>SUBSTITUTE(SUBSTITUTE(SUBSTITUTE(SUBSTITUTE(SUBSTITUTE(SUBSTITUTE(SUBSTITUTE(SUBSTITUTE(SUBSTITUTE(SUBSTITUTE(SUBSTITUTE(SUBSTITUTE(SUBSTITUTE(경동전체1!D282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3" spans="1:24" ht="20.25" customHeight="1" x14ac:dyDescent="0.3">
      <c r="A283" s="2">
        <f>경동전체1!A283</f>
        <v>0</v>
      </c>
      <c r="B283" s="13" t="str">
        <f>SUBSTITUTE(SUBSTITUTE(SUBSTITUTE(SUBSTITUTE(SUBSTITUTE(SUBSTITUTE(SUBSTITUTE(SUBSTITUTE(SUBSTITUTE(SUBSTITUTE(SUBSTITUTE(SUBSTITUTE(SUBSTITUTE(경동전체1!K283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3" s="30">
        <f>경동전체1!E283</f>
        <v>0</v>
      </c>
      <c r="D283" s="23"/>
      <c r="E283" s="23"/>
      <c r="F283" s="4">
        <f>경동전체1!J283</f>
        <v>0</v>
      </c>
      <c r="G283" s="23"/>
      <c r="H283" s="2">
        <f>경동전체1!H283</f>
        <v>0</v>
      </c>
      <c r="I283" s="2" t="str">
        <f>경동전체1!I283&amp;""</f>
        <v/>
      </c>
      <c r="J283" s="2" t="s">
        <v>36</v>
      </c>
      <c r="K283" s="2" t="str">
        <f>IF(LEFT(경동전체1!G283,1)="","따사룸",경동전체1!G283)</f>
        <v>따사룸</v>
      </c>
      <c r="L283" s="4" t="str">
        <f t="shared" si="16"/>
        <v>1</v>
      </c>
      <c r="M283" s="1" t="str">
        <f>IF(LEFT(경동전체1!D283,1)="2","비닐",IF(LEFT(경동전체1!O283,1)="박","박스","비닐"))</f>
        <v>비닐</v>
      </c>
      <c r="N283" s="25">
        <v>1</v>
      </c>
      <c r="O283" s="25">
        <v>1</v>
      </c>
      <c r="P283" s="25">
        <v>1</v>
      </c>
      <c r="Q283" s="25">
        <v>1</v>
      </c>
      <c r="R283" s="1" t="str">
        <f t="shared" si="17"/>
        <v>50</v>
      </c>
      <c r="S283" s="1">
        <f>경동전체1!B283</f>
        <v>0</v>
      </c>
      <c r="T283" s="1" t="str">
        <f t="shared" si="18"/>
        <v>100</v>
      </c>
      <c r="U283" s="5" t="str">
        <f t="shared" si="19"/>
        <v>0</v>
      </c>
      <c r="V283" s="26">
        <v>0</v>
      </c>
      <c r="W283" s="26">
        <v>0</v>
      </c>
      <c r="X283" s="2" t="str">
        <f>SUBSTITUTE(SUBSTITUTE(SUBSTITUTE(SUBSTITUTE(SUBSTITUTE(SUBSTITUTE(SUBSTITUTE(SUBSTITUTE(SUBSTITUTE(SUBSTITUTE(SUBSTITUTE(SUBSTITUTE(SUBSTITUTE(경동전체1!D283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4" spans="1:24" ht="20.25" customHeight="1" x14ac:dyDescent="0.3">
      <c r="A284" s="2">
        <f>경동전체1!A284</f>
        <v>0</v>
      </c>
      <c r="B284" s="13" t="str">
        <f>SUBSTITUTE(SUBSTITUTE(SUBSTITUTE(SUBSTITUTE(SUBSTITUTE(SUBSTITUTE(SUBSTITUTE(SUBSTITUTE(SUBSTITUTE(SUBSTITUTE(SUBSTITUTE(SUBSTITUTE(SUBSTITUTE(경동전체1!K284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4" s="30">
        <f>경동전체1!E284</f>
        <v>0</v>
      </c>
      <c r="D284" s="23"/>
      <c r="E284" s="23"/>
      <c r="F284" s="4">
        <f>경동전체1!J284</f>
        <v>0</v>
      </c>
      <c r="G284" s="23"/>
      <c r="H284" s="2">
        <f>경동전체1!H284</f>
        <v>0</v>
      </c>
      <c r="I284" s="2" t="str">
        <f>경동전체1!I284&amp;""</f>
        <v/>
      </c>
      <c r="J284" s="2" t="s">
        <v>36</v>
      </c>
      <c r="K284" s="2" t="str">
        <f>IF(LEFT(경동전체1!G284,1)="","따사룸",경동전체1!G284)</f>
        <v>따사룸</v>
      </c>
      <c r="L284" s="4" t="str">
        <f t="shared" si="16"/>
        <v>1</v>
      </c>
      <c r="M284" s="1" t="str">
        <f>IF(LEFT(경동전체1!D284,1)="2","비닐",IF(LEFT(경동전체1!O284,1)="박","박스","비닐"))</f>
        <v>비닐</v>
      </c>
      <c r="N284" s="25">
        <v>1</v>
      </c>
      <c r="O284" s="25">
        <v>1</v>
      </c>
      <c r="P284" s="25">
        <v>1</v>
      </c>
      <c r="Q284" s="25">
        <v>1</v>
      </c>
      <c r="R284" s="1" t="str">
        <f t="shared" si="17"/>
        <v>50</v>
      </c>
      <c r="S284" s="1">
        <f>경동전체1!B284</f>
        <v>0</v>
      </c>
      <c r="T284" s="1" t="str">
        <f t="shared" si="18"/>
        <v>100</v>
      </c>
      <c r="U284" s="5" t="str">
        <f t="shared" si="19"/>
        <v>0</v>
      </c>
      <c r="V284" s="26">
        <v>0</v>
      </c>
      <c r="W284" s="26">
        <v>0</v>
      </c>
      <c r="X284" s="2" t="str">
        <f>SUBSTITUTE(SUBSTITUTE(SUBSTITUTE(SUBSTITUTE(SUBSTITUTE(SUBSTITUTE(SUBSTITUTE(SUBSTITUTE(SUBSTITUTE(SUBSTITUTE(SUBSTITUTE(SUBSTITUTE(SUBSTITUTE(경동전체1!D284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5" spans="1:24" ht="20.25" customHeight="1" x14ac:dyDescent="0.3">
      <c r="A285" s="2">
        <f>경동전체1!A285</f>
        <v>0</v>
      </c>
      <c r="B285" s="13" t="str">
        <f>SUBSTITUTE(SUBSTITUTE(SUBSTITUTE(SUBSTITUTE(SUBSTITUTE(SUBSTITUTE(SUBSTITUTE(SUBSTITUTE(SUBSTITUTE(SUBSTITUTE(SUBSTITUTE(SUBSTITUTE(SUBSTITUTE(경동전체1!K285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5" s="30">
        <f>경동전체1!E285</f>
        <v>0</v>
      </c>
      <c r="D285" s="23"/>
      <c r="E285" s="23"/>
      <c r="F285" s="4">
        <f>경동전체1!J285</f>
        <v>0</v>
      </c>
      <c r="G285" s="23"/>
      <c r="H285" s="2">
        <f>경동전체1!H285</f>
        <v>0</v>
      </c>
      <c r="I285" s="2" t="str">
        <f>경동전체1!I285&amp;""</f>
        <v/>
      </c>
      <c r="J285" s="2" t="s">
        <v>36</v>
      </c>
      <c r="K285" s="2" t="str">
        <f>IF(LEFT(경동전체1!G285,1)="","따사룸",경동전체1!G285)</f>
        <v>따사룸</v>
      </c>
      <c r="L285" s="4" t="str">
        <f t="shared" si="16"/>
        <v>1</v>
      </c>
      <c r="M285" s="1" t="str">
        <f>IF(LEFT(경동전체1!D285,1)="2","비닐",IF(LEFT(경동전체1!O285,1)="박","박스","비닐"))</f>
        <v>비닐</v>
      </c>
      <c r="N285" s="25">
        <v>1</v>
      </c>
      <c r="O285" s="25">
        <v>1</v>
      </c>
      <c r="P285" s="25">
        <v>1</v>
      </c>
      <c r="Q285" s="25">
        <v>1</v>
      </c>
      <c r="R285" s="1" t="str">
        <f t="shared" si="17"/>
        <v>50</v>
      </c>
      <c r="S285" s="1">
        <f>경동전체1!B285</f>
        <v>0</v>
      </c>
      <c r="T285" s="1" t="str">
        <f t="shared" si="18"/>
        <v>100</v>
      </c>
      <c r="U285" s="5" t="str">
        <f t="shared" si="19"/>
        <v>0</v>
      </c>
      <c r="V285" s="26">
        <v>0</v>
      </c>
      <c r="W285" s="26">
        <v>0</v>
      </c>
      <c r="X285" s="2" t="str">
        <f>SUBSTITUTE(SUBSTITUTE(SUBSTITUTE(SUBSTITUTE(SUBSTITUTE(SUBSTITUTE(SUBSTITUTE(SUBSTITUTE(SUBSTITUTE(SUBSTITUTE(SUBSTITUTE(SUBSTITUTE(SUBSTITUTE(경동전체1!D285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6" spans="1:24" ht="20.25" customHeight="1" x14ac:dyDescent="0.3">
      <c r="A286" s="2">
        <f>경동전체1!A286</f>
        <v>0</v>
      </c>
      <c r="B286" s="13" t="str">
        <f>SUBSTITUTE(SUBSTITUTE(SUBSTITUTE(SUBSTITUTE(SUBSTITUTE(SUBSTITUTE(SUBSTITUTE(SUBSTITUTE(SUBSTITUTE(SUBSTITUTE(SUBSTITUTE(SUBSTITUTE(SUBSTITUTE(경동전체1!K286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6" s="30">
        <f>경동전체1!E286</f>
        <v>0</v>
      </c>
      <c r="D286" s="23"/>
      <c r="E286" s="23"/>
      <c r="F286" s="4">
        <f>경동전체1!J286</f>
        <v>0</v>
      </c>
      <c r="G286" s="23"/>
      <c r="H286" s="2">
        <f>경동전체1!H286</f>
        <v>0</v>
      </c>
      <c r="I286" s="2" t="str">
        <f>경동전체1!I286&amp;""</f>
        <v/>
      </c>
      <c r="J286" s="2" t="s">
        <v>36</v>
      </c>
      <c r="K286" s="2" t="str">
        <f>IF(LEFT(경동전체1!G286,1)="","따사룸",경동전체1!G286)</f>
        <v>따사룸</v>
      </c>
      <c r="L286" s="4" t="str">
        <f t="shared" si="16"/>
        <v>1</v>
      </c>
      <c r="M286" s="1" t="str">
        <f>IF(LEFT(경동전체1!D286,1)="2","비닐",IF(LEFT(경동전체1!O286,1)="박","박스","비닐"))</f>
        <v>비닐</v>
      </c>
      <c r="N286" s="25">
        <v>1</v>
      </c>
      <c r="O286" s="25">
        <v>1</v>
      </c>
      <c r="P286" s="25">
        <v>1</v>
      </c>
      <c r="Q286" s="25">
        <v>1</v>
      </c>
      <c r="R286" s="1" t="str">
        <f t="shared" si="17"/>
        <v>50</v>
      </c>
      <c r="S286" s="1">
        <f>경동전체1!B286</f>
        <v>0</v>
      </c>
      <c r="T286" s="1" t="str">
        <f t="shared" si="18"/>
        <v>100</v>
      </c>
      <c r="U286" s="5" t="str">
        <f t="shared" si="19"/>
        <v>0</v>
      </c>
      <c r="V286" s="26">
        <v>0</v>
      </c>
      <c r="W286" s="26">
        <v>0</v>
      </c>
      <c r="X286" s="2" t="str">
        <f>SUBSTITUTE(SUBSTITUTE(SUBSTITUTE(SUBSTITUTE(SUBSTITUTE(SUBSTITUTE(SUBSTITUTE(SUBSTITUTE(SUBSTITUTE(SUBSTITUTE(SUBSTITUTE(SUBSTITUTE(SUBSTITUTE(경동전체1!D286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7" spans="1:24" ht="20.25" customHeight="1" x14ac:dyDescent="0.3">
      <c r="A287" s="2">
        <f>경동전체1!A287</f>
        <v>0</v>
      </c>
      <c r="B287" s="13" t="str">
        <f>SUBSTITUTE(SUBSTITUTE(SUBSTITUTE(SUBSTITUTE(SUBSTITUTE(SUBSTITUTE(SUBSTITUTE(SUBSTITUTE(SUBSTITUTE(SUBSTITUTE(SUBSTITUTE(SUBSTITUTE(SUBSTITUTE(경동전체1!K287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7" s="30">
        <f>경동전체1!E287</f>
        <v>0</v>
      </c>
      <c r="D287" s="23"/>
      <c r="E287" s="23"/>
      <c r="F287" s="4">
        <f>경동전체1!J287</f>
        <v>0</v>
      </c>
      <c r="G287" s="23"/>
      <c r="H287" s="2">
        <f>경동전체1!H287</f>
        <v>0</v>
      </c>
      <c r="I287" s="2" t="str">
        <f>경동전체1!I287&amp;""</f>
        <v/>
      </c>
      <c r="J287" s="2" t="s">
        <v>36</v>
      </c>
      <c r="K287" s="2" t="str">
        <f>IF(LEFT(경동전체1!G287,1)="","따사룸",경동전체1!G287)</f>
        <v>따사룸</v>
      </c>
      <c r="L287" s="4" t="str">
        <f t="shared" si="16"/>
        <v>1</v>
      </c>
      <c r="M287" s="1" t="str">
        <f>IF(LEFT(경동전체1!D287,1)="2","비닐",IF(LEFT(경동전체1!O287,1)="박","박스","비닐"))</f>
        <v>비닐</v>
      </c>
      <c r="N287" s="25">
        <v>1</v>
      </c>
      <c r="O287" s="25">
        <v>1</v>
      </c>
      <c r="P287" s="25">
        <v>1</v>
      </c>
      <c r="Q287" s="25">
        <v>1</v>
      </c>
      <c r="R287" s="1" t="str">
        <f t="shared" si="17"/>
        <v>50</v>
      </c>
      <c r="S287" s="1">
        <f>경동전체1!B287</f>
        <v>0</v>
      </c>
      <c r="T287" s="1" t="str">
        <f t="shared" si="18"/>
        <v>100</v>
      </c>
      <c r="U287" s="5" t="str">
        <f t="shared" si="19"/>
        <v>0</v>
      </c>
      <c r="V287" s="26">
        <v>0</v>
      </c>
      <c r="W287" s="26">
        <v>0</v>
      </c>
      <c r="X287" s="2" t="str">
        <f>SUBSTITUTE(SUBSTITUTE(SUBSTITUTE(SUBSTITUTE(SUBSTITUTE(SUBSTITUTE(SUBSTITUTE(SUBSTITUTE(SUBSTITUTE(SUBSTITUTE(SUBSTITUTE(SUBSTITUTE(SUBSTITUTE(경동전체1!D287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8" spans="1:24" ht="20.25" customHeight="1" x14ac:dyDescent="0.3">
      <c r="A288" s="2">
        <f>경동전체1!A288</f>
        <v>0</v>
      </c>
      <c r="B288" s="13" t="str">
        <f>SUBSTITUTE(SUBSTITUTE(SUBSTITUTE(SUBSTITUTE(SUBSTITUTE(SUBSTITUTE(SUBSTITUTE(SUBSTITUTE(SUBSTITUTE(SUBSTITUTE(SUBSTITUTE(SUBSTITUTE(SUBSTITUTE(경동전체1!K288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8" s="30">
        <f>경동전체1!E288</f>
        <v>0</v>
      </c>
      <c r="D288" s="23"/>
      <c r="E288" s="23"/>
      <c r="F288" s="4">
        <f>경동전체1!J288</f>
        <v>0</v>
      </c>
      <c r="G288" s="23"/>
      <c r="H288" s="2">
        <f>경동전체1!H288</f>
        <v>0</v>
      </c>
      <c r="I288" s="2" t="str">
        <f>경동전체1!I288&amp;""</f>
        <v/>
      </c>
      <c r="J288" s="2" t="s">
        <v>36</v>
      </c>
      <c r="K288" s="2" t="str">
        <f>IF(LEFT(경동전체1!G288,1)="","따사룸",경동전체1!G288)</f>
        <v>따사룸</v>
      </c>
      <c r="L288" s="4" t="str">
        <f t="shared" si="16"/>
        <v>1</v>
      </c>
      <c r="M288" s="1" t="str">
        <f>IF(LEFT(경동전체1!D288,1)="2","비닐",IF(LEFT(경동전체1!O288,1)="박","박스","비닐"))</f>
        <v>비닐</v>
      </c>
      <c r="N288" s="25">
        <v>1</v>
      </c>
      <c r="O288" s="25">
        <v>1</v>
      </c>
      <c r="P288" s="25">
        <v>1</v>
      </c>
      <c r="Q288" s="25">
        <v>1</v>
      </c>
      <c r="R288" s="1" t="str">
        <f t="shared" si="17"/>
        <v>50</v>
      </c>
      <c r="S288" s="1">
        <f>경동전체1!B288</f>
        <v>0</v>
      </c>
      <c r="T288" s="1" t="str">
        <f t="shared" si="18"/>
        <v>100</v>
      </c>
      <c r="U288" s="5" t="str">
        <f t="shared" si="19"/>
        <v>0</v>
      </c>
      <c r="V288" s="26">
        <v>0</v>
      </c>
      <c r="W288" s="26">
        <v>0</v>
      </c>
      <c r="X288" s="2" t="str">
        <f>SUBSTITUTE(SUBSTITUTE(SUBSTITUTE(SUBSTITUTE(SUBSTITUTE(SUBSTITUTE(SUBSTITUTE(SUBSTITUTE(SUBSTITUTE(SUBSTITUTE(SUBSTITUTE(SUBSTITUTE(SUBSTITUTE(경동전체1!D288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9" spans="1:24" ht="20.25" customHeight="1" x14ac:dyDescent="0.3">
      <c r="A289" s="2">
        <f>경동전체1!A289</f>
        <v>0</v>
      </c>
      <c r="B289" s="13" t="str">
        <f>SUBSTITUTE(SUBSTITUTE(SUBSTITUTE(SUBSTITUTE(SUBSTITUTE(SUBSTITUTE(SUBSTITUTE(SUBSTITUTE(SUBSTITUTE(SUBSTITUTE(SUBSTITUTE(SUBSTITUTE(SUBSTITUTE(경동전체1!K289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9" s="30">
        <f>경동전체1!E289</f>
        <v>0</v>
      </c>
      <c r="D289" s="23"/>
      <c r="E289" s="23"/>
      <c r="F289" s="4">
        <f>경동전체1!J289</f>
        <v>0</v>
      </c>
      <c r="G289" s="23"/>
      <c r="H289" s="2">
        <f>경동전체1!H289</f>
        <v>0</v>
      </c>
      <c r="I289" s="2" t="str">
        <f>경동전체1!I289&amp;""</f>
        <v/>
      </c>
      <c r="J289" s="2" t="s">
        <v>36</v>
      </c>
      <c r="K289" s="2" t="str">
        <f>IF(LEFT(경동전체1!G289,1)="","따사룸",경동전체1!G289)</f>
        <v>따사룸</v>
      </c>
      <c r="L289" s="4" t="str">
        <f t="shared" si="16"/>
        <v>1</v>
      </c>
      <c r="M289" s="1" t="str">
        <f>IF(LEFT(경동전체1!D289,1)="2","비닐",IF(LEFT(경동전체1!O289,1)="박","박스","비닐"))</f>
        <v>비닐</v>
      </c>
      <c r="N289" s="25">
        <v>1</v>
      </c>
      <c r="O289" s="25">
        <v>1</v>
      </c>
      <c r="P289" s="25">
        <v>1</v>
      </c>
      <c r="Q289" s="25">
        <v>1</v>
      </c>
      <c r="R289" s="1" t="str">
        <f t="shared" si="17"/>
        <v>50</v>
      </c>
      <c r="S289" s="1">
        <f>경동전체1!B289</f>
        <v>0</v>
      </c>
      <c r="T289" s="1" t="str">
        <f t="shared" si="18"/>
        <v>100</v>
      </c>
      <c r="U289" s="5" t="str">
        <f t="shared" si="19"/>
        <v>0</v>
      </c>
      <c r="V289" s="26">
        <v>0</v>
      </c>
      <c r="W289" s="26">
        <v>0</v>
      </c>
      <c r="X289" s="2" t="str">
        <f>SUBSTITUTE(SUBSTITUTE(SUBSTITUTE(SUBSTITUTE(SUBSTITUTE(SUBSTITUTE(SUBSTITUTE(SUBSTITUTE(SUBSTITUTE(SUBSTITUTE(SUBSTITUTE(SUBSTITUTE(SUBSTITUTE(경동전체1!D289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0" spans="1:24" ht="20.25" customHeight="1" x14ac:dyDescent="0.3">
      <c r="A290" s="2">
        <f>경동전체1!A290</f>
        <v>0</v>
      </c>
      <c r="B290" s="13" t="str">
        <f>SUBSTITUTE(SUBSTITUTE(SUBSTITUTE(SUBSTITUTE(SUBSTITUTE(SUBSTITUTE(SUBSTITUTE(SUBSTITUTE(SUBSTITUTE(SUBSTITUTE(SUBSTITUTE(SUBSTITUTE(SUBSTITUTE(경동전체1!K290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0" s="30">
        <f>경동전체1!E290</f>
        <v>0</v>
      </c>
      <c r="D290" s="23"/>
      <c r="E290" s="23"/>
      <c r="F290" s="4">
        <f>경동전체1!J290</f>
        <v>0</v>
      </c>
      <c r="G290" s="23"/>
      <c r="H290" s="2">
        <f>경동전체1!H290</f>
        <v>0</v>
      </c>
      <c r="I290" s="2" t="str">
        <f>경동전체1!I290&amp;""</f>
        <v/>
      </c>
      <c r="J290" s="2" t="s">
        <v>36</v>
      </c>
      <c r="K290" s="2" t="str">
        <f>IF(LEFT(경동전체1!G290,1)="","따사룸",경동전체1!G290)</f>
        <v>따사룸</v>
      </c>
      <c r="L290" s="4" t="str">
        <f t="shared" si="16"/>
        <v>1</v>
      </c>
      <c r="M290" s="1" t="str">
        <f>IF(LEFT(경동전체1!D290,1)="2","비닐",IF(LEFT(경동전체1!O290,1)="박","박스","비닐"))</f>
        <v>비닐</v>
      </c>
      <c r="N290" s="25">
        <v>1</v>
      </c>
      <c r="O290" s="25">
        <v>1</v>
      </c>
      <c r="P290" s="25">
        <v>1</v>
      </c>
      <c r="Q290" s="25">
        <v>1</v>
      </c>
      <c r="R290" s="1" t="str">
        <f t="shared" si="17"/>
        <v>50</v>
      </c>
      <c r="S290" s="1">
        <f>경동전체1!B290</f>
        <v>0</v>
      </c>
      <c r="T290" s="1" t="str">
        <f t="shared" si="18"/>
        <v>100</v>
      </c>
      <c r="U290" s="5" t="str">
        <f t="shared" si="19"/>
        <v>0</v>
      </c>
      <c r="V290" s="26">
        <v>0</v>
      </c>
      <c r="W290" s="26">
        <v>0</v>
      </c>
      <c r="X290" s="2" t="str">
        <f>SUBSTITUTE(SUBSTITUTE(SUBSTITUTE(SUBSTITUTE(SUBSTITUTE(SUBSTITUTE(SUBSTITUTE(SUBSTITUTE(SUBSTITUTE(SUBSTITUTE(SUBSTITUTE(SUBSTITUTE(SUBSTITUTE(경동전체1!D290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1" spans="1:24" ht="20.25" customHeight="1" x14ac:dyDescent="0.3">
      <c r="A291" s="2">
        <f>경동전체1!A291</f>
        <v>0</v>
      </c>
      <c r="B291" s="13" t="str">
        <f>SUBSTITUTE(SUBSTITUTE(SUBSTITUTE(SUBSTITUTE(SUBSTITUTE(SUBSTITUTE(SUBSTITUTE(SUBSTITUTE(SUBSTITUTE(SUBSTITUTE(SUBSTITUTE(SUBSTITUTE(SUBSTITUTE(경동전체1!K291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1" s="30">
        <f>경동전체1!E291</f>
        <v>0</v>
      </c>
      <c r="D291" s="23"/>
      <c r="E291" s="23"/>
      <c r="F291" s="4">
        <f>경동전체1!J291</f>
        <v>0</v>
      </c>
      <c r="G291" s="23"/>
      <c r="H291" s="2">
        <f>경동전체1!H291</f>
        <v>0</v>
      </c>
      <c r="I291" s="2" t="str">
        <f>경동전체1!I291&amp;""</f>
        <v/>
      </c>
      <c r="J291" s="2" t="s">
        <v>36</v>
      </c>
      <c r="K291" s="2" t="str">
        <f>IF(LEFT(경동전체1!G291,1)="","따사룸",경동전체1!G291)</f>
        <v>따사룸</v>
      </c>
      <c r="L291" s="4" t="str">
        <f t="shared" si="16"/>
        <v>1</v>
      </c>
      <c r="M291" s="1" t="str">
        <f>IF(LEFT(경동전체1!D291,1)="2","비닐",IF(LEFT(경동전체1!O291,1)="박","박스","비닐"))</f>
        <v>비닐</v>
      </c>
      <c r="N291" s="25">
        <v>1</v>
      </c>
      <c r="O291" s="25">
        <v>1</v>
      </c>
      <c r="P291" s="25">
        <v>1</v>
      </c>
      <c r="Q291" s="25">
        <v>1</v>
      </c>
      <c r="R291" s="1" t="str">
        <f t="shared" si="17"/>
        <v>50</v>
      </c>
      <c r="S291" s="1">
        <f>경동전체1!B291</f>
        <v>0</v>
      </c>
      <c r="T291" s="1" t="str">
        <f t="shared" si="18"/>
        <v>100</v>
      </c>
      <c r="U291" s="5" t="str">
        <f t="shared" si="19"/>
        <v>0</v>
      </c>
      <c r="V291" s="26">
        <v>0</v>
      </c>
      <c r="W291" s="26">
        <v>0</v>
      </c>
      <c r="X291" s="2" t="str">
        <f>SUBSTITUTE(SUBSTITUTE(SUBSTITUTE(SUBSTITUTE(SUBSTITUTE(SUBSTITUTE(SUBSTITUTE(SUBSTITUTE(SUBSTITUTE(SUBSTITUTE(SUBSTITUTE(SUBSTITUTE(SUBSTITUTE(경동전체1!D291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2" spans="1:24" ht="20.25" customHeight="1" x14ac:dyDescent="0.3">
      <c r="A292" s="2">
        <f>경동전체1!A292</f>
        <v>0</v>
      </c>
      <c r="B292" s="13" t="str">
        <f>SUBSTITUTE(SUBSTITUTE(SUBSTITUTE(SUBSTITUTE(SUBSTITUTE(SUBSTITUTE(SUBSTITUTE(SUBSTITUTE(SUBSTITUTE(SUBSTITUTE(SUBSTITUTE(SUBSTITUTE(SUBSTITUTE(경동전체1!K292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2" s="30">
        <f>경동전체1!E292</f>
        <v>0</v>
      </c>
      <c r="D292" s="23"/>
      <c r="E292" s="23"/>
      <c r="F292" s="4">
        <f>경동전체1!J292</f>
        <v>0</v>
      </c>
      <c r="G292" s="23"/>
      <c r="H292" s="2">
        <f>경동전체1!H292</f>
        <v>0</v>
      </c>
      <c r="I292" s="2" t="str">
        <f>경동전체1!I292&amp;""</f>
        <v/>
      </c>
      <c r="J292" s="2" t="s">
        <v>36</v>
      </c>
      <c r="K292" s="2" t="str">
        <f>IF(LEFT(경동전체1!G292,1)="","따사룸",경동전체1!G292)</f>
        <v>따사룸</v>
      </c>
      <c r="L292" s="4" t="str">
        <f t="shared" si="16"/>
        <v>1</v>
      </c>
      <c r="M292" s="1" t="str">
        <f>IF(LEFT(경동전체1!D292,1)="2","비닐",IF(LEFT(경동전체1!O292,1)="박","박스","비닐"))</f>
        <v>비닐</v>
      </c>
      <c r="N292" s="25">
        <v>1</v>
      </c>
      <c r="O292" s="25">
        <v>1</v>
      </c>
      <c r="P292" s="25">
        <v>1</v>
      </c>
      <c r="Q292" s="25">
        <v>1</v>
      </c>
      <c r="R292" s="1" t="str">
        <f t="shared" si="17"/>
        <v>50</v>
      </c>
      <c r="S292" s="1">
        <f>경동전체1!B292</f>
        <v>0</v>
      </c>
      <c r="T292" s="1" t="str">
        <f t="shared" si="18"/>
        <v>100</v>
      </c>
      <c r="U292" s="5" t="str">
        <f t="shared" si="19"/>
        <v>0</v>
      </c>
      <c r="V292" s="26">
        <v>0</v>
      </c>
      <c r="W292" s="26">
        <v>0</v>
      </c>
      <c r="X292" s="2" t="str">
        <f>SUBSTITUTE(SUBSTITUTE(SUBSTITUTE(SUBSTITUTE(SUBSTITUTE(SUBSTITUTE(SUBSTITUTE(SUBSTITUTE(SUBSTITUTE(SUBSTITUTE(SUBSTITUTE(SUBSTITUTE(SUBSTITUTE(경동전체1!D292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3" spans="1:24" ht="20.25" customHeight="1" x14ac:dyDescent="0.3">
      <c r="A293" s="2">
        <f>경동전체1!A293</f>
        <v>0</v>
      </c>
      <c r="B293" s="13" t="str">
        <f>SUBSTITUTE(SUBSTITUTE(SUBSTITUTE(SUBSTITUTE(SUBSTITUTE(SUBSTITUTE(SUBSTITUTE(SUBSTITUTE(SUBSTITUTE(SUBSTITUTE(SUBSTITUTE(SUBSTITUTE(SUBSTITUTE(경동전체1!K293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3" s="30">
        <f>경동전체1!E293</f>
        <v>0</v>
      </c>
      <c r="D293" s="23"/>
      <c r="E293" s="23"/>
      <c r="F293" s="4">
        <f>경동전체1!J293</f>
        <v>0</v>
      </c>
      <c r="G293" s="23"/>
      <c r="H293" s="2">
        <f>경동전체1!H293</f>
        <v>0</v>
      </c>
      <c r="I293" s="2" t="str">
        <f>경동전체1!I293&amp;""</f>
        <v/>
      </c>
      <c r="J293" s="2" t="s">
        <v>36</v>
      </c>
      <c r="K293" s="2" t="str">
        <f>IF(LEFT(경동전체1!G293,1)="","따사룸",경동전체1!G293)</f>
        <v>따사룸</v>
      </c>
      <c r="L293" s="4" t="str">
        <f t="shared" si="16"/>
        <v>1</v>
      </c>
      <c r="M293" s="1" t="str">
        <f>IF(LEFT(경동전체1!D293,1)="2","비닐",IF(LEFT(경동전체1!O293,1)="박","박스","비닐"))</f>
        <v>비닐</v>
      </c>
      <c r="N293" s="25">
        <v>1</v>
      </c>
      <c r="O293" s="25">
        <v>1</v>
      </c>
      <c r="P293" s="25">
        <v>1</v>
      </c>
      <c r="Q293" s="25">
        <v>1</v>
      </c>
      <c r="R293" s="1" t="str">
        <f t="shared" si="17"/>
        <v>50</v>
      </c>
      <c r="S293" s="1">
        <f>경동전체1!B293</f>
        <v>0</v>
      </c>
      <c r="T293" s="1" t="str">
        <f t="shared" si="18"/>
        <v>100</v>
      </c>
      <c r="U293" s="5" t="str">
        <f t="shared" si="19"/>
        <v>0</v>
      </c>
      <c r="V293" s="26">
        <v>0</v>
      </c>
      <c r="W293" s="26">
        <v>0</v>
      </c>
      <c r="X293" s="2" t="str">
        <f>SUBSTITUTE(SUBSTITUTE(SUBSTITUTE(SUBSTITUTE(SUBSTITUTE(SUBSTITUTE(SUBSTITUTE(SUBSTITUTE(SUBSTITUTE(SUBSTITUTE(SUBSTITUTE(SUBSTITUTE(SUBSTITUTE(경동전체1!D293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4" spans="1:24" ht="20.25" customHeight="1" x14ac:dyDescent="0.3">
      <c r="A294" s="2">
        <f>경동전체1!A294</f>
        <v>0</v>
      </c>
      <c r="B294" s="13" t="str">
        <f>SUBSTITUTE(SUBSTITUTE(SUBSTITUTE(SUBSTITUTE(SUBSTITUTE(SUBSTITUTE(SUBSTITUTE(SUBSTITUTE(SUBSTITUTE(SUBSTITUTE(SUBSTITUTE(SUBSTITUTE(SUBSTITUTE(경동전체1!K294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4" s="30">
        <f>경동전체1!E294</f>
        <v>0</v>
      </c>
      <c r="D294" s="23"/>
      <c r="E294" s="23"/>
      <c r="F294" s="4">
        <f>경동전체1!J294</f>
        <v>0</v>
      </c>
      <c r="G294" s="23"/>
      <c r="H294" s="2">
        <f>경동전체1!H294</f>
        <v>0</v>
      </c>
      <c r="I294" s="2" t="str">
        <f>경동전체1!I294&amp;""</f>
        <v/>
      </c>
      <c r="J294" s="2" t="s">
        <v>36</v>
      </c>
      <c r="K294" s="2" t="str">
        <f>IF(LEFT(경동전체1!G294,1)="","따사룸",경동전체1!G294)</f>
        <v>따사룸</v>
      </c>
      <c r="L294" s="4" t="str">
        <f t="shared" si="16"/>
        <v>1</v>
      </c>
      <c r="M294" s="1" t="str">
        <f>IF(LEFT(경동전체1!D294,1)="2","비닐",IF(LEFT(경동전체1!O294,1)="박","박스","비닐"))</f>
        <v>비닐</v>
      </c>
      <c r="N294" s="25">
        <v>1</v>
      </c>
      <c r="O294" s="25">
        <v>1</v>
      </c>
      <c r="P294" s="25">
        <v>1</v>
      </c>
      <c r="Q294" s="25">
        <v>1</v>
      </c>
      <c r="R294" s="1" t="str">
        <f t="shared" si="17"/>
        <v>50</v>
      </c>
      <c r="S294" s="1">
        <f>경동전체1!B294</f>
        <v>0</v>
      </c>
      <c r="T294" s="1" t="str">
        <f t="shared" si="18"/>
        <v>100</v>
      </c>
      <c r="U294" s="5" t="str">
        <f t="shared" si="19"/>
        <v>0</v>
      </c>
      <c r="V294" s="26">
        <v>0</v>
      </c>
      <c r="W294" s="26">
        <v>0</v>
      </c>
      <c r="X294" s="2" t="str">
        <f>SUBSTITUTE(SUBSTITUTE(SUBSTITUTE(SUBSTITUTE(SUBSTITUTE(SUBSTITUTE(SUBSTITUTE(SUBSTITUTE(SUBSTITUTE(SUBSTITUTE(SUBSTITUTE(SUBSTITUTE(SUBSTITUTE(경동전체1!D294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5" spans="1:24" ht="20.25" customHeight="1" x14ac:dyDescent="0.3">
      <c r="A295" s="2">
        <f>경동전체1!A295</f>
        <v>0</v>
      </c>
      <c r="B295" s="13" t="str">
        <f>SUBSTITUTE(SUBSTITUTE(SUBSTITUTE(SUBSTITUTE(SUBSTITUTE(SUBSTITUTE(SUBSTITUTE(SUBSTITUTE(SUBSTITUTE(SUBSTITUTE(SUBSTITUTE(SUBSTITUTE(SUBSTITUTE(경동전체1!K295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5" s="30">
        <f>경동전체1!E295</f>
        <v>0</v>
      </c>
      <c r="D295" s="23"/>
      <c r="E295" s="23"/>
      <c r="F295" s="4">
        <f>경동전체1!J295</f>
        <v>0</v>
      </c>
      <c r="G295" s="23"/>
      <c r="H295" s="2">
        <f>경동전체1!H295</f>
        <v>0</v>
      </c>
      <c r="I295" s="2" t="str">
        <f>경동전체1!I295&amp;""</f>
        <v/>
      </c>
      <c r="J295" s="2" t="s">
        <v>36</v>
      </c>
      <c r="K295" s="2" t="str">
        <f>IF(LEFT(경동전체1!G295,1)="","따사룸",경동전체1!G295)</f>
        <v>따사룸</v>
      </c>
      <c r="L295" s="4" t="str">
        <f t="shared" si="16"/>
        <v>1</v>
      </c>
      <c r="M295" s="1" t="str">
        <f>IF(LEFT(경동전체1!D295,1)="2","비닐",IF(LEFT(경동전체1!O295,1)="박","박스","비닐"))</f>
        <v>비닐</v>
      </c>
      <c r="N295" s="25">
        <v>1</v>
      </c>
      <c r="O295" s="25">
        <v>1</v>
      </c>
      <c r="P295" s="25">
        <v>1</v>
      </c>
      <c r="Q295" s="25">
        <v>1</v>
      </c>
      <c r="R295" s="1" t="str">
        <f t="shared" si="17"/>
        <v>50</v>
      </c>
      <c r="S295" s="1">
        <f>경동전체1!B295</f>
        <v>0</v>
      </c>
      <c r="T295" s="1" t="str">
        <f t="shared" si="18"/>
        <v>100</v>
      </c>
      <c r="U295" s="5" t="str">
        <f t="shared" si="19"/>
        <v>0</v>
      </c>
      <c r="V295" s="26">
        <v>0</v>
      </c>
      <c r="W295" s="26">
        <v>0</v>
      </c>
      <c r="X295" s="2" t="str">
        <f>SUBSTITUTE(SUBSTITUTE(SUBSTITUTE(SUBSTITUTE(SUBSTITUTE(SUBSTITUTE(SUBSTITUTE(SUBSTITUTE(SUBSTITUTE(SUBSTITUTE(SUBSTITUTE(SUBSTITUTE(SUBSTITUTE(경동전체1!D295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6" spans="1:24" ht="20.25" customHeight="1" x14ac:dyDescent="0.3">
      <c r="A296" s="2">
        <f>경동전체1!A296</f>
        <v>0</v>
      </c>
      <c r="B296" s="13" t="str">
        <f>SUBSTITUTE(SUBSTITUTE(SUBSTITUTE(SUBSTITUTE(SUBSTITUTE(SUBSTITUTE(SUBSTITUTE(SUBSTITUTE(SUBSTITUTE(SUBSTITUTE(SUBSTITUTE(SUBSTITUTE(SUBSTITUTE(경동전체1!K296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6" s="30">
        <f>경동전체1!E296</f>
        <v>0</v>
      </c>
      <c r="D296" s="23"/>
      <c r="E296" s="23"/>
      <c r="F296" s="4">
        <f>경동전체1!J296</f>
        <v>0</v>
      </c>
      <c r="G296" s="23"/>
      <c r="H296" s="2">
        <f>경동전체1!H296</f>
        <v>0</v>
      </c>
      <c r="I296" s="2" t="str">
        <f>경동전체1!I296&amp;""</f>
        <v/>
      </c>
      <c r="J296" s="2" t="s">
        <v>36</v>
      </c>
      <c r="K296" s="2" t="str">
        <f>IF(LEFT(경동전체1!G296,1)="","따사룸",경동전체1!G296)</f>
        <v>따사룸</v>
      </c>
      <c r="L296" s="4" t="str">
        <f t="shared" si="16"/>
        <v>1</v>
      </c>
      <c r="M296" s="1" t="str">
        <f>IF(LEFT(경동전체1!D296,1)="2","비닐",IF(LEFT(경동전체1!O296,1)="박","박스","비닐"))</f>
        <v>비닐</v>
      </c>
      <c r="N296" s="25">
        <v>1</v>
      </c>
      <c r="O296" s="25">
        <v>1</v>
      </c>
      <c r="P296" s="25">
        <v>1</v>
      </c>
      <c r="Q296" s="25">
        <v>1</v>
      </c>
      <c r="R296" s="1" t="str">
        <f t="shared" si="17"/>
        <v>50</v>
      </c>
      <c r="S296" s="1">
        <f>경동전체1!B296</f>
        <v>0</v>
      </c>
      <c r="T296" s="1" t="str">
        <f t="shared" si="18"/>
        <v>100</v>
      </c>
      <c r="U296" s="5" t="str">
        <f t="shared" si="19"/>
        <v>0</v>
      </c>
      <c r="V296" s="26">
        <v>0</v>
      </c>
      <c r="W296" s="26">
        <v>0</v>
      </c>
      <c r="X296" s="2" t="str">
        <f>SUBSTITUTE(SUBSTITUTE(SUBSTITUTE(SUBSTITUTE(SUBSTITUTE(SUBSTITUTE(SUBSTITUTE(SUBSTITUTE(SUBSTITUTE(SUBSTITUTE(SUBSTITUTE(SUBSTITUTE(SUBSTITUTE(경동전체1!D296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7" spans="1:24" ht="20.25" customHeight="1" x14ac:dyDescent="0.3">
      <c r="A297" s="2">
        <f>경동전체1!A297</f>
        <v>0</v>
      </c>
      <c r="B297" s="13" t="str">
        <f>SUBSTITUTE(SUBSTITUTE(SUBSTITUTE(SUBSTITUTE(SUBSTITUTE(SUBSTITUTE(SUBSTITUTE(SUBSTITUTE(SUBSTITUTE(SUBSTITUTE(SUBSTITUTE(SUBSTITUTE(SUBSTITUTE(경동전체1!K297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7" s="30">
        <f>경동전체1!E297</f>
        <v>0</v>
      </c>
      <c r="D297" s="23"/>
      <c r="E297" s="23"/>
      <c r="F297" s="4">
        <f>경동전체1!J297</f>
        <v>0</v>
      </c>
      <c r="G297" s="23"/>
      <c r="H297" s="2">
        <f>경동전체1!H297</f>
        <v>0</v>
      </c>
      <c r="I297" s="2" t="str">
        <f>경동전체1!I297&amp;""</f>
        <v/>
      </c>
      <c r="J297" s="2" t="s">
        <v>36</v>
      </c>
      <c r="K297" s="2" t="str">
        <f>IF(LEFT(경동전체1!G297,1)="","따사룸",경동전체1!G297)</f>
        <v>따사룸</v>
      </c>
      <c r="L297" s="4" t="str">
        <f t="shared" si="16"/>
        <v>1</v>
      </c>
      <c r="M297" s="1" t="str">
        <f>IF(LEFT(경동전체1!D297,1)="2","비닐",IF(LEFT(경동전체1!O297,1)="박","박스","비닐"))</f>
        <v>비닐</v>
      </c>
      <c r="N297" s="25">
        <v>1</v>
      </c>
      <c r="O297" s="25">
        <v>1</v>
      </c>
      <c r="P297" s="25">
        <v>1</v>
      </c>
      <c r="Q297" s="25">
        <v>1</v>
      </c>
      <c r="R297" s="1" t="str">
        <f t="shared" si="17"/>
        <v>50</v>
      </c>
      <c r="S297" s="1">
        <f>경동전체1!B297</f>
        <v>0</v>
      </c>
      <c r="T297" s="1" t="str">
        <f t="shared" si="18"/>
        <v>100</v>
      </c>
      <c r="U297" s="5" t="str">
        <f t="shared" si="19"/>
        <v>0</v>
      </c>
      <c r="V297" s="26">
        <v>0</v>
      </c>
      <c r="W297" s="26">
        <v>0</v>
      </c>
      <c r="X297" s="2" t="str">
        <f>SUBSTITUTE(SUBSTITUTE(SUBSTITUTE(SUBSTITUTE(SUBSTITUTE(SUBSTITUTE(SUBSTITUTE(SUBSTITUTE(SUBSTITUTE(SUBSTITUTE(SUBSTITUTE(SUBSTITUTE(SUBSTITUTE(경동전체1!D297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8" spans="1:24" ht="20.25" customHeight="1" x14ac:dyDescent="0.3">
      <c r="A298" s="2">
        <f>경동전체1!A298</f>
        <v>0</v>
      </c>
      <c r="B298" s="13" t="str">
        <f>SUBSTITUTE(SUBSTITUTE(SUBSTITUTE(SUBSTITUTE(SUBSTITUTE(SUBSTITUTE(SUBSTITUTE(SUBSTITUTE(SUBSTITUTE(SUBSTITUTE(SUBSTITUTE(SUBSTITUTE(SUBSTITUTE(경동전체1!K298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8" s="30">
        <f>경동전체1!E298</f>
        <v>0</v>
      </c>
      <c r="D298" s="23"/>
      <c r="E298" s="23"/>
      <c r="F298" s="4">
        <f>경동전체1!J298</f>
        <v>0</v>
      </c>
      <c r="G298" s="23"/>
      <c r="H298" s="2">
        <f>경동전체1!H298</f>
        <v>0</v>
      </c>
      <c r="I298" s="2" t="str">
        <f>경동전체1!I298&amp;""</f>
        <v/>
      </c>
      <c r="J298" s="2" t="s">
        <v>36</v>
      </c>
      <c r="K298" s="2" t="str">
        <f>IF(LEFT(경동전체1!G298,1)="","따사룸",경동전체1!G298)</f>
        <v>따사룸</v>
      </c>
      <c r="L298" s="4" t="str">
        <f t="shared" si="16"/>
        <v>1</v>
      </c>
      <c r="M298" s="1" t="str">
        <f>IF(LEFT(경동전체1!D298,1)="2","비닐",IF(LEFT(경동전체1!O298,1)="박","박스","비닐"))</f>
        <v>비닐</v>
      </c>
      <c r="N298" s="25">
        <v>1</v>
      </c>
      <c r="O298" s="25">
        <v>1</v>
      </c>
      <c r="P298" s="25">
        <v>1</v>
      </c>
      <c r="Q298" s="25">
        <v>1</v>
      </c>
      <c r="R298" s="1" t="str">
        <f t="shared" si="17"/>
        <v>50</v>
      </c>
      <c r="S298" s="1">
        <f>경동전체1!B298</f>
        <v>0</v>
      </c>
      <c r="T298" s="1" t="str">
        <f t="shared" si="18"/>
        <v>100</v>
      </c>
      <c r="U298" s="5" t="str">
        <f t="shared" si="19"/>
        <v>0</v>
      </c>
      <c r="V298" s="26">
        <v>0</v>
      </c>
      <c r="W298" s="26">
        <v>0</v>
      </c>
      <c r="X298" s="2" t="str">
        <f>SUBSTITUTE(SUBSTITUTE(SUBSTITUTE(SUBSTITUTE(SUBSTITUTE(SUBSTITUTE(SUBSTITUTE(SUBSTITUTE(SUBSTITUTE(SUBSTITUTE(SUBSTITUTE(SUBSTITUTE(SUBSTITUTE(경동전체1!D298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9" spans="1:24" ht="20.25" customHeight="1" x14ac:dyDescent="0.3">
      <c r="A299" s="2">
        <f>경동전체1!A299</f>
        <v>0</v>
      </c>
      <c r="B299" s="13" t="str">
        <f>SUBSTITUTE(SUBSTITUTE(SUBSTITUTE(SUBSTITUTE(SUBSTITUTE(SUBSTITUTE(SUBSTITUTE(SUBSTITUTE(SUBSTITUTE(SUBSTITUTE(SUBSTITUTE(SUBSTITUTE(SUBSTITUTE(경동전체1!K299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9" s="30">
        <f>경동전체1!E299</f>
        <v>0</v>
      </c>
      <c r="D299" s="23"/>
      <c r="E299" s="23"/>
      <c r="F299" s="4">
        <f>경동전체1!J299</f>
        <v>0</v>
      </c>
      <c r="G299" s="23"/>
      <c r="H299" s="2">
        <f>경동전체1!H299</f>
        <v>0</v>
      </c>
      <c r="I299" s="2" t="str">
        <f>경동전체1!I299&amp;""</f>
        <v/>
      </c>
      <c r="J299" s="2" t="s">
        <v>36</v>
      </c>
      <c r="K299" s="2" t="str">
        <f>IF(LEFT(경동전체1!G299,1)="","따사룸",경동전체1!G299)</f>
        <v>따사룸</v>
      </c>
      <c r="L299" s="4" t="str">
        <f t="shared" si="16"/>
        <v>1</v>
      </c>
      <c r="M299" s="1" t="str">
        <f>IF(LEFT(경동전체1!D299,1)="2","비닐",IF(LEFT(경동전체1!O299,1)="박","박스","비닐"))</f>
        <v>비닐</v>
      </c>
      <c r="N299" s="25">
        <v>1</v>
      </c>
      <c r="O299" s="25">
        <v>1</v>
      </c>
      <c r="P299" s="25">
        <v>1</v>
      </c>
      <c r="Q299" s="25">
        <v>1</v>
      </c>
      <c r="R299" s="1" t="str">
        <f t="shared" si="17"/>
        <v>50</v>
      </c>
      <c r="S299" s="1">
        <f>경동전체1!B299</f>
        <v>0</v>
      </c>
      <c r="T299" s="1" t="str">
        <f t="shared" si="18"/>
        <v>100</v>
      </c>
      <c r="U299" s="5" t="str">
        <f t="shared" si="19"/>
        <v>0</v>
      </c>
      <c r="V299" s="26">
        <v>0</v>
      </c>
      <c r="W299" s="26">
        <v>0</v>
      </c>
      <c r="X299" s="2" t="str">
        <f>SUBSTITUTE(SUBSTITUTE(SUBSTITUTE(SUBSTITUTE(SUBSTITUTE(SUBSTITUTE(SUBSTITUTE(SUBSTITUTE(SUBSTITUTE(SUBSTITUTE(SUBSTITUTE(SUBSTITUTE(SUBSTITUTE(경동전체1!D299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0" spans="1:24" ht="20.25" customHeight="1" x14ac:dyDescent="0.3">
      <c r="A300" s="2">
        <f>경동전체1!A300</f>
        <v>0</v>
      </c>
      <c r="B300" s="13" t="str">
        <f>SUBSTITUTE(SUBSTITUTE(SUBSTITUTE(SUBSTITUTE(SUBSTITUTE(SUBSTITUTE(SUBSTITUTE(SUBSTITUTE(SUBSTITUTE(SUBSTITUTE(SUBSTITUTE(SUBSTITUTE(SUBSTITUTE(경동전체1!K300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0" s="30">
        <f>경동전체1!E300</f>
        <v>0</v>
      </c>
      <c r="D300" s="23"/>
      <c r="E300" s="23"/>
      <c r="F300" s="4">
        <f>경동전체1!J300</f>
        <v>0</v>
      </c>
      <c r="G300" s="23"/>
      <c r="H300" s="2">
        <f>경동전체1!H300</f>
        <v>0</v>
      </c>
      <c r="I300" s="2" t="str">
        <f>경동전체1!I300&amp;""</f>
        <v/>
      </c>
      <c r="J300" s="2" t="s">
        <v>36</v>
      </c>
      <c r="K300" s="2" t="str">
        <f>IF(LEFT(경동전체1!G300,1)="","따사룸",경동전체1!G300)</f>
        <v>따사룸</v>
      </c>
      <c r="L300" s="4" t="str">
        <f t="shared" si="16"/>
        <v>1</v>
      </c>
      <c r="M300" s="1" t="str">
        <f>IF(LEFT(경동전체1!D300,1)="2","비닐",IF(LEFT(경동전체1!O300,1)="박","박스","비닐"))</f>
        <v>비닐</v>
      </c>
      <c r="N300" s="25">
        <v>1</v>
      </c>
      <c r="O300" s="25">
        <v>1</v>
      </c>
      <c r="P300" s="25">
        <v>1</v>
      </c>
      <c r="Q300" s="25">
        <v>1</v>
      </c>
      <c r="R300" s="1" t="str">
        <f t="shared" si="17"/>
        <v>50</v>
      </c>
      <c r="S300" s="1">
        <f>경동전체1!B300</f>
        <v>0</v>
      </c>
      <c r="T300" s="1" t="str">
        <f t="shared" si="18"/>
        <v>100</v>
      </c>
      <c r="U300" s="5" t="str">
        <f t="shared" si="19"/>
        <v>0</v>
      </c>
      <c r="V300" s="26">
        <v>0</v>
      </c>
      <c r="W300" s="26">
        <v>0</v>
      </c>
      <c r="X300" s="2" t="str">
        <f>SUBSTITUTE(SUBSTITUTE(SUBSTITUTE(SUBSTITUTE(SUBSTITUTE(SUBSTITUTE(SUBSTITUTE(SUBSTITUTE(SUBSTITUTE(SUBSTITUTE(SUBSTITUTE(SUBSTITUTE(SUBSTITUTE(경동전체1!D300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1" spans="1:24" ht="20.25" customHeight="1" x14ac:dyDescent="0.3">
      <c r="A301" s="2">
        <f>경동전체1!A301</f>
        <v>0</v>
      </c>
      <c r="B301" s="13" t="str">
        <f>SUBSTITUTE(SUBSTITUTE(SUBSTITUTE(SUBSTITUTE(SUBSTITUTE(SUBSTITUTE(SUBSTITUTE(SUBSTITUTE(SUBSTITUTE(SUBSTITUTE(SUBSTITUTE(SUBSTITUTE(SUBSTITUTE(경동전체1!K301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1" s="30">
        <f>경동전체1!E301</f>
        <v>0</v>
      </c>
      <c r="D301" s="23"/>
      <c r="E301" s="23"/>
      <c r="F301" s="4">
        <f>경동전체1!J301</f>
        <v>0</v>
      </c>
      <c r="G301" s="23"/>
      <c r="H301" s="2">
        <f>경동전체1!H301</f>
        <v>0</v>
      </c>
      <c r="I301" s="2" t="str">
        <f>경동전체1!I301&amp;""</f>
        <v/>
      </c>
      <c r="J301" s="2" t="s">
        <v>36</v>
      </c>
      <c r="K301" s="2" t="str">
        <f>IF(LEFT(경동전체1!G301,1)="","따사룸",경동전체1!G301)</f>
        <v>따사룸</v>
      </c>
      <c r="L301" s="4" t="str">
        <f t="shared" si="16"/>
        <v>1</v>
      </c>
      <c r="M301" s="1" t="str">
        <f>IF(LEFT(경동전체1!D301,1)="2","비닐",IF(LEFT(경동전체1!O301,1)="박","박스","비닐"))</f>
        <v>비닐</v>
      </c>
      <c r="N301" s="25">
        <v>1</v>
      </c>
      <c r="O301" s="25">
        <v>1</v>
      </c>
      <c r="P301" s="25">
        <v>1</v>
      </c>
      <c r="Q301" s="25">
        <v>1</v>
      </c>
      <c r="R301" s="1" t="str">
        <f t="shared" si="17"/>
        <v>50</v>
      </c>
      <c r="S301" s="1">
        <f>경동전체1!B301</f>
        <v>0</v>
      </c>
      <c r="T301" s="1" t="str">
        <f t="shared" si="18"/>
        <v>100</v>
      </c>
      <c r="U301" s="5" t="str">
        <f t="shared" si="19"/>
        <v>0</v>
      </c>
      <c r="V301" s="26">
        <v>0</v>
      </c>
      <c r="W301" s="26">
        <v>0</v>
      </c>
      <c r="X301" s="2" t="str">
        <f>SUBSTITUTE(SUBSTITUTE(SUBSTITUTE(SUBSTITUTE(SUBSTITUTE(SUBSTITUTE(SUBSTITUTE(SUBSTITUTE(SUBSTITUTE(SUBSTITUTE(SUBSTITUTE(SUBSTITUTE(SUBSTITUTE(경동전체1!D301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2" spans="1:24" ht="20.25" customHeight="1" x14ac:dyDescent="0.3">
      <c r="A302" s="2">
        <f>경동전체1!A302</f>
        <v>0</v>
      </c>
      <c r="B302" s="13" t="str">
        <f>SUBSTITUTE(SUBSTITUTE(SUBSTITUTE(SUBSTITUTE(SUBSTITUTE(SUBSTITUTE(SUBSTITUTE(SUBSTITUTE(SUBSTITUTE(SUBSTITUTE(SUBSTITUTE(SUBSTITUTE(SUBSTITUTE(경동전체1!K302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2" s="30">
        <f>경동전체1!E302</f>
        <v>0</v>
      </c>
      <c r="D302" s="23"/>
      <c r="E302" s="23"/>
      <c r="F302" s="4">
        <f>경동전체1!J302</f>
        <v>0</v>
      </c>
      <c r="G302" s="23"/>
      <c r="H302" s="2">
        <f>경동전체1!H302</f>
        <v>0</v>
      </c>
      <c r="I302" s="2" t="str">
        <f>경동전체1!I302&amp;""</f>
        <v/>
      </c>
      <c r="J302" s="2" t="s">
        <v>36</v>
      </c>
      <c r="K302" s="2" t="str">
        <f>IF(LEFT(경동전체1!G302,1)="","따사룸",경동전체1!G302)</f>
        <v>따사룸</v>
      </c>
      <c r="L302" s="4" t="str">
        <f t="shared" si="16"/>
        <v>1</v>
      </c>
      <c r="M302" s="1" t="str">
        <f>IF(LEFT(경동전체1!D302,1)="2","비닐",IF(LEFT(경동전체1!O302,1)="박","박스","비닐"))</f>
        <v>비닐</v>
      </c>
      <c r="N302" s="25">
        <v>1</v>
      </c>
      <c r="O302" s="25">
        <v>1</v>
      </c>
      <c r="P302" s="25">
        <v>1</v>
      </c>
      <c r="Q302" s="25">
        <v>1</v>
      </c>
      <c r="R302" s="1" t="str">
        <f t="shared" si="17"/>
        <v>50</v>
      </c>
      <c r="S302" s="1">
        <f>경동전체1!B302</f>
        <v>0</v>
      </c>
      <c r="T302" s="1" t="str">
        <f t="shared" si="18"/>
        <v>100</v>
      </c>
      <c r="U302" s="5" t="str">
        <f t="shared" si="19"/>
        <v>0</v>
      </c>
      <c r="V302" s="26">
        <v>0</v>
      </c>
      <c r="W302" s="26">
        <v>0</v>
      </c>
      <c r="X302" s="2" t="str">
        <f>SUBSTITUTE(SUBSTITUTE(SUBSTITUTE(SUBSTITUTE(SUBSTITUTE(SUBSTITUTE(SUBSTITUTE(SUBSTITUTE(SUBSTITUTE(SUBSTITUTE(SUBSTITUTE(SUBSTITUTE(SUBSTITUTE(경동전체1!D302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3" spans="1:24" ht="20.25" customHeight="1" x14ac:dyDescent="0.3">
      <c r="A303" s="2">
        <f>경동전체1!A303</f>
        <v>0</v>
      </c>
      <c r="B303" s="13" t="str">
        <f>SUBSTITUTE(SUBSTITUTE(SUBSTITUTE(SUBSTITUTE(SUBSTITUTE(SUBSTITUTE(SUBSTITUTE(SUBSTITUTE(SUBSTITUTE(SUBSTITUTE(SUBSTITUTE(SUBSTITUTE(SUBSTITUTE(경동전체1!K303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3" s="30">
        <f>경동전체1!E303</f>
        <v>0</v>
      </c>
      <c r="D303" s="23"/>
      <c r="E303" s="23"/>
      <c r="F303" s="4">
        <f>경동전체1!J303</f>
        <v>0</v>
      </c>
      <c r="G303" s="23"/>
      <c r="H303" s="2">
        <f>경동전체1!H303</f>
        <v>0</v>
      </c>
      <c r="I303" s="2" t="str">
        <f>경동전체1!I303&amp;""</f>
        <v/>
      </c>
      <c r="J303" s="2" t="s">
        <v>36</v>
      </c>
      <c r="K303" s="2" t="str">
        <f>IF(LEFT(경동전체1!G303,1)="","따사룸",경동전체1!G303)</f>
        <v>따사룸</v>
      </c>
      <c r="L303" s="4" t="str">
        <f t="shared" si="16"/>
        <v>1</v>
      </c>
      <c r="M303" s="1" t="str">
        <f>IF(LEFT(경동전체1!D303,1)="2","비닐",IF(LEFT(경동전체1!O303,1)="박","박스","비닐"))</f>
        <v>비닐</v>
      </c>
      <c r="N303" s="25">
        <v>1</v>
      </c>
      <c r="O303" s="25">
        <v>1</v>
      </c>
      <c r="P303" s="25">
        <v>1</v>
      </c>
      <c r="Q303" s="25">
        <v>1</v>
      </c>
      <c r="R303" s="1" t="str">
        <f t="shared" si="17"/>
        <v>50</v>
      </c>
      <c r="S303" s="1">
        <f>경동전체1!B303</f>
        <v>0</v>
      </c>
      <c r="T303" s="1" t="str">
        <f t="shared" si="18"/>
        <v>100</v>
      </c>
      <c r="U303" s="5" t="str">
        <f t="shared" si="19"/>
        <v>0</v>
      </c>
      <c r="V303" s="26">
        <v>0</v>
      </c>
      <c r="W303" s="26">
        <v>0</v>
      </c>
      <c r="X303" s="2" t="str">
        <f>SUBSTITUTE(SUBSTITUTE(SUBSTITUTE(SUBSTITUTE(SUBSTITUTE(SUBSTITUTE(SUBSTITUTE(SUBSTITUTE(SUBSTITUTE(SUBSTITUTE(SUBSTITUTE(SUBSTITUTE(SUBSTITUTE(경동전체1!D303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4" spans="1:24" ht="20.25" customHeight="1" x14ac:dyDescent="0.3">
      <c r="A304" s="2">
        <f>경동전체1!A304</f>
        <v>0</v>
      </c>
      <c r="B304" s="13" t="str">
        <f>SUBSTITUTE(SUBSTITUTE(SUBSTITUTE(SUBSTITUTE(SUBSTITUTE(SUBSTITUTE(SUBSTITUTE(SUBSTITUTE(SUBSTITUTE(SUBSTITUTE(SUBSTITUTE(SUBSTITUTE(SUBSTITUTE(경동전체1!K304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4" s="30">
        <f>경동전체1!E304</f>
        <v>0</v>
      </c>
      <c r="D304" s="23"/>
      <c r="E304" s="23"/>
      <c r="F304" s="4">
        <f>경동전체1!J304</f>
        <v>0</v>
      </c>
      <c r="G304" s="23"/>
      <c r="H304" s="2">
        <f>경동전체1!H304</f>
        <v>0</v>
      </c>
      <c r="I304" s="2" t="str">
        <f>경동전체1!I304&amp;""</f>
        <v/>
      </c>
      <c r="J304" s="2" t="s">
        <v>36</v>
      </c>
      <c r="K304" s="2" t="str">
        <f>IF(LEFT(경동전체1!G304,1)="","따사룸",경동전체1!G304)</f>
        <v>따사룸</v>
      </c>
      <c r="L304" s="4" t="str">
        <f t="shared" si="16"/>
        <v>1</v>
      </c>
      <c r="M304" s="1" t="str">
        <f>IF(LEFT(경동전체1!D304,1)="2","비닐",IF(LEFT(경동전체1!O304,1)="박","박스","비닐"))</f>
        <v>비닐</v>
      </c>
      <c r="N304" s="25">
        <v>1</v>
      </c>
      <c r="O304" s="25">
        <v>1</v>
      </c>
      <c r="P304" s="25">
        <v>1</v>
      </c>
      <c r="Q304" s="25">
        <v>1</v>
      </c>
      <c r="R304" s="1" t="str">
        <f t="shared" si="17"/>
        <v>50</v>
      </c>
      <c r="S304" s="1">
        <f>경동전체1!B304</f>
        <v>0</v>
      </c>
      <c r="T304" s="1" t="str">
        <f t="shared" si="18"/>
        <v>100</v>
      </c>
      <c r="U304" s="5" t="str">
        <f t="shared" si="19"/>
        <v>0</v>
      </c>
      <c r="V304" s="26">
        <v>0</v>
      </c>
      <c r="W304" s="26">
        <v>0</v>
      </c>
      <c r="X304" s="2" t="str">
        <f>SUBSTITUTE(SUBSTITUTE(SUBSTITUTE(SUBSTITUTE(SUBSTITUTE(SUBSTITUTE(SUBSTITUTE(SUBSTITUTE(SUBSTITUTE(SUBSTITUTE(SUBSTITUTE(SUBSTITUTE(SUBSTITUTE(경동전체1!D304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5" spans="1:24" ht="20.25" customHeight="1" x14ac:dyDescent="0.3">
      <c r="A305" s="2">
        <f>경동전체1!A305</f>
        <v>0</v>
      </c>
      <c r="B305" s="13" t="str">
        <f>SUBSTITUTE(SUBSTITUTE(SUBSTITUTE(SUBSTITUTE(SUBSTITUTE(SUBSTITUTE(SUBSTITUTE(SUBSTITUTE(SUBSTITUTE(SUBSTITUTE(SUBSTITUTE(SUBSTITUTE(SUBSTITUTE(경동전체1!K305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5" s="30">
        <f>경동전체1!E305</f>
        <v>0</v>
      </c>
      <c r="D305" s="23"/>
      <c r="E305" s="23"/>
      <c r="F305" s="4">
        <f>경동전체1!J305</f>
        <v>0</v>
      </c>
      <c r="G305" s="23"/>
      <c r="H305" s="2">
        <f>경동전체1!H305</f>
        <v>0</v>
      </c>
      <c r="I305" s="2" t="str">
        <f>경동전체1!I305&amp;""</f>
        <v/>
      </c>
      <c r="J305" s="2" t="s">
        <v>36</v>
      </c>
      <c r="K305" s="2" t="str">
        <f>IF(LEFT(경동전체1!G305,1)="","따사룸",경동전체1!G305)</f>
        <v>따사룸</v>
      </c>
      <c r="L305" s="4" t="str">
        <f t="shared" si="16"/>
        <v>1</v>
      </c>
      <c r="M305" s="1" t="str">
        <f>IF(LEFT(경동전체1!D305,1)="2","비닐",IF(LEFT(경동전체1!O305,1)="박","박스","비닐"))</f>
        <v>비닐</v>
      </c>
      <c r="N305" s="25">
        <v>1</v>
      </c>
      <c r="O305" s="25">
        <v>1</v>
      </c>
      <c r="P305" s="25">
        <v>1</v>
      </c>
      <c r="Q305" s="25">
        <v>1</v>
      </c>
      <c r="R305" s="1" t="str">
        <f t="shared" si="17"/>
        <v>50</v>
      </c>
      <c r="S305" s="1">
        <f>경동전체1!B305</f>
        <v>0</v>
      </c>
      <c r="T305" s="1" t="str">
        <f t="shared" si="18"/>
        <v>100</v>
      </c>
      <c r="U305" s="5" t="str">
        <f t="shared" si="19"/>
        <v>0</v>
      </c>
      <c r="V305" s="26">
        <v>0</v>
      </c>
      <c r="W305" s="26">
        <v>0</v>
      </c>
      <c r="X305" s="2" t="str">
        <f>SUBSTITUTE(SUBSTITUTE(SUBSTITUTE(SUBSTITUTE(SUBSTITUTE(SUBSTITUTE(SUBSTITUTE(SUBSTITUTE(SUBSTITUTE(SUBSTITUTE(SUBSTITUTE(SUBSTITUTE(SUBSTITUTE(경동전체1!D305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6" spans="1:24" ht="20.25" customHeight="1" x14ac:dyDescent="0.3">
      <c r="A306" s="2">
        <f>경동전체1!A306</f>
        <v>0</v>
      </c>
      <c r="B306" s="13" t="str">
        <f>SUBSTITUTE(SUBSTITUTE(SUBSTITUTE(SUBSTITUTE(SUBSTITUTE(SUBSTITUTE(SUBSTITUTE(SUBSTITUTE(SUBSTITUTE(SUBSTITUTE(SUBSTITUTE(SUBSTITUTE(SUBSTITUTE(경동전체1!K306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6" s="30">
        <f>경동전체1!E306</f>
        <v>0</v>
      </c>
      <c r="D306" s="23"/>
      <c r="E306" s="23"/>
      <c r="F306" s="4">
        <f>경동전체1!J306</f>
        <v>0</v>
      </c>
      <c r="G306" s="23"/>
      <c r="H306" s="2">
        <f>경동전체1!H306</f>
        <v>0</v>
      </c>
      <c r="I306" s="2" t="str">
        <f>경동전체1!I306&amp;""</f>
        <v/>
      </c>
      <c r="J306" s="2" t="s">
        <v>36</v>
      </c>
      <c r="K306" s="2" t="str">
        <f>IF(LEFT(경동전체1!G306,1)="","따사룸",경동전체1!G306)</f>
        <v>따사룸</v>
      </c>
      <c r="L306" s="4" t="str">
        <f t="shared" si="16"/>
        <v>1</v>
      </c>
      <c r="M306" s="1" t="str">
        <f>IF(LEFT(경동전체1!D306,1)="2","비닐",IF(LEFT(경동전체1!O306,1)="박","박스","비닐"))</f>
        <v>비닐</v>
      </c>
      <c r="N306" s="25">
        <v>1</v>
      </c>
      <c r="O306" s="25">
        <v>1</v>
      </c>
      <c r="P306" s="25">
        <v>1</v>
      </c>
      <c r="Q306" s="25">
        <v>1</v>
      </c>
      <c r="R306" s="1" t="str">
        <f t="shared" si="17"/>
        <v>50</v>
      </c>
      <c r="S306" s="1">
        <f>경동전체1!B306</f>
        <v>0</v>
      </c>
      <c r="T306" s="1" t="str">
        <f t="shared" si="18"/>
        <v>100</v>
      </c>
      <c r="U306" s="5" t="str">
        <f t="shared" si="19"/>
        <v>0</v>
      </c>
      <c r="V306" s="26">
        <v>0</v>
      </c>
      <c r="W306" s="26">
        <v>0</v>
      </c>
      <c r="X306" s="2" t="str">
        <f>SUBSTITUTE(SUBSTITUTE(SUBSTITUTE(SUBSTITUTE(SUBSTITUTE(SUBSTITUTE(SUBSTITUTE(SUBSTITUTE(SUBSTITUTE(SUBSTITUTE(SUBSTITUTE(SUBSTITUTE(SUBSTITUTE(경동전체1!D306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7" spans="1:24" ht="20.25" customHeight="1" x14ac:dyDescent="0.3">
      <c r="A307" s="2">
        <f>경동전체1!A307</f>
        <v>0</v>
      </c>
      <c r="B307" s="13" t="str">
        <f>SUBSTITUTE(SUBSTITUTE(SUBSTITUTE(SUBSTITUTE(SUBSTITUTE(SUBSTITUTE(SUBSTITUTE(SUBSTITUTE(SUBSTITUTE(SUBSTITUTE(SUBSTITUTE(SUBSTITUTE(SUBSTITUTE(경동전체1!K307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7" s="30">
        <f>경동전체1!E307</f>
        <v>0</v>
      </c>
      <c r="D307" s="23"/>
      <c r="E307" s="23"/>
      <c r="F307" s="4">
        <f>경동전체1!J307</f>
        <v>0</v>
      </c>
      <c r="G307" s="23"/>
      <c r="H307" s="2">
        <f>경동전체1!H307</f>
        <v>0</v>
      </c>
      <c r="I307" s="2" t="str">
        <f>경동전체1!I307&amp;""</f>
        <v/>
      </c>
      <c r="J307" s="2" t="s">
        <v>36</v>
      </c>
      <c r="K307" s="2" t="str">
        <f>IF(LEFT(경동전체1!G307,1)="","따사룸",경동전체1!G307)</f>
        <v>따사룸</v>
      </c>
      <c r="L307" s="4" t="str">
        <f t="shared" si="16"/>
        <v>1</v>
      </c>
      <c r="M307" s="1" t="str">
        <f>IF(LEFT(경동전체1!D307,1)="2","비닐",IF(LEFT(경동전체1!O307,1)="박","박스","비닐"))</f>
        <v>비닐</v>
      </c>
      <c r="N307" s="25">
        <v>1</v>
      </c>
      <c r="O307" s="25">
        <v>1</v>
      </c>
      <c r="P307" s="25">
        <v>1</v>
      </c>
      <c r="Q307" s="25">
        <v>1</v>
      </c>
      <c r="R307" s="1" t="str">
        <f t="shared" si="17"/>
        <v>50</v>
      </c>
      <c r="S307" s="1">
        <f>경동전체1!B307</f>
        <v>0</v>
      </c>
      <c r="T307" s="1" t="str">
        <f t="shared" si="18"/>
        <v>100</v>
      </c>
      <c r="U307" s="5" t="str">
        <f t="shared" si="19"/>
        <v>0</v>
      </c>
      <c r="V307" s="26">
        <v>0</v>
      </c>
      <c r="W307" s="26">
        <v>0</v>
      </c>
      <c r="X307" s="2" t="str">
        <f>SUBSTITUTE(SUBSTITUTE(SUBSTITUTE(SUBSTITUTE(SUBSTITUTE(SUBSTITUTE(SUBSTITUTE(SUBSTITUTE(SUBSTITUTE(SUBSTITUTE(SUBSTITUTE(SUBSTITUTE(SUBSTITUTE(경동전체1!D307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8" spans="1:24" ht="20.25" customHeight="1" x14ac:dyDescent="0.3">
      <c r="A308" s="2">
        <f>경동전체1!A308</f>
        <v>0</v>
      </c>
      <c r="B308" s="13" t="str">
        <f>SUBSTITUTE(SUBSTITUTE(SUBSTITUTE(SUBSTITUTE(SUBSTITUTE(SUBSTITUTE(SUBSTITUTE(SUBSTITUTE(SUBSTITUTE(SUBSTITUTE(SUBSTITUTE(SUBSTITUTE(SUBSTITUTE(경동전체1!K308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8" s="30">
        <f>경동전체1!E308</f>
        <v>0</v>
      </c>
      <c r="D308" s="23"/>
      <c r="E308" s="23"/>
      <c r="F308" s="4">
        <f>경동전체1!J308</f>
        <v>0</v>
      </c>
      <c r="G308" s="23"/>
      <c r="H308" s="2">
        <f>경동전체1!H308</f>
        <v>0</v>
      </c>
      <c r="I308" s="2" t="str">
        <f>경동전체1!I308&amp;""</f>
        <v/>
      </c>
      <c r="J308" s="2" t="s">
        <v>36</v>
      </c>
      <c r="K308" s="2" t="str">
        <f>IF(LEFT(경동전체1!G308,1)="","따사룸",경동전체1!G308)</f>
        <v>따사룸</v>
      </c>
      <c r="L308" s="4" t="str">
        <f t="shared" si="16"/>
        <v>1</v>
      </c>
      <c r="M308" s="1" t="str">
        <f>IF(LEFT(경동전체1!D308,1)="2","비닐",IF(LEFT(경동전체1!O308,1)="박","박스","비닐"))</f>
        <v>비닐</v>
      </c>
      <c r="N308" s="25">
        <v>1</v>
      </c>
      <c r="O308" s="25">
        <v>1</v>
      </c>
      <c r="P308" s="25">
        <v>1</v>
      </c>
      <c r="Q308" s="25">
        <v>1</v>
      </c>
      <c r="R308" s="1" t="str">
        <f t="shared" si="17"/>
        <v>50</v>
      </c>
      <c r="S308" s="1">
        <f>경동전체1!B308</f>
        <v>0</v>
      </c>
      <c r="T308" s="1" t="str">
        <f t="shared" si="18"/>
        <v>100</v>
      </c>
      <c r="U308" s="5" t="str">
        <f t="shared" si="19"/>
        <v>0</v>
      </c>
      <c r="V308" s="26">
        <v>0</v>
      </c>
      <c r="W308" s="26">
        <v>0</v>
      </c>
      <c r="X308" s="2" t="str">
        <f>SUBSTITUTE(SUBSTITUTE(SUBSTITUTE(SUBSTITUTE(SUBSTITUTE(SUBSTITUTE(SUBSTITUTE(SUBSTITUTE(SUBSTITUTE(SUBSTITUTE(SUBSTITUTE(SUBSTITUTE(SUBSTITUTE(경동전체1!D308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9" spans="1:24" ht="20.25" customHeight="1" x14ac:dyDescent="0.3">
      <c r="A309" s="2">
        <f>경동전체1!A309</f>
        <v>0</v>
      </c>
      <c r="B309" s="13" t="str">
        <f>SUBSTITUTE(SUBSTITUTE(SUBSTITUTE(SUBSTITUTE(SUBSTITUTE(SUBSTITUTE(SUBSTITUTE(SUBSTITUTE(SUBSTITUTE(SUBSTITUTE(SUBSTITUTE(SUBSTITUTE(SUBSTITUTE(경동전체1!K309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9" s="30">
        <f>경동전체1!E309</f>
        <v>0</v>
      </c>
      <c r="D309" s="23"/>
      <c r="E309" s="23"/>
      <c r="F309" s="4">
        <f>경동전체1!J309</f>
        <v>0</v>
      </c>
      <c r="G309" s="23"/>
      <c r="H309" s="2">
        <f>경동전체1!H309</f>
        <v>0</v>
      </c>
      <c r="I309" s="2" t="str">
        <f>경동전체1!I309&amp;""</f>
        <v/>
      </c>
      <c r="J309" s="2" t="s">
        <v>36</v>
      </c>
      <c r="K309" s="2" t="str">
        <f>IF(LEFT(경동전체1!G309,1)="","따사룸",경동전체1!G309)</f>
        <v>따사룸</v>
      </c>
      <c r="L309" s="4" t="str">
        <f t="shared" si="16"/>
        <v>1</v>
      </c>
      <c r="M309" s="1" t="str">
        <f>IF(LEFT(경동전체1!D309,1)="2","비닐",IF(LEFT(경동전체1!O309,1)="박","박스","비닐"))</f>
        <v>비닐</v>
      </c>
      <c r="N309" s="25">
        <v>1</v>
      </c>
      <c r="O309" s="25">
        <v>1</v>
      </c>
      <c r="P309" s="25">
        <v>1</v>
      </c>
      <c r="Q309" s="25">
        <v>1</v>
      </c>
      <c r="R309" s="1" t="str">
        <f t="shared" si="17"/>
        <v>50</v>
      </c>
      <c r="S309" s="1">
        <f>경동전체1!B309</f>
        <v>0</v>
      </c>
      <c r="T309" s="1" t="str">
        <f t="shared" si="18"/>
        <v>100</v>
      </c>
      <c r="U309" s="5" t="str">
        <f t="shared" si="19"/>
        <v>0</v>
      </c>
      <c r="V309" s="26">
        <v>0</v>
      </c>
      <c r="W309" s="26">
        <v>0</v>
      </c>
      <c r="X309" s="2" t="str">
        <f>SUBSTITUTE(SUBSTITUTE(SUBSTITUTE(SUBSTITUTE(SUBSTITUTE(SUBSTITUTE(SUBSTITUTE(SUBSTITUTE(SUBSTITUTE(SUBSTITUTE(SUBSTITUTE(SUBSTITUTE(SUBSTITUTE(경동전체1!D309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0" spans="1:24" ht="20.25" customHeight="1" x14ac:dyDescent="0.3">
      <c r="A310" s="2">
        <f>경동전체1!A310</f>
        <v>0</v>
      </c>
      <c r="B310" s="13" t="str">
        <f>SUBSTITUTE(SUBSTITUTE(SUBSTITUTE(SUBSTITUTE(SUBSTITUTE(SUBSTITUTE(SUBSTITUTE(SUBSTITUTE(SUBSTITUTE(SUBSTITUTE(SUBSTITUTE(SUBSTITUTE(SUBSTITUTE(경동전체1!K310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0" s="30">
        <f>경동전체1!E310</f>
        <v>0</v>
      </c>
      <c r="D310" s="23"/>
      <c r="E310" s="23"/>
      <c r="F310" s="4">
        <f>경동전체1!J310</f>
        <v>0</v>
      </c>
      <c r="G310" s="23"/>
      <c r="H310" s="2">
        <f>경동전체1!H310</f>
        <v>0</v>
      </c>
      <c r="I310" s="2" t="str">
        <f>경동전체1!I310&amp;""</f>
        <v/>
      </c>
      <c r="J310" s="2" t="s">
        <v>36</v>
      </c>
      <c r="K310" s="2" t="str">
        <f>IF(LEFT(경동전체1!G310,1)="","따사룸",경동전체1!G310)</f>
        <v>따사룸</v>
      </c>
      <c r="L310" s="4" t="str">
        <f t="shared" si="16"/>
        <v>1</v>
      </c>
      <c r="M310" s="1" t="str">
        <f>IF(LEFT(경동전체1!D310,1)="2","비닐",IF(LEFT(경동전체1!O310,1)="박","박스","비닐"))</f>
        <v>비닐</v>
      </c>
      <c r="N310" s="25">
        <v>1</v>
      </c>
      <c r="O310" s="25">
        <v>1</v>
      </c>
      <c r="P310" s="25">
        <v>1</v>
      </c>
      <c r="Q310" s="25">
        <v>1</v>
      </c>
      <c r="R310" s="1" t="str">
        <f t="shared" si="17"/>
        <v>50</v>
      </c>
      <c r="S310" s="1">
        <f>경동전체1!B310</f>
        <v>0</v>
      </c>
      <c r="T310" s="1" t="str">
        <f t="shared" si="18"/>
        <v>100</v>
      </c>
      <c r="U310" s="5" t="str">
        <f t="shared" si="19"/>
        <v>0</v>
      </c>
      <c r="V310" s="26">
        <v>0</v>
      </c>
      <c r="W310" s="26">
        <v>0</v>
      </c>
      <c r="X310" s="2" t="str">
        <f>SUBSTITUTE(SUBSTITUTE(SUBSTITUTE(SUBSTITUTE(SUBSTITUTE(SUBSTITUTE(SUBSTITUTE(SUBSTITUTE(SUBSTITUTE(SUBSTITUTE(SUBSTITUTE(SUBSTITUTE(SUBSTITUTE(경동전체1!D310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1" spans="1:24" ht="20.25" customHeight="1" x14ac:dyDescent="0.3">
      <c r="A311" s="2">
        <f>경동전체1!A311</f>
        <v>0</v>
      </c>
      <c r="B311" s="13" t="str">
        <f>SUBSTITUTE(SUBSTITUTE(SUBSTITUTE(SUBSTITUTE(SUBSTITUTE(SUBSTITUTE(SUBSTITUTE(SUBSTITUTE(SUBSTITUTE(SUBSTITUTE(SUBSTITUTE(SUBSTITUTE(SUBSTITUTE(경동전체1!K311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1" s="30">
        <f>경동전체1!E311</f>
        <v>0</v>
      </c>
      <c r="D311" s="23"/>
      <c r="E311" s="23"/>
      <c r="F311" s="4">
        <f>경동전체1!J311</f>
        <v>0</v>
      </c>
      <c r="G311" s="23"/>
      <c r="H311" s="2">
        <f>경동전체1!H311</f>
        <v>0</v>
      </c>
      <c r="I311" s="2" t="str">
        <f>경동전체1!I311&amp;""</f>
        <v/>
      </c>
      <c r="J311" s="2" t="s">
        <v>36</v>
      </c>
      <c r="K311" s="2" t="str">
        <f>IF(LEFT(경동전체1!G311,1)="","따사룸",경동전체1!G311)</f>
        <v>따사룸</v>
      </c>
      <c r="L311" s="4" t="str">
        <f t="shared" si="16"/>
        <v>1</v>
      </c>
      <c r="M311" s="1" t="str">
        <f>IF(LEFT(경동전체1!D311,1)="2","비닐",IF(LEFT(경동전체1!O311,1)="박","박스","비닐"))</f>
        <v>비닐</v>
      </c>
      <c r="N311" s="25">
        <v>1</v>
      </c>
      <c r="O311" s="25">
        <v>1</v>
      </c>
      <c r="P311" s="25">
        <v>1</v>
      </c>
      <c r="Q311" s="25">
        <v>1</v>
      </c>
      <c r="R311" s="1" t="str">
        <f t="shared" si="17"/>
        <v>50</v>
      </c>
      <c r="S311" s="1">
        <f>경동전체1!B311</f>
        <v>0</v>
      </c>
      <c r="T311" s="1" t="str">
        <f t="shared" si="18"/>
        <v>100</v>
      </c>
      <c r="U311" s="5" t="str">
        <f t="shared" si="19"/>
        <v>0</v>
      </c>
      <c r="V311" s="26">
        <v>0</v>
      </c>
      <c r="W311" s="26">
        <v>0</v>
      </c>
      <c r="X311" s="2" t="str">
        <f>SUBSTITUTE(SUBSTITUTE(SUBSTITUTE(SUBSTITUTE(SUBSTITUTE(SUBSTITUTE(SUBSTITUTE(SUBSTITUTE(SUBSTITUTE(SUBSTITUTE(SUBSTITUTE(SUBSTITUTE(SUBSTITUTE(경동전체1!D311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2" spans="1:24" ht="20.25" customHeight="1" x14ac:dyDescent="0.3">
      <c r="A312" s="2">
        <f>경동전체1!A312</f>
        <v>0</v>
      </c>
      <c r="B312" s="13" t="str">
        <f>SUBSTITUTE(SUBSTITUTE(SUBSTITUTE(SUBSTITUTE(SUBSTITUTE(SUBSTITUTE(SUBSTITUTE(SUBSTITUTE(SUBSTITUTE(SUBSTITUTE(SUBSTITUTE(SUBSTITUTE(SUBSTITUTE(경동전체1!K312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2" s="30">
        <f>경동전체1!E312</f>
        <v>0</v>
      </c>
      <c r="D312" s="23"/>
      <c r="E312" s="23"/>
      <c r="F312" s="4">
        <f>경동전체1!J312</f>
        <v>0</v>
      </c>
      <c r="G312" s="23"/>
      <c r="H312" s="2">
        <f>경동전체1!H312</f>
        <v>0</v>
      </c>
      <c r="I312" s="2" t="str">
        <f>경동전체1!I312&amp;""</f>
        <v/>
      </c>
      <c r="J312" s="2" t="s">
        <v>36</v>
      </c>
      <c r="K312" s="2" t="str">
        <f>IF(LEFT(경동전체1!G312,1)="","따사룸",경동전체1!G312)</f>
        <v>따사룸</v>
      </c>
      <c r="L312" s="4" t="str">
        <f t="shared" si="16"/>
        <v>1</v>
      </c>
      <c r="M312" s="1" t="str">
        <f>IF(LEFT(경동전체1!D312,1)="2","비닐",IF(LEFT(경동전체1!O312,1)="박","박스","비닐"))</f>
        <v>비닐</v>
      </c>
      <c r="N312" s="25">
        <v>1</v>
      </c>
      <c r="O312" s="25">
        <v>1</v>
      </c>
      <c r="P312" s="25">
        <v>1</v>
      </c>
      <c r="Q312" s="25">
        <v>1</v>
      </c>
      <c r="R312" s="1" t="str">
        <f t="shared" si="17"/>
        <v>50</v>
      </c>
      <c r="S312" s="1">
        <f>경동전체1!B312</f>
        <v>0</v>
      </c>
      <c r="T312" s="1" t="str">
        <f t="shared" si="18"/>
        <v>100</v>
      </c>
      <c r="U312" s="5" t="str">
        <f t="shared" si="19"/>
        <v>0</v>
      </c>
      <c r="V312" s="26">
        <v>0</v>
      </c>
      <c r="W312" s="26">
        <v>0</v>
      </c>
      <c r="X312" s="2" t="str">
        <f>SUBSTITUTE(SUBSTITUTE(SUBSTITUTE(SUBSTITUTE(SUBSTITUTE(SUBSTITUTE(SUBSTITUTE(SUBSTITUTE(SUBSTITUTE(SUBSTITUTE(SUBSTITUTE(SUBSTITUTE(SUBSTITUTE(경동전체1!D312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3" spans="1:24" ht="20.25" customHeight="1" x14ac:dyDescent="0.3">
      <c r="A313" s="2">
        <f>경동전체1!A313</f>
        <v>0</v>
      </c>
      <c r="B313" s="13" t="str">
        <f>SUBSTITUTE(SUBSTITUTE(SUBSTITUTE(SUBSTITUTE(SUBSTITUTE(SUBSTITUTE(SUBSTITUTE(SUBSTITUTE(SUBSTITUTE(SUBSTITUTE(SUBSTITUTE(SUBSTITUTE(SUBSTITUTE(경동전체1!K313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3" s="30">
        <f>경동전체1!E313</f>
        <v>0</v>
      </c>
      <c r="D313" s="23"/>
      <c r="E313" s="23"/>
      <c r="F313" s="4">
        <f>경동전체1!J313</f>
        <v>0</v>
      </c>
      <c r="G313" s="23"/>
      <c r="H313" s="2">
        <f>경동전체1!H313</f>
        <v>0</v>
      </c>
      <c r="I313" s="2" t="str">
        <f>경동전체1!I313&amp;""</f>
        <v/>
      </c>
      <c r="J313" s="2" t="s">
        <v>36</v>
      </c>
      <c r="K313" s="2" t="str">
        <f>IF(LEFT(경동전체1!G313,1)="","따사룸",경동전체1!G313)</f>
        <v>따사룸</v>
      </c>
      <c r="L313" s="4" t="str">
        <f t="shared" si="16"/>
        <v>1</v>
      </c>
      <c r="M313" s="1" t="str">
        <f>IF(LEFT(경동전체1!D313,1)="2","비닐",IF(LEFT(경동전체1!O313,1)="박","박스","비닐"))</f>
        <v>비닐</v>
      </c>
      <c r="N313" s="25">
        <v>1</v>
      </c>
      <c r="O313" s="25">
        <v>1</v>
      </c>
      <c r="P313" s="25">
        <v>1</v>
      </c>
      <c r="Q313" s="25">
        <v>1</v>
      </c>
      <c r="R313" s="1" t="str">
        <f t="shared" si="17"/>
        <v>50</v>
      </c>
      <c r="S313" s="1">
        <f>경동전체1!B313</f>
        <v>0</v>
      </c>
      <c r="T313" s="1" t="str">
        <f t="shared" si="18"/>
        <v>100</v>
      </c>
      <c r="U313" s="5" t="str">
        <f t="shared" si="19"/>
        <v>0</v>
      </c>
      <c r="V313" s="26">
        <v>0</v>
      </c>
      <c r="W313" s="26">
        <v>0</v>
      </c>
      <c r="X313" s="2" t="str">
        <f>SUBSTITUTE(SUBSTITUTE(SUBSTITUTE(SUBSTITUTE(SUBSTITUTE(SUBSTITUTE(SUBSTITUTE(SUBSTITUTE(SUBSTITUTE(SUBSTITUTE(SUBSTITUTE(SUBSTITUTE(SUBSTITUTE(경동전체1!D313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4" spans="1:24" ht="20.25" customHeight="1" x14ac:dyDescent="0.3">
      <c r="A314" s="2">
        <f>경동전체1!A314</f>
        <v>0</v>
      </c>
      <c r="B314" s="13" t="str">
        <f>SUBSTITUTE(SUBSTITUTE(SUBSTITUTE(SUBSTITUTE(SUBSTITUTE(SUBSTITUTE(SUBSTITUTE(SUBSTITUTE(SUBSTITUTE(SUBSTITUTE(SUBSTITUTE(SUBSTITUTE(SUBSTITUTE(경동전체1!K314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4" s="30">
        <f>경동전체1!E314</f>
        <v>0</v>
      </c>
      <c r="D314" s="23"/>
      <c r="E314" s="23"/>
      <c r="F314" s="4">
        <f>경동전체1!J314</f>
        <v>0</v>
      </c>
      <c r="G314" s="23"/>
      <c r="H314" s="2">
        <f>경동전체1!H314</f>
        <v>0</v>
      </c>
      <c r="I314" s="2" t="str">
        <f>경동전체1!I314&amp;""</f>
        <v/>
      </c>
      <c r="J314" s="2" t="s">
        <v>36</v>
      </c>
      <c r="K314" s="2" t="str">
        <f>IF(LEFT(경동전체1!G314,1)="","따사룸",경동전체1!G314)</f>
        <v>따사룸</v>
      </c>
      <c r="L314" s="4" t="str">
        <f t="shared" si="16"/>
        <v>1</v>
      </c>
      <c r="M314" s="1" t="str">
        <f>IF(LEFT(경동전체1!D314,1)="2","비닐",IF(LEFT(경동전체1!O314,1)="박","박스","비닐"))</f>
        <v>비닐</v>
      </c>
      <c r="N314" s="25">
        <v>1</v>
      </c>
      <c r="O314" s="25">
        <v>1</v>
      </c>
      <c r="P314" s="25">
        <v>1</v>
      </c>
      <c r="Q314" s="25">
        <v>1</v>
      </c>
      <c r="R314" s="1" t="str">
        <f t="shared" si="17"/>
        <v>50</v>
      </c>
      <c r="S314" s="1">
        <f>경동전체1!B314</f>
        <v>0</v>
      </c>
      <c r="T314" s="1" t="str">
        <f t="shared" si="18"/>
        <v>100</v>
      </c>
      <c r="U314" s="5" t="str">
        <f t="shared" si="19"/>
        <v>0</v>
      </c>
      <c r="V314" s="26">
        <v>0</v>
      </c>
      <c r="W314" s="26">
        <v>0</v>
      </c>
      <c r="X314" s="2" t="str">
        <f>SUBSTITUTE(SUBSTITUTE(SUBSTITUTE(SUBSTITUTE(SUBSTITUTE(SUBSTITUTE(SUBSTITUTE(SUBSTITUTE(SUBSTITUTE(SUBSTITUTE(SUBSTITUTE(SUBSTITUTE(SUBSTITUTE(경동전체1!D314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5" spans="1:24" ht="20.25" customHeight="1" x14ac:dyDescent="0.3">
      <c r="A315" s="2">
        <f>경동전체1!A315</f>
        <v>0</v>
      </c>
      <c r="B315" s="13" t="str">
        <f>SUBSTITUTE(SUBSTITUTE(SUBSTITUTE(SUBSTITUTE(SUBSTITUTE(SUBSTITUTE(SUBSTITUTE(SUBSTITUTE(SUBSTITUTE(SUBSTITUTE(SUBSTITUTE(SUBSTITUTE(SUBSTITUTE(경동전체1!K315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5" s="30">
        <f>경동전체1!E315</f>
        <v>0</v>
      </c>
      <c r="D315" s="23"/>
      <c r="E315" s="23"/>
      <c r="F315" s="4">
        <f>경동전체1!J315</f>
        <v>0</v>
      </c>
      <c r="G315" s="23"/>
      <c r="H315" s="2">
        <f>경동전체1!H315</f>
        <v>0</v>
      </c>
      <c r="I315" s="2" t="str">
        <f>경동전체1!I315&amp;""</f>
        <v/>
      </c>
      <c r="J315" s="2" t="s">
        <v>36</v>
      </c>
      <c r="K315" s="2" t="str">
        <f>IF(LEFT(경동전체1!G315,1)="","따사룸",경동전체1!G315)</f>
        <v>따사룸</v>
      </c>
      <c r="L315" s="4" t="str">
        <f t="shared" si="16"/>
        <v>1</v>
      </c>
      <c r="M315" s="1" t="str">
        <f>IF(LEFT(경동전체1!D315,1)="2","비닐",IF(LEFT(경동전체1!O315,1)="박","박스","비닐"))</f>
        <v>비닐</v>
      </c>
      <c r="N315" s="25">
        <v>1</v>
      </c>
      <c r="O315" s="25">
        <v>1</v>
      </c>
      <c r="P315" s="25">
        <v>1</v>
      </c>
      <c r="Q315" s="25">
        <v>1</v>
      </c>
      <c r="R315" s="1" t="str">
        <f t="shared" si="17"/>
        <v>50</v>
      </c>
      <c r="S315" s="1">
        <f>경동전체1!B315</f>
        <v>0</v>
      </c>
      <c r="T315" s="1" t="str">
        <f t="shared" si="18"/>
        <v>100</v>
      </c>
      <c r="U315" s="5" t="str">
        <f t="shared" si="19"/>
        <v>0</v>
      </c>
      <c r="V315" s="26">
        <v>0</v>
      </c>
      <c r="W315" s="26">
        <v>0</v>
      </c>
      <c r="X315" s="2" t="str">
        <f>SUBSTITUTE(SUBSTITUTE(SUBSTITUTE(SUBSTITUTE(SUBSTITUTE(SUBSTITUTE(SUBSTITUTE(SUBSTITUTE(SUBSTITUTE(SUBSTITUTE(SUBSTITUTE(SUBSTITUTE(SUBSTITUTE(경동전체1!D315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6" spans="1:24" ht="20.25" customHeight="1" x14ac:dyDescent="0.3">
      <c r="A316" s="2">
        <f>경동전체1!A316</f>
        <v>0</v>
      </c>
      <c r="B316" s="13" t="str">
        <f>SUBSTITUTE(SUBSTITUTE(SUBSTITUTE(SUBSTITUTE(SUBSTITUTE(SUBSTITUTE(SUBSTITUTE(SUBSTITUTE(SUBSTITUTE(SUBSTITUTE(SUBSTITUTE(SUBSTITUTE(SUBSTITUTE(경동전체1!K316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6" s="30">
        <f>경동전체1!E316</f>
        <v>0</v>
      </c>
      <c r="D316" s="23"/>
      <c r="E316" s="23"/>
      <c r="F316" s="4">
        <f>경동전체1!J316</f>
        <v>0</v>
      </c>
      <c r="G316" s="23"/>
      <c r="H316" s="2">
        <f>경동전체1!H316</f>
        <v>0</v>
      </c>
      <c r="I316" s="2" t="str">
        <f>경동전체1!I316&amp;""</f>
        <v/>
      </c>
      <c r="J316" s="2" t="s">
        <v>36</v>
      </c>
      <c r="K316" s="2" t="str">
        <f>IF(LEFT(경동전체1!G316,1)="","따사룸",경동전체1!G316)</f>
        <v>따사룸</v>
      </c>
      <c r="L316" s="4" t="str">
        <f t="shared" si="16"/>
        <v>1</v>
      </c>
      <c r="M316" s="1" t="str">
        <f>IF(LEFT(경동전체1!D316,1)="2","비닐",IF(LEFT(경동전체1!O316,1)="박","박스","비닐"))</f>
        <v>비닐</v>
      </c>
      <c r="N316" s="25">
        <v>1</v>
      </c>
      <c r="O316" s="25">
        <v>1</v>
      </c>
      <c r="P316" s="25">
        <v>1</v>
      </c>
      <c r="Q316" s="25">
        <v>1</v>
      </c>
      <c r="R316" s="1" t="str">
        <f t="shared" si="17"/>
        <v>50</v>
      </c>
      <c r="S316" s="1">
        <f>경동전체1!B316</f>
        <v>0</v>
      </c>
      <c r="T316" s="1" t="str">
        <f t="shared" si="18"/>
        <v>100</v>
      </c>
      <c r="U316" s="5" t="str">
        <f t="shared" si="19"/>
        <v>0</v>
      </c>
      <c r="V316" s="26">
        <v>0</v>
      </c>
      <c r="W316" s="26">
        <v>0</v>
      </c>
      <c r="X316" s="2" t="str">
        <f>SUBSTITUTE(SUBSTITUTE(SUBSTITUTE(SUBSTITUTE(SUBSTITUTE(SUBSTITUTE(SUBSTITUTE(SUBSTITUTE(SUBSTITUTE(SUBSTITUTE(SUBSTITUTE(SUBSTITUTE(SUBSTITUTE(경동전체1!D316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7" spans="1:24" ht="20.25" customHeight="1" x14ac:dyDescent="0.3">
      <c r="A317" s="2">
        <f>경동전체1!A317</f>
        <v>0</v>
      </c>
      <c r="B317" s="13" t="str">
        <f>SUBSTITUTE(SUBSTITUTE(SUBSTITUTE(SUBSTITUTE(SUBSTITUTE(SUBSTITUTE(SUBSTITUTE(SUBSTITUTE(SUBSTITUTE(SUBSTITUTE(SUBSTITUTE(SUBSTITUTE(SUBSTITUTE(경동전체1!K317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7" s="30">
        <f>경동전체1!E317</f>
        <v>0</v>
      </c>
      <c r="D317" s="23"/>
      <c r="E317" s="23"/>
      <c r="F317" s="4">
        <f>경동전체1!J317</f>
        <v>0</v>
      </c>
      <c r="G317" s="23"/>
      <c r="H317" s="2">
        <f>경동전체1!H317</f>
        <v>0</v>
      </c>
      <c r="I317" s="2" t="str">
        <f>경동전체1!I317&amp;""</f>
        <v/>
      </c>
      <c r="J317" s="2" t="s">
        <v>36</v>
      </c>
      <c r="K317" s="2" t="str">
        <f>IF(LEFT(경동전체1!G317,1)="","따사룸",경동전체1!G317)</f>
        <v>따사룸</v>
      </c>
      <c r="L317" s="4" t="str">
        <f t="shared" si="16"/>
        <v>1</v>
      </c>
      <c r="M317" s="1" t="str">
        <f>IF(LEFT(경동전체1!D317,1)="2","비닐",IF(LEFT(경동전체1!O317,1)="박","박스","비닐"))</f>
        <v>비닐</v>
      </c>
      <c r="N317" s="25">
        <v>1</v>
      </c>
      <c r="O317" s="25">
        <v>1</v>
      </c>
      <c r="P317" s="25">
        <v>1</v>
      </c>
      <c r="Q317" s="25">
        <v>1</v>
      </c>
      <c r="R317" s="1" t="str">
        <f t="shared" si="17"/>
        <v>50</v>
      </c>
      <c r="S317" s="1">
        <f>경동전체1!B317</f>
        <v>0</v>
      </c>
      <c r="T317" s="1" t="str">
        <f t="shared" si="18"/>
        <v>100</v>
      </c>
      <c r="U317" s="5" t="str">
        <f t="shared" si="19"/>
        <v>0</v>
      </c>
      <c r="V317" s="26">
        <v>0</v>
      </c>
      <c r="W317" s="26">
        <v>0</v>
      </c>
      <c r="X317" s="2" t="str">
        <f>SUBSTITUTE(SUBSTITUTE(SUBSTITUTE(SUBSTITUTE(SUBSTITUTE(SUBSTITUTE(SUBSTITUTE(SUBSTITUTE(SUBSTITUTE(SUBSTITUTE(SUBSTITUTE(SUBSTITUTE(SUBSTITUTE(경동전체1!D317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8" spans="1:24" ht="20.25" customHeight="1" x14ac:dyDescent="0.3">
      <c r="A318" s="2">
        <f>경동전체1!A318</f>
        <v>0</v>
      </c>
      <c r="B318" s="13" t="str">
        <f>SUBSTITUTE(SUBSTITUTE(SUBSTITUTE(SUBSTITUTE(SUBSTITUTE(SUBSTITUTE(SUBSTITUTE(SUBSTITUTE(SUBSTITUTE(SUBSTITUTE(SUBSTITUTE(SUBSTITUTE(SUBSTITUTE(경동전체1!K318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8" s="30">
        <f>경동전체1!E318</f>
        <v>0</v>
      </c>
      <c r="D318" s="23"/>
      <c r="E318" s="23"/>
      <c r="F318" s="4">
        <f>경동전체1!J318</f>
        <v>0</v>
      </c>
      <c r="G318" s="23"/>
      <c r="H318" s="2">
        <f>경동전체1!H318</f>
        <v>0</v>
      </c>
      <c r="I318" s="2" t="str">
        <f>경동전체1!I318&amp;""</f>
        <v/>
      </c>
      <c r="J318" s="2" t="s">
        <v>36</v>
      </c>
      <c r="K318" s="2" t="str">
        <f>IF(LEFT(경동전체1!G318,1)="","따사룸",경동전체1!G318)</f>
        <v>따사룸</v>
      </c>
      <c r="L318" s="4" t="str">
        <f t="shared" si="16"/>
        <v>1</v>
      </c>
      <c r="M318" s="1" t="str">
        <f>IF(LEFT(경동전체1!D318,1)="2","비닐",IF(LEFT(경동전체1!O318,1)="박","박스","비닐"))</f>
        <v>비닐</v>
      </c>
      <c r="N318" s="25">
        <v>1</v>
      </c>
      <c r="O318" s="25">
        <v>1</v>
      </c>
      <c r="P318" s="25">
        <v>1</v>
      </c>
      <c r="Q318" s="25">
        <v>1</v>
      </c>
      <c r="R318" s="1" t="str">
        <f t="shared" si="17"/>
        <v>50</v>
      </c>
      <c r="S318" s="1">
        <f>경동전체1!B318</f>
        <v>0</v>
      </c>
      <c r="T318" s="1" t="str">
        <f t="shared" si="18"/>
        <v>100</v>
      </c>
      <c r="U318" s="5" t="str">
        <f t="shared" si="19"/>
        <v>0</v>
      </c>
      <c r="V318" s="26">
        <v>0</v>
      </c>
      <c r="W318" s="26">
        <v>0</v>
      </c>
      <c r="X318" s="2" t="str">
        <f>SUBSTITUTE(SUBSTITUTE(SUBSTITUTE(SUBSTITUTE(SUBSTITUTE(SUBSTITUTE(SUBSTITUTE(SUBSTITUTE(SUBSTITUTE(SUBSTITUTE(SUBSTITUTE(SUBSTITUTE(SUBSTITUTE(경동전체1!D318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9" spans="1:24" ht="20.25" customHeight="1" x14ac:dyDescent="0.3">
      <c r="A319" s="2">
        <f>경동전체1!A319</f>
        <v>0</v>
      </c>
      <c r="B319" s="13" t="str">
        <f>SUBSTITUTE(SUBSTITUTE(SUBSTITUTE(SUBSTITUTE(SUBSTITUTE(SUBSTITUTE(SUBSTITUTE(SUBSTITUTE(SUBSTITUTE(SUBSTITUTE(SUBSTITUTE(SUBSTITUTE(SUBSTITUTE(경동전체1!K319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9" s="30">
        <f>경동전체1!E319</f>
        <v>0</v>
      </c>
      <c r="D319" s="23"/>
      <c r="E319" s="23"/>
      <c r="F319" s="4">
        <f>경동전체1!J319</f>
        <v>0</v>
      </c>
      <c r="G319" s="23"/>
      <c r="H319" s="2">
        <f>경동전체1!H319</f>
        <v>0</v>
      </c>
      <c r="I319" s="2" t="str">
        <f>경동전체1!I319&amp;""</f>
        <v/>
      </c>
      <c r="J319" s="2" t="s">
        <v>36</v>
      </c>
      <c r="K319" s="2" t="str">
        <f>IF(LEFT(경동전체1!G319,1)="","따사룸",경동전체1!G319)</f>
        <v>따사룸</v>
      </c>
      <c r="L319" s="4" t="str">
        <f t="shared" si="16"/>
        <v>1</v>
      </c>
      <c r="M319" s="1" t="str">
        <f>IF(LEFT(경동전체1!D319,1)="2","비닐",IF(LEFT(경동전체1!O319,1)="박","박스","비닐"))</f>
        <v>비닐</v>
      </c>
      <c r="N319" s="25">
        <v>1</v>
      </c>
      <c r="O319" s="25">
        <v>1</v>
      </c>
      <c r="P319" s="25">
        <v>1</v>
      </c>
      <c r="Q319" s="25">
        <v>1</v>
      </c>
      <c r="R319" s="1" t="str">
        <f t="shared" si="17"/>
        <v>50</v>
      </c>
      <c r="S319" s="1">
        <f>경동전체1!B319</f>
        <v>0</v>
      </c>
      <c r="T319" s="1" t="str">
        <f t="shared" si="18"/>
        <v>100</v>
      </c>
      <c r="U319" s="5" t="str">
        <f t="shared" si="19"/>
        <v>0</v>
      </c>
      <c r="V319" s="26">
        <v>0</v>
      </c>
      <c r="W319" s="26">
        <v>0</v>
      </c>
      <c r="X319" s="2" t="str">
        <f>SUBSTITUTE(SUBSTITUTE(SUBSTITUTE(SUBSTITUTE(SUBSTITUTE(SUBSTITUTE(SUBSTITUTE(SUBSTITUTE(SUBSTITUTE(SUBSTITUTE(SUBSTITUTE(SUBSTITUTE(SUBSTITUTE(경동전체1!D319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0" spans="1:24" ht="20.25" customHeight="1" x14ac:dyDescent="0.3">
      <c r="A320" s="2">
        <f>경동전체1!A320</f>
        <v>0</v>
      </c>
      <c r="B320" s="13" t="str">
        <f>SUBSTITUTE(SUBSTITUTE(SUBSTITUTE(SUBSTITUTE(SUBSTITUTE(SUBSTITUTE(SUBSTITUTE(SUBSTITUTE(SUBSTITUTE(SUBSTITUTE(SUBSTITUTE(SUBSTITUTE(SUBSTITUTE(경동전체1!K320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0" s="30">
        <f>경동전체1!E320</f>
        <v>0</v>
      </c>
      <c r="D320" s="23"/>
      <c r="E320" s="23"/>
      <c r="F320" s="4">
        <f>경동전체1!J320</f>
        <v>0</v>
      </c>
      <c r="G320" s="23"/>
      <c r="H320" s="2">
        <f>경동전체1!H320</f>
        <v>0</v>
      </c>
      <c r="I320" s="2" t="str">
        <f>경동전체1!I320&amp;""</f>
        <v/>
      </c>
      <c r="J320" s="2" t="s">
        <v>36</v>
      </c>
      <c r="K320" s="2" t="str">
        <f>IF(LEFT(경동전체1!G320,1)="","따사룸",경동전체1!G320)</f>
        <v>따사룸</v>
      </c>
      <c r="L320" s="4" t="str">
        <f t="shared" si="16"/>
        <v>1</v>
      </c>
      <c r="M320" s="1" t="str">
        <f>IF(LEFT(경동전체1!D320,1)="2","비닐",IF(LEFT(경동전체1!O320,1)="박","박스","비닐"))</f>
        <v>비닐</v>
      </c>
      <c r="N320" s="25">
        <v>1</v>
      </c>
      <c r="O320" s="25">
        <v>1</v>
      </c>
      <c r="P320" s="25">
        <v>1</v>
      </c>
      <c r="Q320" s="25">
        <v>1</v>
      </c>
      <c r="R320" s="1" t="str">
        <f t="shared" si="17"/>
        <v>50</v>
      </c>
      <c r="S320" s="1">
        <f>경동전체1!B320</f>
        <v>0</v>
      </c>
      <c r="T320" s="1" t="str">
        <f t="shared" si="18"/>
        <v>100</v>
      </c>
      <c r="U320" s="5" t="str">
        <f t="shared" si="19"/>
        <v>0</v>
      </c>
      <c r="V320" s="26">
        <v>0</v>
      </c>
      <c r="W320" s="26">
        <v>0</v>
      </c>
      <c r="X320" s="2" t="str">
        <f>SUBSTITUTE(SUBSTITUTE(SUBSTITUTE(SUBSTITUTE(SUBSTITUTE(SUBSTITUTE(SUBSTITUTE(SUBSTITUTE(SUBSTITUTE(SUBSTITUTE(SUBSTITUTE(SUBSTITUTE(SUBSTITUTE(경동전체1!D320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1" spans="1:24" ht="20.25" customHeight="1" x14ac:dyDescent="0.3">
      <c r="A321" s="2">
        <f>경동전체1!A321</f>
        <v>0</v>
      </c>
      <c r="B321" s="13" t="str">
        <f>SUBSTITUTE(SUBSTITUTE(SUBSTITUTE(SUBSTITUTE(SUBSTITUTE(SUBSTITUTE(SUBSTITUTE(SUBSTITUTE(SUBSTITUTE(SUBSTITUTE(SUBSTITUTE(SUBSTITUTE(SUBSTITUTE(경동전체1!K321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1" s="30">
        <f>경동전체1!E321</f>
        <v>0</v>
      </c>
      <c r="D321" s="23"/>
      <c r="E321" s="23"/>
      <c r="F321" s="4">
        <f>경동전체1!J321</f>
        <v>0</v>
      </c>
      <c r="G321" s="23"/>
      <c r="H321" s="2">
        <f>경동전체1!H321</f>
        <v>0</v>
      </c>
      <c r="I321" s="2" t="str">
        <f>경동전체1!I321&amp;""</f>
        <v/>
      </c>
      <c r="J321" s="2" t="s">
        <v>36</v>
      </c>
      <c r="K321" s="2" t="str">
        <f>IF(LEFT(경동전체1!G321,1)="","따사룸",경동전체1!G321)</f>
        <v>따사룸</v>
      </c>
      <c r="L321" s="4" t="str">
        <f t="shared" si="16"/>
        <v>1</v>
      </c>
      <c r="M321" s="1" t="str">
        <f>IF(LEFT(경동전체1!D321,1)="2","비닐",IF(LEFT(경동전체1!O321,1)="박","박스","비닐"))</f>
        <v>비닐</v>
      </c>
      <c r="N321" s="25">
        <v>1</v>
      </c>
      <c r="O321" s="25">
        <v>1</v>
      </c>
      <c r="P321" s="25">
        <v>1</v>
      </c>
      <c r="Q321" s="25">
        <v>1</v>
      </c>
      <c r="R321" s="1" t="str">
        <f t="shared" si="17"/>
        <v>50</v>
      </c>
      <c r="S321" s="1">
        <f>경동전체1!B321</f>
        <v>0</v>
      </c>
      <c r="T321" s="1" t="str">
        <f t="shared" si="18"/>
        <v>100</v>
      </c>
      <c r="U321" s="5" t="str">
        <f t="shared" si="19"/>
        <v>0</v>
      </c>
      <c r="V321" s="26">
        <v>0</v>
      </c>
      <c r="W321" s="26">
        <v>0</v>
      </c>
      <c r="X321" s="2" t="str">
        <f>SUBSTITUTE(SUBSTITUTE(SUBSTITUTE(SUBSTITUTE(SUBSTITUTE(SUBSTITUTE(SUBSTITUTE(SUBSTITUTE(SUBSTITUTE(SUBSTITUTE(SUBSTITUTE(SUBSTITUTE(SUBSTITUTE(경동전체1!D321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2" spans="1:24" ht="20.25" customHeight="1" x14ac:dyDescent="0.3">
      <c r="A322" s="2">
        <f>경동전체1!A322</f>
        <v>0</v>
      </c>
      <c r="B322" s="13" t="str">
        <f>SUBSTITUTE(SUBSTITUTE(SUBSTITUTE(SUBSTITUTE(SUBSTITUTE(SUBSTITUTE(SUBSTITUTE(SUBSTITUTE(SUBSTITUTE(SUBSTITUTE(SUBSTITUTE(SUBSTITUTE(SUBSTITUTE(경동전체1!K322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2" s="30">
        <f>경동전체1!E322</f>
        <v>0</v>
      </c>
      <c r="D322" s="23"/>
      <c r="E322" s="23"/>
      <c r="F322" s="4">
        <f>경동전체1!J322</f>
        <v>0</v>
      </c>
      <c r="G322" s="23"/>
      <c r="H322" s="2">
        <f>경동전체1!H322</f>
        <v>0</v>
      </c>
      <c r="I322" s="2" t="str">
        <f>경동전체1!I322&amp;""</f>
        <v/>
      </c>
      <c r="J322" s="2" t="s">
        <v>36</v>
      </c>
      <c r="K322" s="2" t="str">
        <f>IF(LEFT(경동전체1!G322,1)="","따사룸",경동전체1!G322)</f>
        <v>따사룸</v>
      </c>
      <c r="L322" s="4" t="str">
        <f t="shared" si="16"/>
        <v>1</v>
      </c>
      <c r="M322" s="1" t="str">
        <f>IF(LEFT(경동전체1!D322,1)="2","비닐",IF(LEFT(경동전체1!O322,1)="박","박스","비닐"))</f>
        <v>비닐</v>
      </c>
      <c r="N322" s="25">
        <v>1</v>
      </c>
      <c r="O322" s="25">
        <v>1</v>
      </c>
      <c r="P322" s="25">
        <v>1</v>
      </c>
      <c r="Q322" s="25">
        <v>1</v>
      </c>
      <c r="R322" s="1" t="str">
        <f t="shared" si="17"/>
        <v>50</v>
      </c>
      <c r="S322" s="1">
        <f>경동전체1!B322</f>
        <v>0</v>
      </c>
      <c r="T322" s="1" t="str">
        <f t="shared" si="18"/>
        <v>100</v>
      </c>
      <c r="U322" s="5" t="str">
        <f t="shared" si="19"/>
        <v>0</v>
      </c>
      <c r="V322" s="26">
        <v>0</v>
      </c>
      <c r="W322" s="26">
        <v>0</v>
      </c>
      <c r="X322" s="2" t="str">
        <f>SUBSTITUTE(SUBSTITUTE(SUBSTITUTE(SUBSTITUTE(SUBSTITUTE(SUBSTITUTE(SUBSTITUTE(SUBSTITUTE(SUBSTITUTE(SUBSTITUTE(SUBSTITUTE(SUBSTITUTE(SUBSTITUTE(경동전체1!D322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3" spans="1:24" ht="20.25" customHeight="1" x14ac:dyDescent="0.3">
      <c r="A323" s="2">
        <f>경동전체1!A323</f>
        <v>0</v>
      </c>
      <c r="B323" s="13" t="str">
        <f>SUBSTITUTE(SUBSTITUTE(SUBSTITUTE(SUBSTITUTE(SUBSTITUTE(SUBSTITUTE(SUBSTITUTE(SUBSTITUTE(SUBSTITUTE(SUBSTITUTE(SUBSTITUTE(SUBSTITUTE(SUBSTITUTE(경동전체1!K323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3" s="30">
        <f>경동전체1!E323</f>
        <v>0</v>
      </c>
      <c r="D323" s="23"/>
      <c r="E323" s="23"/>
      <c r="F323" s="4">
        <f>경동전체1!J323</f>
        <v>0</v>
      </c>
      <c r="G323" s="23"/>
      <c r="H323" s="2">
        <f>경동전체1!H323</f>
        <v>0</v>
      </c>
      <c r="I323" s="2" t="str">
        <f>경동전체1!I323&amp;""</f>
        <v/>
      </c>
      <c r="J323" s="2" t="s">
        <v>36</v>
      </c>
      <c r="K323" s="2" t="str">
        <f>IF(LEFT(경동전체1!G323,1)="","따사룸",경동전체1!G323)</f>
        <v>따사룸</v>
      </c>
      <c r="L323" s="4" t="str">
        <f t="shared" ref="L323:L386" si="20">"1"</f>
        <v>1</v>
      </c>
      <c r="M323" s="1" t="str">
        <f>IF(LEFT(경동전체1!D323,1)="2","비닐",IF(LEFT(경동전체1!O323,1)="박","박스","비닐"))</f>
        <v>비닐</v>
      </c>
      <c r="N323" s="25">
        <v>1</v>
      </c>
      <c r="O323" s="25">
        <v>1</v>
      </c>
      <c r="P323" s="25">
        <v>1</v>
      </c>
      <c r="Q323" s="25">
        <v>1</v>
      </c>
      <c r="R323" s="1" t="str">
        <f t="shared" ref="R323:R386" si="21">"50"</f>
        <v>50</v>
      </c>
      <c r="S323" s="1">
        <f>경동전체1!B323</f>
        <v>0</v>
      </c>
      <c r="T323" s="1" t="str">
        <f t="shared" ref="T323:T386" si="22">"100"</f>
        <v>100</v>
      </c>
      <c r="U323" s="5" t="str">
        <f t="shared" ref="U323:U386" si="23">"0"</f>
        <v>0</v>
      </c>
      <c r="V323" s="26">
        <v>0</v>
      </c>
      <c r="W323" s="26">
        <v>0</v>
      </c>
      <c r="X323" s="2" t="str">
        <f>SUBSTITUTE(SUBSTITUTE(SUBSTITUTE(SUBSTITUTE(SUBSTITUTE(SUBSTITUTE(SUBSTITUTE(SUBSTITUTE(SUBSTITUTE(SUBSTITUTE(SUBSTITUTE(SUBSTITUTE(SUBSTITUTE(경동전체1!D323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4" spans="1:24" ht="20.25" customHeight="1" x14ac:dyDescent="0.3">
      <c r="A324" s="2">
        <f>경동전체1!A324</f>
        <v>0</v>
      </c>
      <c r="B324" s="13" t="str">
        <f>SUBSTITUTE(SUBSTITUTE(SUBSTITUTE(SUBSTITUTE(SUBSTITUTE(SUBSTITUTE(SUBSTITUTE(SUBSTITUTE(SUBSTITUTE(SUBSTITUTE(SUBSTITUTE(SUBSTITUTE(SUBSTITUTE(경동전체1!K324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4" s="30">
        <f>경동전체1!E324</f>
        <v>0</v>
      </c>
      <c r="D324" s="23"/>
      <c r="E324" s="23"/>
      <c r="F324" s="4">
        <f>경동전체1!J324</f>
        <v>0</v>
      </c>
      <c r="G324" s="23"/>
      <c r="H324" s="2">
        <f>경동전체1!H324</f>
        <v>0</v>
      </c>
      <c r="I324" s="2" t="str">
        <f>경동전체1!I324&amp;""</f>
        <v/>
      </c>
      <c r="J324" s="2" t="s">
        <v>36</v>
      </c>
      <c r="K324" s="2" t="str">
        <f>IF(LEFT(경동전체1!G324,1)="","따사룸",경동전체1!G324)</f>
        <v>따사룸</v>
      </c>
      <c r="L324" s="4" t="str">
        <f t="shared" si="20"/>
        <v>1</v>
      </c>
      <c r="M324" s="1" t="str">
        <f>IF(LEFT(경동전체1!D324,1)="2","비닐",IF(LEFT(경동전체1!O324,1)="박","박스","비닐"))</f>
        <v>비닐</v>
      </c>
      <c r="N324" s="25">
        <v>1</v>
      </c>
      <c r="O324" s="25">
        <v>1</v>
      </c>
      <c r="P324" s="25">
        <v>1</v>
      </c>
      <c r="Q324" s="25">
        <v>1</v>
      </c>
      <c r="R324" s="1" t="str">
        <f t="shared" si="21"/>
        <v>50</v>
      </c>
      <c r="S324" s="1">
        <f>경동전체1!B324</f>
        <v>0</v>
      </c>
      <c r="T324" s="1" t="str">
        <f t="shared" si="22"/>
        <v>100</v>
      </c>
      <c r="U324" s="5" t="str">
        <f t="shared" si="23"/>
        <v>0</v>
      </c>
      <c r="V324" s="26">
        <v>0</v>
      </c>
      <c r="W324" s="26">
        <v>0</v>
      </c>
      <c r="X324" s="2" t="str">
        <f>SUBSTITUTE(SUBSTITUTE(SUBSTITUTE(SUBSTITUTE(SUBSTITUTE(SUBSTITUTE(SUBSTITUTE(SUBSTITUTE(SUBSTITUTE(SUBSTITUTE(SUBSTITUTE(SUBSTITUTE(SUBSTITUTE(경동전체1!D324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5" spans="1:24" ht="20.25" customHeight="1" x14ac:dyDescent="0.3">
      <c r="A325" s="2">
        <f>경동전체1!A325</f>
        <v>0</v>
      </c>
      <c r="B325" s="13" t="str">
        <f>SUBSTITUTE(SUBSTITUTE(SUBSTITUTE(SUBSTITUTE(SUBSTITUTE(SUBSTITUTE(SUBSTITUTE(SUBSTITUTE(SUBSTITUTE(SUBSTITUTE(SUBSTITUTE(SUBSTITUTE(SUBSTITUTE(경동전체1!K325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5" s="30">
        <f>경동전체1!E325</f>
        <v>0</v>
      </c>
      <c r="D325" s="23"/>
      <c r="E325" s="23"/>
      <c r="F325" s="4">
        <f>경동전체1!J325</f>
        <v>0</v>
      </c>
      <c r="G325" s="23"/>
      <c r="H325" s="2">
        <f>경동전체1!H325</f>
        <v>0</v>
      </c>
      <c r="I325" s="2" t="str">
        <f>경동전체1!I325&amp;""</f>
        <v/>
      </c>
      <c r="J325" s="2" t="s">
        <v>36</v>
      </c>
      <c r="K325" s="2" t="str">
        <f>IF(LEFT(경동전체1!G325,1)="","따사룸",경동전체1!G325)</f>
        <v>따사룸</v>
      </c>
      <c r="L325" s="4" t="str">
        <f t="shared" si="20"/>
        <v>1</v>
      </c>
      <c r="M325" s="1" t="str">
        <f>IF(LEFT(경동전체1!D325,1)="2","비닐",IF(LEFT(경동전체1!O325,1)="박","박스","비닐"))</f>
        <v>비닐</v>
      </c>
      <c r="N325" s="25">
        <v>1</v>
      </c>
      <c r="O325" s="25">
        <v>1</v>
      </c>
      <c r="P325" s="25">
        <v>1</v>
      </c>
      <c r="Q325" s="25">
        <v>1</v>
      </c>
      <c r="R325" s="1" t="str">
        <f t="shared" si="21"/>
        <v>50</v>
      </c>
      <c r="S325" s="1">
        <f>경동전체1!B325</f>
        <v>0</v>
      </c>
      <c r="T325" s="1" t="str">
        <f t="shared" si="22"/>
        <v>100</v>
      </c>
      <c r="U325" s="5" t="str">
        <f t="shared" si="23"/>
        <v>0</v>
      </c>
      <c r="V325" s="26">
        <v>0</v>
      </c>
      <c r="W325" s="26">
        <v>0</v>
      </c>
      <c r="X325" s="2" t="str">
        <f>SUBSTITUTE(SUBSTITUTE(SUBSTITUTE(SUBSTITUTE(SUBSTITUTE(SUBSTITUTE(SUBSTITUTE(SUBSTITUTE(SUBSTITUTE(SUBSTITUTE(SUBSTITUTE(SUBSTITUTE(SUBSTITUTE(경동전체1!D325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6" spans="1:24" ht="20.25" customHeight="1" x14ac:dyDescent="0.3">
      <c r="A326" s="2">
        <f>경동전체1!A326</f>
        <v>0</v>
      </c>
      <c r="B326" s="13" t="str">
        <f>SUBSTITUTE(SUBSTITUTE(SUBSTITUTE(SUBSTITUTE(SUBSTITUTE(SUBSTITUTE(SUBSTITUTE(SUBSTITUTE(SUBSTITUTE(SUBSTITUTE(SUBSTITUTE(SUBSTITUTE(SUBSTITUTE(경동전체1!K326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6" s="30">
        <f>경동전체1!E326</f>
        <v>0</v>
      </c>
      <c r="D326" s="23"/>
      <c r="E326" s="23"/>
      <c r="F326" s="4">
        <f>경동전체1!J326</f>
        <v>0</v>
      </c>
      <c r="G326" s="23"/>
      <c r="H326" s="2">
        <f>경동전체1!H326</f>
        <v>0</v>
      </c>
      <c r="I326" s="2" t="str">
        <f>경동전체1!I326&amp;""</f>
        <v/>
      </c>
      <c r="J326" s="2" t="s">
        <v>36</v>
      </c>
      <c r="K326" s="2" t="str">
        <f>IF(LEFT(경동전체1!G326,1)="","따사룸",경동전체1!G326)</f>
        <v>따사룸</v>
      </c>
      <c r="L326" s="4" t="str">
        <f t="shared" si="20"/>
        <v>1</v>
      </c>
      <c r="M326" s="1" t="str">
        <f>IF(LEFT(경동전체1!D326,1)="2","비닐",IF(LEFT(경동전체1!O326,1)="박","박스","비닐"))</f>
        <v>비닐</v>
      </c>
      <c r="N326" s="25">
        <v>1</v>
      </c>
      <c r="O326" s="25">
        <v>1</v>
      </c>
      <c r="P326" s="25">
        <v>1</v>
      </c>
      <c r="Q326" s="25">
        <v>1</v>
      </c>
      <c r="R326" s="1" t="str">
        <f t="shared" si="21"/>
        <v>50</v>
      </c>
      <c r="S326" s="1">
        <f>경동전체1!B326</f>
        <v>0</v>
      </c>
      <c r="T326" s="1" t="str">
        <f t="shared" si="22"/>
        <v>100</v>
      </c>
      <c r="U326" s="5" t="str">
        <f t="shared" si="23"/>
        <v>0</v>
      </c>
      <c r="V326" s="26">
        <v>0</v>
      </c>
      <c r="W326" s="26">
        <v>0</v>
      </c>
      <c r="X326" s="2" t="str">
        <f>SUBSTITUTE(SUBSTITUTE(SUBSTITUTE(SUBSTITUTE(SUBSTITUTE(SUBSTITUTE(SUBSTITUTE(SUBSTITUTE(SUBSTITUTE(SUBSTITUTE(SUBSTITUTE(SUBSTITUTE(SUBSTITUTE(경동전체1!D326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7" spans="1:24" ht="20.25" customHeight="1" x14ac:dyDescent="0.3">
      <c r="A327" s="2">
        <f>경동전체1!A327</f>
        <v>0</v>
      </c>
      <c r="B327" s="13" t="str">
        <f>SUBSTITUTE(SUBSTITUTE(SUBSTITUTE(SUBSTITUTE(SUBSTITUTE(SUBSTITUTE(SUBSTITUTE(SUBSTITUTE(SUBSTITUTE(SUBSTITUTE(SUBSTITUTE(SUBSTITUTE(SUBSTITUTE(경동전체1!K327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7" s="30">
        <f>경동전체1!E327</f>
        <v>0</v>
      </c>
      <c r="D327" s="23"/>
      <c r="E327" s="23"/>
      <c r="F327" s="4">
        <f>경동전체1!J327</f>
        <v>0</v>
      </c>
      <c r="G327" s="23"/>
      <c r="H327" s="2">
        <f>경동전체1!H327</f>
        <v>0</v>
      </c>
      <c r="I327" s="2" t="str">
        <f>경동전체1!I327&amp;""</f>
        <v/>
      </c>
      <c r="J327" s="2" t="s">
        <v>36</v>
      </c>
      <c r="K327" s="2" t="str">
        <f>IF(LEFT(경동전체1!G327,1)="","따사룸",경동전체1!G327)</f>
        <v>따사룸</v>
      </c>
      <c r="L327" s="4" t="str">
        <f t="shared" si="20"/>
        <v>1</v>
      </c>
      <c r="M327" s="1" t="str">
        <f>IF(LEFT(경동전체1!D327,1)="2","비닐",IF(LEFT(경동전체1!O327,1)="박","박스","비닐"))</f>
        <v>비닐</v>
      </c>
      <c r="N327" s="25">
        <v>1</v>
      </c>
      <c r="O327" s="25">
        <v>1</v>
      </c>
      <c r="P327" s="25">
        <v>1</v>
      </c>
      <c r="Q327" s="25">
        <v>1</v>
      </c>
      <c r="R327" s="1" t="str">
        <f t="shared" si="21"/>
        <v>50</v>
      </c>
      <c r="S327" s="1">
        <f>경동전체1!B327</f>
        <v>0</v>
      </c>
      <c r="T327" s="1" t="str">
        <f t="shared" si="22"/>
        <v>100</v>
      </c>
      <c r="U327" s="5" t="str">
        <f t="shared" si="23"/>
        <v>0</v>
      </c>
      <c r="V327" s="26">
        <v>0</v>
      </c>
      <c r="W327" s="26">
        <v>0</v>
      </c>
      <c r="X327" s="2" t="str">
        <f>SUBSTITUTE(SUBSTITUTE(SUBSTITUTE(SUBSTITUTE(SUBSTITUTE(SUBSTITUTE(SUBSTITUTE(SUBSTITUTE(SUBSTITUTE(SUBSTITUTE(SUBSTITUTE(SUBSTITUTE(SUBSTITUTE(경동전체1!D327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8" spans="1:24" ht="20.25" customHeight="1" x14ac:dyDescent="0.3">
      <c r="A328" s="2">
        <f>경동전체1!A328</f>
        <v>0</v>
      </c>
      <c r="B328" s="13" t="str">
        <f>SUBSTITUTE(SUBSTITUTE(SUBSTITUTE(SUBSTITUTE(SUBSTITUTE(SUBSTITUTE(SUBSTITUTE(SUBSTITUTE(SUBSTITUTE(SUBSTITUTE(SUBSTITUTE(SUBSTITUTE(SUBSTITUTE(경동전체1!K328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8" s="30">
        <f>경동전체1!E328</f>
        <v>0</v>
      </c>
      <c r="D328" s="23"/>
      <c r="E328" s="23"/>
      <c r="F328" s="4">
        <f>경동전체1!J328</f>
        <v>0</v>
      </c>
      <c r="G328" s="23"/>
      <c r="H328" s="2">
        <f>경동전체1!H328</f>
        <v>0</v>
      </c>
      <c r="I328" s="2" t="str">
        <f>경동전체1!I328&amp;""</f>
        <v/>
      </c>
      <c r="J328" s="2" t="s">
        <v>36</v>
      </c>
      <c r="K328" s="2" t="str">
        <f>IF(LEFT(경동전체1!G328,1)="","따사룸",경동전체1!G328)</f>
        <v>따사룸</v>
      </c>
      <c r="L328" s="4" t="str">
        <f t="shared" si="20"/>
        <v>1</v>
      </c>
      <c r="M328" s="1" t="str">
        <f>IF(LEFT(경동전체1!D328,1)="2","비닐",IF(LEFT(경동전체1!O328,1)="박","박스","비닐"))</f>
        <v>비닐</v>
      </c>
      <c r="N328" s="25">
        <v>1</v>
      </c>
      <c r="O328" s="25">
        <v>1</v>
      </c>
      <c r="P328" s="25">
        <v>1</v>
      </c>
      <c r="Q328" s="25">
        <v>1</v>
      </c>
      <c r="R328" s="1" t="str">
        <f t="shared" si="21"/>
        <v>50</v>
      </c>
      <c r="S328" s="1">
        <f>경동전체1!B328</f>
        <v>0</v>
      </c>
      <c r="T328" s="1" t="str">
        <f t="shared" si="22"/>
        <v>100</v>
      </c>
      <c r="U328" s="5" t="str">
        <f t="shared" si="23"/>
        <v>0</v>
      </c>
      <c r="V328" s="26">
        <v>0</v>
      </c>
      <c r="W328" s="26">
        <v>0</v>
      </c>
      <c r="X328" s="2" t="str">
        <f>SUBSTITUTE(SUBSTITUTE(SUBSTITUTE(SUBSTITUTE(SUBSTITUTE(SUBSTITUTE(SUBSTITUTE(SUBSTITUTE(SUBSTITUTE(SUBSTITUTE(SUBSTITUTE(SUBSTITUTE(SUBSTITUTE(경동전체1!D328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9" spans="1:24" ht="20.25" customHeight="1" x14ac:dyDescent="0.3">
      <c r="A329" s="2">
        <f>경동전체1!A329</f>
        <v>0</v>
      </c>
      <c r="B329" s="13" t="str">
        <f>SUBSTITUTE(SUBSTITUTE(SUBSTITUTE(SUBSTITUTE(SUBSTITUTE(SUBSTITUTE(SUBSTITUTE(SUBSTITUTE(SUBSTITUTE(SUBSTITUTE(SUBSTITUTE(SUBSTITUTE(SUBSTITUTE(경동전체1!K329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9" s="30">
        <f>경동전체1!E329</f>
        <v>0</v>
      </c>
      <c r="D329" s="23"/>
      <c r="E329" s="23"/>
      <c r="F329" s="4">
        <f>경동전체1!J329</f>
        <v>0</v>
      </c>
      <c r="G329" s="23"/>
      <c r="H329" s="2">
        <f>경동전체1!H329</f>
        <v>0</v>
      </c>
      <c r="I329" s="2" t="str">
        <f>경동전체1!I329&amp;""</f>
        <v/>
      </c>
      <c r="J329" s="2" t="s">
        <v>36</v>
      </c>
      <c r="K329" s="2" t="str">
        <f>IF(LEFT(경동전체1!G329,1)="","따사룸",경동전체1!G329)</f>
        <v>따사룸</v>
      </c>
      <c r="L329" s="4" t="str">
        <f t="shared" si="20"/>
        <v>1</v>
      </c>
      <c r="M329" s="1" t="str">
        <f>IF(LEFT(경동전체1!D329,1)="2","비닐",IF(LEFT(경동전체1!O329,1)="박","박스","비닐"))</f>
        <v>비닐</v>
      </c>
      <c r="N329" s="25">
        <v>1</v>
      </c>
      <c r="O329" s="25">
        <v>1</v>
      </c>
      <c r="P329" s="25">
        <v>1</v>
      </c>
      <c r="Q329" s="25">
        <v>1</v>
      </c>
      <c r="R329" s="1" t="str">
        <f t="shared" si="21"/>
        <v>50</v>
      </c>
      <c r="S329" s="1">
        <f>경동전체1!B329</f>
        <v>0</v>
      </c>
      <c r="T329" s="1" t="str">
        <f t="shared" si="22"/>
        <v>100</v>
      </c>
      <c r="U329" s="5" t="str">
        <f t="shared" si="23"/>
        <v>0</v>
      </c>
      <c r="V329" s="26">
        <v>0</v>
      </c>
      <c r="W329" s="26">
        <v>0</v>
      </c>
      <c r="X329" s="2" t="str">
        <f>SUBSTITUTE(SUBSTITUTE(SUBSTITUTE(SUBSTITUTE(SUBSTITUTE(SUBSTITUTE(SUBSTITUTE(SUBSTITUTE(SUBSTITUTE(SUBSTITUTE(SUBSTITUTE(SUBSTITUTE(SUBSTITUTE(경동전체1!D329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0" spans="1:24" ht="20.25" customHeight="1" x14ac:dyDescent="0.3">
      <c r="A330" s="2">
        <f>경동전체1!A330</f>
        <v>0</v>
      </c>
      <c r="B330" s="13" t="str">
        <f>SUBSTITUTE(SUBSTITUTE(SUBSTITUTE(SUBSTITUTE(SUBSTITUTE(SUBSTITUTE(SUBSTITUTE(SUBSTITUTE(SUBSTITUTE(SUBSTITUTE(SUBSTITUTE(SUBSTITUTE(SUBSTITUTE(경동전체1!K330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0" s="30">
        <f>경동전체1!E330</f>
        <v>0</v>
      </c>
      <c r="D330" s="23"/>
      <c r="E330" s="23"/>
      <c r="F330" s="4">
        <f>경동전체1!J330</f>
        <v>0</v>
      </c>
      <c r="G330" s="23"/>
      <c r="H330" s="2">
        <f>경동전체1!H330</f>
        <v>0</v>
      </c>
      <c r="I330" s="2" t="str">
        <f>경동전체1!I330&amp;""</f>
        <v/>
      </c>
      <c r="J330" s="2" t="s">
        <v>36</v>
      </c>
      <c r="K330" s="2" t="str">
        <f>IF(LEFT(경동전체1!G330,1)="","따사룸",경동전체1!G330)</f>
        <v>따사룸</v>
      </c>
      <c r="L330" s="4" t="str">
        <f t="shared" si="20"/>
        <v>1</v>
      </c>
      <c r="M330" s="1" t="str">
        <f>IF(LEFT(경동전체1!D330,1)="2","비닐",IF(LEFT(경동전체1!O330,1)="박","박스","비닐"))</f>
        <v>비닐</v>
      </c>
      <c r="N330" s="25">
        <v>1</v>
      </c>
      <c r="O330" s="25">
        <v>1</v>
      </c>
      <c r="P330" s="25">
        <v>1</v>
      </c>
      <c r="Q330" s="25">
        <v>1</v>
      </c>
      <c r="R330" s="1" t="str">
        <f t="shared" si="21"/>
        <v>50</v>
      </c>
      <c r="S330" s="1">
        <f>경동전체1!B330</f>
        <v>0</v>
      </c>
      <c r="T330" s="1" t="str">
        <f t="shared" si="22"/>
        <v>100</v>
      </c>
      <c r="U330" s="5" t="str">
        <f t="shared" si="23"/>
        <v>0</v>
      </c>
      <c r="V330" s="26">
        <v>0</v>
      </c>
      <c r="W330" s="26">
        <v>0</v>
      </c>
      <c r="X330" s="2" t="str">
        <f>SUBSTITUTE(SUBSTITUTE(SUBSTITUTE(SUBSTITUTE(SUBSTITUTE(SUBSTITUTE(SUBSTITUTE(SUBSTITUTE(SUBSTITUTE(SUBSTITUTE(SUBSTITUTE(SUBSTITUTE(SUBSTITUTE(경동전체1!D330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1" spans="1:24" ht="20.25" customHeight="1" x14ac:dyDescent="0.3">
      <c r="A331" s="2">
        <f>경동전체1!A331</f>
        <v>0</v>
      </c>
      <c r="B331" s="13" t="str">
        <f>SUBSTITUTE(SUBSTITUTE(SUBSTITUTE(SUBSTITUTE(SUBSTITUTE(SUBSTITUTE(SUBSTITUTE(SUBSTITUTE(SUBSTITUTE(SUBSTITUTE(SUBSTITUTE(SUBSTITUTE(SUBSTITUTE(경동전체1!K331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1" s="30">
        <f>경동전체1!E331</f>
        <v>0</v>
      </c>
      <c r="D331" s="23"/>
      <c r="E331" s="23"/>
      <c r="F331" s="4">
        <f>경동전체1!J331</f>
        <v>0</v>
      </c>
      <c r="G331" s="23"/>
      <c r="H331" s="2">
        <f>경동전체1!H331</f>
        <v>0</v>
      </c>
      <c r="I331" s="2" t="str">
        <f>경동전체1!I331&amp;""</f>
        <v/>
      </c>
      <c r="J331" s="2" t="s">
        <v>36</v>
      </c>
      <c r="K331" s="2" t="str">
        <f>IF(LEFT(경동전체1!G331,1)="","따사룸",경동전체1!G331)</f>
        <v>따사룸</v>
      </c>
      <c r="L331" s="4" t="str">
        <f t="shared" si="20"/>
        <v>1</v>
      </c>
      <c r="M331" s="1" t="str">
        <f>IF(LEFT(경동전체1!D331,1)="2","비닐",IF(LEFT(경동전체1!O331,1)="박","박스","비닐"))</f>
        <v>비닐</v>
      </c>
      <c r="N331" s="25">
        <v>1</v>
      </c>
      <c r="O331" s="25">
        <v>1</v>
      </c>
      <c r="P331" s="25">
        <v>1</v>
      </c>
      <c r="Q331" s="25">
        <v>1</v>
      </c>
      <c r="R331" s="1" t="str">
        <f t="shared" si="21"/>
        <v>50</v>
      </c>
      <c r="S331" s="1">
        <f>경동전체1!B331</f>
        <v>0</v>
      </c>
      <c r="T331" s="1" t="str">
        <f t="shared" si="22"/>
        <v>100</v>
      </c>
      <c r="U331" s="5" t="str">
        <f t="shared" si="23"/>
        <v>0</v>
      </c>
      <c r="V331" s="26">
        <v>0</v>
      </c>
      <c r="W331" s="26">
        <v>0</v>
      </c>
      <c r="X331" s="2" t="str">
        <f>SUBSTITUTE(SUBSTITUTE(SUBSTITUTE(SUBSTITUTE(SUBSTITUTE(SUBSTITUTE(SUBSTITUTE(SUBSTITUTE(SUBSTITUTE(SUBSTITUTE(SUBSTITUTE(SUBSTITUTE(SUBSTITUTE(경동전체1!D331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2" spans="1:24" ht="20.25" customHeight="1" x14ac:dyDescent="0.3">
      <c r="A332" s="2">
        <f>경동전체1!A332</f>
        <v>0</v>
      </c>
      <c r="B332" s="13" t="str">
        <f>SUBSTITUTE(SUBSTITUTE(SUBSTITUTE(SUBSTITUTE(SUBSTITUTE(SUBSTITUTE(SUBSTITUTE(SUBSTITUTE(SUBSTITUTE(SUBSTITUTE(SUBSTITUTE(SUBSTITUTE(SUBSTITUTE(경동전체1!K332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2" s="30">
        <f>경동전체1!E332</f>
        <v>0</v>
      </c>
      <c r="D332" s="23"/>
      <c r="E332" s="23"/>
      <c r="F332" s="4">
        <f>경동전체1!J332</f>
        <v>0</v>
      </c>
      <c r="G332" s="23"/>
      <c r="H332" s="2">
        <f>경동전체1!H332</f>
        <v>0</v>
      </c>
      <c r="I332" s="2" t="str">
        <f>경동전체1!I332&amp;""</f>
        <v/>
      </c>
      <c r="J332" s="2" t="s">
        <v>36</v>
      </c>
      <c r="K332" s="2" t="str">
        <f>IF(LEFT(경동전체1!G332,1)="","따사룸",경동전체1!G332)</f>
        <v>따사룸</v>
      </c>
      <c r="L332" s="4" t="str">
        <f t="shared" si="20"/>
        <v>1</v>
      </c>
      <c r="M332" s="1" t="str">
        <f>IF(LEFT(경동전체1!D332,1)="2","비닐",IF(LEFT(경동전체1!O332,1)="박","박스","비닐"))</f>
        <v>비닐</v>
      </c>
      <c r="N332" s="25">
        <v>1</v>
      </c>
      <c r="O332" s="25">
        <v>1</v>
      </c>
      <c r="P332" s="25">
        <v>1</v>
      </c>
      <c r="Q332" s="25">
        <v>1</v>
      </c>
      <c r="R332" s="1" t="str">
        <f t="shared" si="21"/>
        <v>50</v>
      </c>
      <c r="S332" s="1">
        <f>경동전체1!B332</f>
        <v>0</v>
      </c>
      <c r="T332" s="1" t="str">
        <f t="shared" si="22"/>
        <v>100</v>
      </c>
      <c r="U332" s="5" t="str">
        <f t="shared" si="23"/>
        <v>0</v>
      </c>
      <c r="V332" s="26">
        <v>0</v>
      </c>
      <c r="W332" s="26">
        <v>0</v>
      </c>
      <c r="X332" s="2" t="str">
        <f>SUBSTITUTE(SUBSTITUTE(SUBSTITUTE(SUBSTITUTE(SUBSTITUTE(SUBSTITUTE(SUBSTITUTE(SUBSTITUTE(SUBSTITUTE(SUBSTITUTE(SUBSTITUTE(SUBSTITUTE(SUBSTITUTE(경동전체1!D332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3" spans="1:24" ht="20.25" customHeight="1" x14ac:dyDescent="0.3">
      <c r="A333" s="2">
        <f>경동전체1!A333</f>
        <v>0</v>
      </c>
      <c r="B333" s="13" t="str">
        <f>SUBSTITUTE(SUBSTITUTE(SUBSTITUTE(SUBSTITUTE(SUBSTITUTE(SUBSTITUTE(SUBSTITUTE(SUBSTITUTE(SUBSTITUTE(SUBSTITUTE(SUBSTITUTE(SUBSTITUTE(SUBSTITUTE(경동전체1!K333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3" s="30">
        <f>경동전체1!E333</f>
        <v>0</v>
      </c>
      <c r="D333" s="23"/>
      <c r="E333" s="23"/>
      <c r="F333" s="4">
        <f>경동전체1!J333</f>
        <v>0</v>
      </c>
      <c r="G333" s="23"/>
      <c r="H333" s="2">
        <f>경동전체1!H333</f>
        <v>0</v>
      </c>
      <c r="I333" s="2" t="str">
        <f>경동전체1!I333&amp;""</f>
        <v/>
      </c>
      <c r="J333" s="2" t="s">
        <v>36</v>
      </c>
      <c r="K333" s="2" t="str">
        <f>IF(LEFT(경동전체1!G333,1)="","따사룸",경동전체1!G333)</f>
        <v>따사룸</v>
      </c>
      <c r="L333" s="4" t="str">
        <f t="shared" si="20"/>
        <v>1</v>
      </c>
      <c r="M333" s="1" t="str">
        <f>IF(LEFT(경동전체1!D333,1)="2","비닐",IF(LEFT(경동전체1!O333,1)="박","박스","비닐"))</f>
        <v>비닐</v>
      </c>
      <c r="N333" s="25">
        <v>1</v>
      </c>
      <c r="O333" s="25">
        <v>1</v>
      </c>
      <c r="P333" s="25">
        <v>1</v>
      </c>
      <c r="Q333" s="25">
        <v>1</v>
      </c>
      <c r="R333" s="1" t="str">
        <f t="shared" si="21"/>
        <v>50</v>
      </c>
      <c r="S333" s="1">
        <f>경동전체1!B333</f>
        <v>0</v>
      </c>
      <c r="T333" s="1" t="str">
        <f t="shared" si="22"/>
        <v>100</v>
      </c>
      <c r="U333" s="5" t="str">
        <f t="shared" si="23"/>
        <v>0</v>
      </c>
      <c r="V333" s="26">
        <v>0</v>
      </c>
      <c r="W333" s="26">
        <v>0</v>
      </c>
      <c r="X333" s="2" t="str">
        <f>SUBSTITUTE(SUBSTITUTE(SUBSTITUTE(SUBSTITUTE(SUBSTITUTE(SUBSTITUTE(SUBSTITUTE(SUBSTITUTE(SUBSTITUTE(SUBSTITUTE(SUBSTITUTE(SUBSTITUTE(SUBSTITUTE(경동전체1!D333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4" spans="1:24" ht="20.25" customHeight="1" x14ac:dyDescent="0.3">
      <c r="A334" s="2">
        <f>경동전체1!A334</f>
        <v>0</v>
      </c>
      <c r="B334" s="13" t="str">
        <f>SUBSTITUTE(SUBSTITUTE(SUBSTITUTE(SUBSTITUTE(SUBSTITUTE(SUBSTITUTE(SUBSTITUTE(SUBSTITUTE(SUBSTITUTE(SUBSTITUTE(SUBSTITUTE(SUBSTITUTE(SUBSTITUTE(경동전체1!K334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4" s="30">
        <f>경동전체1!E334</f>
        <v>0</v>
      </c>
      <c r="D334" s="23"/>
      <c r="E334" s="23"/>
      <c r="F334" s="4">
        <f>경동전체1!J334</f>
        <v>0</v>
      </c>
      <c r="G334" s="23"/>
      <c r="H334" s="2">
        <f>경동전체1!H334</f>
        <v>0</v>
      </c>
      <c r="I334" s="2" t="str">
        <f>경동전체1!I334&amp;""</f>
        <v/>
      </c>
      <c r="J334" s="2" t="s">
        <v>36</v>
      </c>
      <c r="K334" s="2" t="str">
        <f>IF(LEFT(경동전체1!G334,1)="","따사룸",경동전체1!G334)</f>
        <v>따사룸</v>
      </c>
      <c r="L334" s="4" t="str">
        <f t="shared" si="20"/>
        <v>1</v>
      </c>
      <c r="M334" s="1" t="str">
        <f>IF(LEFT(경동전체1!D334,1)="2","비닐",IF(LEFT(경동전체1!O334,1)="박","박스","비닐"))</f>
        <v>비닐</v>
      </c>
      <c r="N334" s="25">
        <v>1</v>
      </c>
      <c r="O334" s="25">
        <v>1</v>
      </c>
      <c r="P334" s="25">
        <v>1</v>
      </c>
      <c r="Q334" s="25">
        <v>1</v>
      </c>
      <c r="R334" s="1" t="str">
        <f t="shared" si="21"/>
        <v>50</v>
      </c>
      <c r="S334" s="1">
        <f>경동전체1!B334</f>
        <v>0</v>
      </c>
      <c r="T334" s="1" t="str">
        <f t="shared" si="22"/>
        <v>100</v>
      </c>
      <c r="U334" s="5" t="str">
        <f t="shared" si="23"/>
        <v>0</v>
      </c>
      <c r="V334" s="26">
        <v>0</v>
      </c>
      <c r="W334" s="26">
        <v>0</v>
      </c>
      <c r="X334" s="2" t="str">
        <f>SUBSTITUTE(SUBSTITUTE(SUBSTITUTE(SUBSTITUTE(SUBSTITUTE(SUBSTITUTE(SUBSTITUTE(SUBSTITUTE(SUBSTITUTE(SUBSTITUTE(SUBSTITUTE(SUBSTITUTE(SUBSTITUTE(경동전체1!D334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5" spans="1:24" ht="20.25" customHeight="1" x14ac:dyDescent="0.3">
      <c r="A335" s="2">
        <f>경동전체1!A335</f>
        <v>0</v>
      </c>
      <c r="B335" s="13" t="str">
        <f>SUBSTITUTE(SUBSTITUTE(SUBSTITUTE(SUBSTITUTE(SUBSTITUTE(SUBSTITUTE(SUBSTITUTE(SUBSTITUTE(SUBSTITUTE(SUBSTITUTE(SUBSTITUTE(SUBSTITUTE(SUBSTITUTE(경동전체1!K335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5" s="30">
        <f>경동전체1!E335</f>
        <v>0</v>
      </c>
      <c r="D335" s="23"/>
      <c r="E335" s="23"/>
      <c r="F335" s="4">
        <f>경동전체1!J335</f>
        <v>0</v>
      </c>
      <c r="G335" s="23"/>
      <c r="H335" s="2">
        <f>경동전체1!H335</f>
        <v>0</v>
      </c>
      <c r="I335" s="2" t="str">
        <f>경동전체1!I335&amp;""</f>
        <v/>
      </c>
      <c r="J335" s="2" t="s">
        <v>36</v>
      </c>
      <c r="K335" s="2" t="str">
        <f>IF(LEFT(경동전체1!G335,1)="","따사룸",경동전체1!G335)</f>
        <v>따사룸</v>
      </c>
      <c r="L335" s="4" t="str">
        <f t="shared" si="20"/>
        <v>1</v>
      </c>
      <c r="M335" s="1" t="str">
        <f>IF(LEFT(경동전체1!D335,1)="2","비닐",IF(LEFT(경동전체1!O335,1)="박","박스","비닐"))</f>
        <v>비닐</v>
      </c>
      <c r="N335" s="25">
        <v>1</v>
      </c>
      <c r="O335" s="25">
        <v>1</v>
      </c>
      <c r="P335" s="25">
        <v>1</v>
      </c>
      <c r="Q335" s="25">
        <v>1</v>
      </c>
      <c r="R335" s="1" t="str">
        <f t="shared" si="21"/>
        <v>50</v>
      </c>
      <c r="S335" s="1">
        <f>경동전체1!B335</f>
        <v>0</v>
      </c>
      <c r="T335" s="1" t="str">
        <f t="shared" si="22"/>
        <v>100</v>
      </c>
      <c r="U335" s="5" t="str">
        <f t="shared" si="23"/>
        <v>0</v>
      </c>
      <c r="V335" s="26">
        <v>0</v>
      </c>
      <c r="W335" s="26">
        <v>0</v>
      </c>
      <c r="X335" s="2" t="str">
        <f>SUBSTITUTE(SUBSTITUTE(SUBSTITUTE(SUBSTITUTE(SUBSTITUTE(SUBSTITUTE(SUBSTITUTE(SUBSTITUTE(SUBSTITUTE(SUBSTITUTE(SUBSTITUTE(SUBSTITUTE(SUBSTITUTE(경동전체1!D335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6" spans="1:24" ht="20.25" customHeight="1" x14ac:dyDescent="0.3">
      <c r="A336" s="2">
        <f>경동전체1!A336</f>
        <v>0</v>
      </c>
      <c r="B336" s="13" t="str">
        <f>SUBSTITUTE(SUBSTITUTE(SUBSTITUTE(SUBSTITUTE(SUBSTITUTE(SUBSTITUTE(SUBSTITUTE(SUBSTITUTE(SUBSTITUTE(SUBSTITUTE(SUBSTITUTE(SUBSTITUTE(SUBSTITUTE(경동전체1!K336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6" s="30">
        <f>경동전체1!E336</f>
        <v>0</v>
      </c>
      <c r="D336" s="23"/>
      <c r="E336" s="23"/>
      <c r="F336" s="4">
        <f>경동전체1!J336</f>
        <v>0</v>
      </c>
      <c r="G336" s="23"/>
      <c r="H336" s="2">
        <f>경동전체1!H336</f>
        <v>0</v>
      </c>
      <c r="I336" s="2" t="str">
        <f>경동전체1!I336&amp;""</f>
        <v/>
      </c>
      <c r="J336" s="2" t="s">
        <v>36</v>
      </c>
      <c r="K336" s="2" t="str">
        <f>IF(LEFT(경동전체1!G336,1)="","따사룸",경동전체1!G336)</f>
        <v>따사룸</v>
      </c>
      <c r="L336" s="4" t="str">
        <f t="shared" si="20"/>
        <v>1</v>
      </c>
      <c r="M336" s="1" t="str">
        <f>IF(LEFT(경동전체1!D336,1)="2","비닐",IF(LEFT(경동전체1!O336,1)="박","박스","비닐"))</f>
        <v>비닐</v>
      </c>
      <c r="N336" s="25">
        <v>1</v>
      </c>
      <c r="O336" s="25">
        <v>1</v>
      </c>
      <c r="P336" s="25">
        <v>1</v>
      </c>
      <c r="Q336" s="25">
        <v>1</v>
      </c>
      <c r="R336" s="1" t="str">
        <f t="shared" si="21"/>
        <v>50</v>
      </c>
      <c r="S336" s="1">
        <f>경동전체1!B336</f>
        <v>0</v>
      </c>
      <c r="T336" s="1" t="str">
        <f t="shared" si="22"/>
        <v>100</v>
      </c>
      <c r="U336" s="5" t="str">
        <f t="shared" si="23"/>
        <v>0</v>
      </c>
      <c r="V336" s="26">
        <v>0</v>
      </c>
      <c r="W336" s="26">
        <v>0</v>
      </c>
      <c r="X336" s="2" t="str">
        <f>SUBSTITUTE(SUBSTITUTE(SUBSTITUTE(SUBSTITUTE(SUBSTITUTE(SUBSTITUTE(SUBSTITUTE(SUBSTITUTE(SUBSTITUTE(SUBSTITUTE(SUBSTITUTE(SUBSTITUTE(SUBSTITUTE(경동전체1!D336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7" spans="1:24" ht="20.25" customHeight="1" x14ac:dyDescent="0.3">
      <c r="A337" s="2">
        <f>경동전체1!A337</f>
        <v>0</v>
      </c>
      <c r="B337" s="13" t="str">
        <f>SUBSTITUTE(SUBSTITUTE(SUBSTITUTE(SUBSTITUTE(SUBSTITUTE(SUBSTITUTE(SUBSTITUTE(SUBSTITUTE(SUBSTITUTE(SUBSTITUTE(SUBSTITUTE(SUBSTITUTE(SUBSTITUTE(경동전체1!K337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7" s="30">
        <f>경동전체1!E337</f>
        <v>0</v>
      </c>
      <c r="D337" s="23"/>
      <c r="E337" s="23"/>
      <c r="F337" s="4">
        <f>경동전체1!J337</f>
        <v>0</v>
      </c>
      <c r="G337" s="23"/>
      <c r="H337" s="2">
        <f>경동전체1!H337</f>
        <v>0</v>
      </c>
      <c r="I337" s="2" t="str">
        <f>경동전체1!I337&amp;""</f>
        <v/>
      </c>
      <c r="J337" s="2" t="s">
        <v>36</v>
      </c>
      <c r="K337" s="2" t="str">
        <f>IF(LEFT(경동전체1!G337,1)="","따사룸",경동전체1!G337)</f>
        <v>따사룸</v>
      </c>
      <c r="L337" s="4" t="str">
        <f t="shared" si="20"/>
        <v>1</v>
      </c>
      <c r="M337" s="1" t="str">
        <f>IF(LEFT(경동전체1!D337,1)="2","비닐",IF(LEFT(경동전체1!O337,1)="박","박스","비닐"))</f>
        <v>비닐</v>
      </c>
      <c r="N337" s="25">
        <v>1</v>
      </c>
      <c r="O337" s="25">
        <v>1</v>
      </c>
      <c r="P337" s="25">
        <v>1</v>
      </c>
      <c r="Q337" s="25">
        <v>1</v>
      </c>
      <c r="R337" s="1" t="str">
        <f t="shared" si="21"/>
        <v>50</v>
      </c>
      <c r="S337" s="1">
        <f>경동전체1!B337</f>
        <v>0</v>
      </c>
      <c r="T337" s="1" t="str">
        <f t="shared" si="22"/>
        <v>100</v>
      </c>
      <c r="U337" s="5" t="str">
        <f t="shared" si="23"/>
        <v>0</v>
      </c>
      <c r="V337" s="26">
        <v>0</v>
      </c>
      <c r="W337" s="26">
        <v>0</v>
      </c>
      <c r="X337" s="2" t="str">
        <f>SUBSTITUTE(SUBSTITUTE(SUBSTITUTE(SUBSTITUTE(SUBSTITUTE(SUBSTITUTE(SUBSTITUTE(SUBSTITUTE(SUBSTITUTE(SUBSTITUTE(SUBSTITUTE(SUBSTITUTE(SUBSTITUTE(경동전체1!D337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8" spans="1:24" ht="20.25" customHeight="1" x14ac:dyDescent="0.3">
      <c r="A338" s="2">
        <f>경동전체1!A338</f>
        <v>0</v>
      </c>
      <c r="B338" s="13" t="str">
        <f>SUBSTITUTE(SUBSTITUTE(SUBSTITUTE(SUBSTITUTE(SUBSTITUTE(SUBSTITUTE(SUBSTITUTE(SUBSTITUTE(SUBSTITUTE(SUBSTITUTE(SUBSTITUTE(SUBSTITUTE(SUBSTITUTE(경동전체1!K338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8" s="30">
        <f>경동전체1!E338</f>
        <v>0</v>
      </c>
      <c r="D338" s="23"/>
      <c r="E338" s="23"/>
      <c r="F338" s="4">
        <f>경동전체1!J338</f>
        <v>0</v>
      </c>
      <c r="G338" s="23"/>
      <c r="H338" s="2">
        <f>경동전체1!H338</f>
        <v>0</v>
      </c>
      <c r="I338" s="2" t="str">
        <f>경동전체1!I338&amp;""</f>
        <v/>
      </c>
      <c r="J338" s="2" t="s">
        <v>36</v>
      </c>
      <c r="K338" s="2" t="str">
        <f>IF(LEFT(경동전체1!G338,1)="","따사룸",경동전체1!G338)</f>
        <v>따사룸</v>
      </c>
      <c r="L338" s="4" t="str">
        <f t="shared" si="20"/>
        <v>1</v>
      </c>
      <c r="M338" s="1" t="str">
        <f>IF(LEFT(경동전체1!D338,1)="2","비닐",IF(LEFT(경동전체1!O338,1)="박","박스","비닐"))</f>
        <v>비닐</v>
      </c>
      <c r="N338" s="25">
        <v>1</v>
      </c>
      <c r="O338" s="25">
        <v>1</v>
      </c>
      <c r="P338" s="25">
        <v>1</v>
      </c>
      <c r="Q338" s="25">
        <v>1</v>
      </c>
      <c r="R338" s="1" t="str">
        <f t="shared" si="21"/>
        <v>50</v>
      </c>
      <c r="S338" s="1">
        <f>경동전체1!B338</f>
        <v>0</v>
      </c>
      <c r="T338" s="1" t="str">
        <f t="shared" si="22"/>
        <v>100</v>
      </c>
      <c r="U338" s="5" t="str">
        <f t="shared" si="23"/>
        <v>0</v>
      </c>
      <c r="V338" s="26">
        <v>0</v>
      </c>
      <c r="W338" s="26">
        <v>0</v>
      </c>
      <c r="X338" s="2" t="str">
        <f>SUBSTITUTE(SUBSTITUTE(SUBSTITUTE(SUBSTITUTE(SUBSTITUTE(SUBSTITUTE(SUBSTITUTE(SUBSTITUTE(SUBSTITUTE(SUBSTITUTE(SUBSTITUTE(SUBSTITUTE(SUBSTITUTE(경동전체1!D338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9" spans="1:24" ht="20.25" customHeight="1" x14ac:dyDescent="0.3">
      <c r="A339" s="2">
        <f>경동전체1!A339</f>
        <v>0</v>
      </c>
      <c r="B339" s="13" t="str">
        <f>SUBSTITUTE(SUBSTITUTE(SUBSTITUTE(SUBSTITUTE(SUBSTITUTE(SUBSTITUTE(SUBSTITUTE(SUBSTITUTE(SUBSTITUTE(SUBSTITUTE(SUBSTITUTE(SUBSTITUTE(SUBSTITUTE(경동전체1!K339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9" s="30">
        <f>경동전체1!E339</f>
        <v>0</v>
      </c>
      <c r="D339" s="23"/>
      <c r="E339" s="23"/>
      <c r="F339" s="4">
        <f>경동전체1!J339</f>
        <v>0</v>
      </c>
      <c r="G339" s="23"/>
      <c r="H339" s="2">
        <f>경동전체1!H339</f>
        <v>0</v>
      </c>
      <c r="I339" s="2" t="str">
        <f>경동전체1!I339&amp;""</f>
        <v/>
      </c>
      <c r="J339" s="2" t="s">
        <v>36</v>
      </c>
      <c r="K339" s="2" t="str">
        <f>IF(LEFT(경동전체1!G339,1)="","따사룸",경동전체1!G339)</f>
        <v>따사룸</v>
      </c>
      <c r="L339" s="4" t="str">
        <f t="shared" si="20"/>
        <v>1</v>
      </c>
      <c r="M339" s="1" t="str">
        <f>IF(LEFT(경동전체1!D339,1)="2","비닐",IF(LEFT(경동전체1!O339,1)="박","박스","비닐"))</f>
        <v>비닐</v>
      </c>
      <c r="N339" s="25">
        <v>1</v>
      </c>
      <c r="O339" s="25">
        <v>1</v>
      </c>
      <c r="P339" s="25">
        <v>1</v>
      </c>
      <c r="Q339" s="25">
        <v>1</v>
      </c>
      <c r="R339" s="1" t="str">
        <f t="shared" si="21"/>
        <v>50</v>
      </c>
      <c r="S339" s="1">
        <f>경동전체1!B339</f>
        <v>0</v>
      </c>
      <c r="T339" s="1" t="str">
        <f t="shared" si="22"/>
        <v>100</v>
      </c>
      <c r="U339" s="5" t="str">
        <f t="shared" si="23"/>
        <v>0</v>
      </c>
      <c r="V339" s="26">
        <v>0</v>
      </c>
      <c r="W339" s="26">
        <v>0</v>
      </c>
      <c r="X339" s="2" t="str">
        <f>SUBSTITUTE(SUBSTITUTE(SUBSTITUTE(SUBSTITUTE(SUBSTITUTE(SUBSTITUTE(SUBSTITUTE(SUBSTITUTE(SUBSTITUTE(SUBSTITUTE(SUBSTITUTE(SUBSTITUTE(SUBSTITUTE(경동전체1!D339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0" spans="1:24" ht="20.25" customHeight="1" x14ac:dyDescent="0.3">
      <c r="A340" s="2">
        <f>경동전체1!A340</f>
        <v>0</v>
      </c>
      <c r="B340" s="13" t="str">
        <f>SUBSTITUTE(SUBSTITUTE(SUBSTITUTE(SUBSTITUTE(SUBSTITUTE(SUBSTITUTE(SUBSTITUTE(SUBSTITUTE(SUBSTITUTE(SUBSTITUTE(SUBSTITUTE(SUBSTITUTE(SUBSTITUTE(경동전체1!K340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0" s="30">
        <f>경동전체1!E340</f>
        <v>0</v>
      </c>
      <c r="D340" s="23"/>
      <c r="E340" s="23"/>
      <c r="F340" s="4">
        <f>경동전체1!J340</f>
        <v>0</v>
      </c>
      <c r="G340" s="23"/>
      <c r="H340" s="2">
        <f>경동전체1!H340</f>
        <v>0</v>
      </c>
      <c r="I340" s="2" t="str">
        <f>경동전체1!I340&amp;""</f>
        <v/>
      </c>
      <c r="J340" s="2" t="s">
        <v>36</v>
      </c>
      <c r="K340" s="2" t="str">
        <f>IF(LEFT(경동전체1!G340,1)="","따사룸",경동전체1!G340)</f>
        <v>따사룸</v>
      </c>
      <c r="L340" s="4" t="str">
        <f t="shared" si="20"/>
        <v>1</v>
      </c>
      <c r="M340" s="1" t="str">
        <f>IF(LEFT(경동전체1!D340,1)="2","비닐",IF(LEFT(경동전체1!O340,1)="박","박스","비닐"))</f>
        <v>비닐</v>
      </c>
      <c r="N340" s="25">
        <v>1</v>
      </c>
      <c r="O340" s="25">
        <v>1</v>
      </c>
      <c r="P340" s="25">
        <v>1</v>
      </c>
      <c r="Q340" s="25">
        <v>1</v>
      </c>
      <c r="R340" s="1" t="str">
        <f t="shared" si="21"/>
        <v>50</v>
      </c>
      <c r="S340" s="1">
        <f>경동전체1!B340</f>
        <v>0</v>
      </c>
      <c r="T340" s="1" t="str">
        <f t="shared" si="22"/>
        <v>100</v>
      </c>
      <c r="U340" s="5" t="str">
        <f t="shared" si="23"/>
        <v>0</v>
      </c>
      <c r="V340" s="26">
        <v>0</v>
      </c>
      <c r="W340" s="26">
        <v>0</v>
      </c>
      <c r="X340" s="2" t="str">
        <f>SUBSTITUTE(SUBSTITUTE(SUBSTITUTE(SUBSTITUTE(SUBSTITUTE(SUBSTITUTE(SUBSTITUTE(SUBSTITUTE(SUBSTITUTE(SUBSTITUTE(SUBSTITUTE(SUBSTITUTE(SUBSTITUTE(경동전체1!D340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1" spans="1:24" ht="20.25" customHeight="1" x14ac:dyDescent="0.3">
      <c r="A341" s="2">
        <f>경동전체1!A341</f>
        <v>0</v>
      </c>
      <c r="B341" s="13" t="str">
        <f>SUBSTITUTE(SUBSTITUTE(SUBSTITUTE(SUBSTITUTE(SUBSTITUTE(SUBSTITUTE(SUBSTITUTE(SUBSTITUTE(SUBSTITUTE(SUBSTITUTE(SUBSTITUTE(SUBSTITUTE(SUBSTITUTE(경동전체1!K341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1" s="30">
        <f>경동전체1!E341</f>
        <v>0</v>
      </c>
      <c r="D341" s="23"/>
      <c r="E341" s="23"/>
      <c r="F341" s="4">
        <f>경동전체1!J341</f>
        <v>0</v>
      </c>
      <c r="G341" s="23"/>
      <c r="H341" s="2">
        <f>경동전체1!H341</f>
        <v>0</v>
      </c>
      <c r="I341" s="2" t="str">
        <f>경동전체1!I341&amp;""</f>
        <v/>
      </c>
      <c r="J341" s="2" t="s">
        <v>36</v>
      </c>
      <c r="K341" s="2" t="str">
        <f>IF(LEFT(경동전체1!G341,1)="","따사룸",경동전체1!G341)</f>
        <v>따사룸</v>
      </c>
      <c r="L341" s="4" t="str">
        <f t="shared" si="20"/>
        <v>1</v>
      </c>
      <c r="M341" s="1" t="str">
        <f>IF(LEFT(경동전체1!D341,1)="2","비닐",IF(LEFT(경동전체1!O341,1)="박","박스","비닐"))</f>
        <v>비닐</v>
      </c>
      <c r="N341" s="25">
        <v>1</v>
      </c>
      <c r="O341" s="25">
        <v>1</v>
      </c>
      <c r="P341" s="25">
        <v>1</v>
      </c>
      <c r="Q341" s="25">
        <v>1</v>
      </c>
      <c r="R341" s="1" t="str">
        <f t="shared" si="21"/>
        <v>50</v>
      </c>
      <c r="S341" s="1">
        <f>경동전체1!B341</f>
        <v>0</v>
      </c>
      <c r="T341" s="1" t="str">
        <f t="shared" si="22"/>
        <v>100</v>
      </c>
      <c r="U341" s="5" t="str">
        <f t="shared" si="23"/>
        <v>0</v>
      </c>
      <c r="V341" s="26">
        <v>0</v>
      </c>
      <c r="W341" s="26">
        <v>0</v>
      </c>
      <c r="X341" s="2" t="str">
        <f>SUBSTITUTE(SUBSTITUTE(SUBSTITUTE(SUBSTITUTE(SUBSTITUTE(SUBSTITUTE(SUBSTITUTE(SUBSTITUTE(SUBSTITUTE(SUBSTITUTE(SUBSTITUTE(SUBSTITUTE(SUBSTITUTE(경동전체1!D341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2" spans="1:24" ht="20.25" customHeight="1" x14ac:dyDescent="0.3">
      <c r="A342" s="2">
        <f>경동전체1!A342</f>
        <v>0</v>
      </c>
      <c r="B342" s="13" t="str">
        <f>SUBSTITUTE(SUBSTITUTE(SUBSTITUTE(SUBSTITUTE(SUBSTITUTE(SUBSTITUTE(SUBSTITUTE(SUBSTITUTE(SUBSTITUTE(SUBSTITUTE(SUBSTITUTE(SUBSTITUTE(SUBSTITUTE(경동전체1!K342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2" s="30">
        <f>경동전체1!E342</f>
        <v>0</v>
      </c>
      <c r="D342" s="23"/>
      <c r="E342" s="23"/>
      <c r="F342" s="4">
        <f>경동전체1!J342</f>
        <v>0</v>
      </c>
      <c r="G342" s="23"/>
      <c r="H342" s="2">
        <f>경동전체1!H342</f>
        <v>0</v>
      </c>
      <c r="I342" s="2" t="str">
        <f>경동전체1!I342&amp;""</f>
        <v/>
      </c>
      <c r="J342" s="2" t="s">
        <v>36</v>
      </c>
      <c r="K342" s="2" t="str">
        <f>IF(LEFT(경동전체1!G342,1)="","따사룸",경동전체1!G342)</f>
        <v>따사룸</v>
      </c>
      <c r="L342" s="4" t="str">
        <f t="shared" si="20"/>
        <v>1</v>
      </c>
      <c r="M342" s="1" t="str">
        <f>IF(LEFT(경동전체1!D342,1)="2","비닐",IF(LEFT(경동전체1!O342,1)="박","박스","비닐"))</f>
        <v>비닐</v>
      </c>
      <c r="N342" s="25">
        <v>1</v>
      </c>
      <c r="O342" s="25">
        <v>1</v>
      </c>
      <c r="P342" s="25">
        <v>1</v>
      </c>
      <c r="Q342" s="25">
        <v>1</v>
      </c>
      <c r="R342" s="1" t="str">
        <f t="shared" si="21"/>
        <v>50</v>
      </c>
      <c r="S342" s="1">
        <f>경동전체1!B342</f>
        <v>0</v>
      </c>
      <c r="T342" s="1" t="str">
        <f t="shared" si="22"/>
        <v>100</v>
      </c>
      <c r="U342" s="5" t="str">
        <f t="shared" si="23"/>
        <v>0</v>
      </c>
      <c r="V342" s="26">
        <v>0</v>
      </c>
      <c r="W342" s="26">
        <v>0</v>
      </c>
      <c r="X342" s="2" t="str">
        <f>SUBSTITUTE(SUBSTITUTE(SUBSTITUTE(SUBSTITUTE(SUBSTITUTE(SUBSTITUTE(SUBSTITUTE(SUBSTITUTE(SUBSTITUTE(SUBSTITUTE(SUBSTITUTE(SUBSTITUTE(SUBSTITUTE(경동전체1!D342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3" spans="1:24" ht="20.25" customHeight="1" x14ac:dyDescent="0.3">
      <c r="A343" s="2">
        <f>경동전체1!A343</f>
        <v>0</v>
      </c>
      <c r="B343" s="13" t="str">
        <f>SUBSTITUTE(SUBSTITUTE(SUBSTITUTE(SUBSTITUTE(SUBSTITUTE(SUBSTITUTE(SUBSTITUTE(SUBSTITUTE(SUBSTITUTE(SUBSTITUTE(SUBSTITUTE(SUBSTITUTE(SUBSTITUTE(경동전체1!K343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3" s="30">
        <f>경동전체1!E343</f>
        <v>0</v>
      </c>
      <c r="D343" s="23"/>
      <c r="E343" s="23"/>
      <c r="F343" s="4">
        <f>경동전체1!J343</f>
        <v>0</v>
      </c>
      <c r="G343" s="23"/>
      <c r="H343" s="2">
        <f>경동전체1!H343</f>
        <v>0</v>
      </c>
      <c r="I343" s="2" t="str">
        <f>경동전체1!I343&amp;""</f>
        <v/>
      </c>
      <c r="J343" s="2" t="s">
        <v>36</v>
      </c>
      <c r="K343" s="2" t="str">
        <f>IF(LEFT(경동전체1!G343,1)="","따사룸",경동전체1!G343)</f>
        <v>따사룸</v>
      </c>
      <c r="L343" s="4" t="str">
        <f t="shared" si="20"/>
        <v>1</v>
      </c>
      <c r="M343" s="1" t="str">
        <f>IF(LEFT(경동전체1!D343,1)="2","비닐",IF(LEFT(경동전체1!O343,1)="박","박스","비닐"))</f>
        <v>비닐</v>
      </c>
      <c r="N343" s="25">
        <v>1</v>
      </c>
      <c r="O343" s="25">
        <v>1</v>
      </c>
      <c r="P343" s="25">
        <v>1</v>
      </c>
      <c r="Q343" s="25">
        <v>1</v>
      </c>
      <c r="R343" s="1" t="str">
        <f t="shared" si="21"/>
        <v>50</v>
      </c>
      <c r="S343" s="1">
        <f>경동전체1!B343</f>
        <v>0</v>
      </c>
      <c r="T343" s="1" t="str">
        <f t="shared" si="22"/>
        <v>100</v>
      </c>
      <c r="U343" s="5" t="str">
        <f t="shared" si="23"/>
        <v>0</v>
      </c>
      <c r="V343" s="26">
        <v>0</v>
      </c>
      <c r="W343" s="26">
        <v>0</v>
      </c>
      <c r="X343" s="2" t="str">
        <f>SUBSTITUTE(SUBSTITUTE(SUBSTITUTE(SUBSTITUTE(SUBSTITUTE(SUBSTITUTE(SUBSTITUTE(SUBSTITUTE(SUBSTITUTE(SUBSTITUTE(SUBSTITUTE(SUBSTITUTE(SUBSTITUTE(경동전체1!D343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4" spans="1:24" ht="20.25" customHeight="1" x14ac:dyDescent="0.3">
      <c r="A344" s="2">
        <f>경동전체1!A344</f>
        <v>0</v>
      </c>
      <c r="B344" s="13" t="str">
        <f>SUBSTITUTE(SUBSTITUTE(SUBSTITUTE(SUBSTITUTE(SUBSTITUTE(SUBSTITUTE(SUBSTITUTE(SUBSTITUTE(SUBSTITUTE(SUBSTITUTE(SUBSTITUTE(SUBSTITUTE(SUBSTITUTE(경동전체1!K344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4" s="30">
        <f>경동전체1!E344</f>
        <v>0</v>
      </c>
      <c r="D344" s="23"/>
      <c r="E344" s="23"/>
      <c r="F344" s="4">
        <f>경동전체1!J344</f>
        <v>0</v>
      </c>
      <c r="G344" s="23"/>
      <c r="H344" s="2">
        <f>경동전체1!H344</f>
        <v>0</v>
      </c>
      <c r="I344" s="2" t="str">
        <f>경동전체1!I344&amp;""</f>
        <v/>
      </c>
      <c r="J344" s="2" t="s">
        <v>36</v>
      </c>
      <c r="K344" s="2" t="str">
        <f>IF(LEFT(경동전체1!G344,1)="","따사룸",경동전체1!G344)</f>
        <v>따사룸</v>
      </c>
      <c r="L344" s="4" t="str">
        <f t="shared" si="20"/>
        <v>1</v>
      </c>
      <c r="M344" s="1" t="str">
        <f>IF(LEFT(경동전체1!D344,1)="2","비닐",IF(LEFT(경동전체1!O344,1)="박","박스","비닐"))</f>
        <v>비닐</v>
      </c>
      <c r="N344" s="25">
        <v>1</v>
      </c>
      <c r="O344" s="25">
        <v>1</v>
      </c>
      <c r="P344" s="25">
        <v>1</v>
      </c>
      <c r="Q344" s="25">
        <v>1</v>
      </c>
      <c r="R344" s="1" t="str">
        <f t="shared" si="21"/>
        <v>50</v>
      </c>
      <c r="S344" s="1">
        <f>경동전체1!B344</f>
        <v>0</v>
      </c>
      <c r="T344" s="1" t="str">
        <f t="shared" si="22"/>
        <v>100</v>
      </c>
      <c r="U344" s="5" t="str">
        <f t="shared" si="23"/>
        <v>0</v>
      </c>
      <c r="V344" s="26">
        <v>0</v>
      </c>
      <c r="W344" s="26">
        <v>0</v>
      </c>
      <c r="X344" s="2" t="str">
        <f>SUBSTITUTE(SUBSTITUTE(SUBSTITUTE(SUBSTITUTE(SUBSTITUTE(SUBSTITUTE(SUBSTITUTE(SUBSTITUTE(SUBSTITUTE(SUBSTITUTE(SUBSTITUTE(SUBSTITUTE(SUBSTITUTE(경동전체1!D344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5" spans="1:24" ht="20.25" customHeight="1" x14ac:dyDescent="0.3">
      <c r="A345" s="2">
        <f>경동전체1!A345</f>
        <v>0</v>
      </c>
      <c r="B345" s="13" t="str">
        <f>SUBSTITUTE(SUBSTITUTE(SUBSTITUTE(SUBSTITUTE(SUBSTITUTE(SUBSTITUTE(SUBSTITUTE(SUBSTITUTE(SUBSTITUTE(SUBSTITUTE(SUBSTITUTE(SUBSTITUTE(SUBSTITUTE(경동전체1!K345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5" s="30">
        <f>경동전체1!E345</f>
        <v>0</v>
      </c>
      <c r="D345" s="23"/>
      <c r="E345" s="23"/>
      <c r="F345" s="4">
        <f>경동전체1!J345</f>
        <v>0</v>
      </c>
      <c r="G345" s="23"/>
      <c r="H345" s="2">
        <f>경동전체1!H345</f>
        <v>0</v>
      </c>
      <c r="I345" s="2" t="str">
        <f>경동전체1!I345&amp;""</f>
        <v/>
      </c>
      <c r="J345" s="2" t="s">
        <v>36</v>
      </c>
      <c r="K345" s="2" t="str">
        <f>IF(LEFT(경동전체1!G345,1)="","따사룸",경동전체1!G345)</f>
        <v>따사룸</v>
      </c>
      <c r="L345" s="4" t="str">
        <f t="shared" si="20"/>
        <v>1</v>
      </c>
      <c r="M345" s="1" t="str">
        <f>IF(LEFT(경동전체1!D345,1)="2","비닐",IF(LEFT(경동전체1!O345,1)="박","박스","비닐"))</f>
        <v>비닐</v>
      </c>
      <c r="N345" s="25">
        <v>1</v>
      </c>
      <c r="O345" s="25">
        <v>1</v>
      </c>
      <c r="P345" s="25">
        <v>1</v>
      </c>
      <c r="Q345" s="25">
        <v>1</v>
      </c>
      <c r="R345" s="1" t="str">
        <f t="shared" si="21"/>
        <v>50</v>
      </c>
      <c r="S345" s="1">
        <f>경동전체1!B345</f>
        <v>0</v>
      </c>
      <c r="T345" s="1" t="str">
        <f t="shared" si="22"/>
        <v>100</v>
      </c>
      <c r="U345" s="5" t="str">
        <f t="shared" si="23"/>
        <v>0</v>
      </c>
      <c r="V345" s="26">
        <v>0</v>
      </c>
      <c r="W345" s="26">
        <v>0</v>
      </c>
      <c r="X345" s="2" t="str">
        <f>SUBSTITUTE(SUBSTITUTE(SUBSTITUTE(SUBSTITUTE(SUBSTITUTE(SUBSTITUTE(SUBSTITUTE(SUBSTITUTE(SUBSTITUTE(SUBSTITUTE(SUBSTITUTE(SUBSTITUTE(SUBSTITUTE(경동전체1!D345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6" spans="1:24" ht="20.25" customHeight="1" x14ac:dyDescent="0.3">
      <c r="A346" s="2">
        <f>경동전체1!A346</f>
        <v>0</v>
      </c>
      <c r="B346" s="13" t="str">
        <f>SUBSTITUTE(SUBSTITUTE(SUBSTITUTE(SUBSTITUTE(SUBSTITUTE(SUBSTITUTE(SUBSTITUTE(SUBSTITUTE(SUBSTITUTE(SUBSTITUTE(SUBSTITUTE(SUBSTITUTE(SUBSTITUTE(경동전체1!K346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6" s="30">
        <f>경동전체1!E346</f>
        <v>0</v>
      </c>
      <c r="D346" s="23"/>
      <c r="E346" s="23"/>
      <c r="F346" s="4">
        <f>경동전체1!J346</f>
        <v>0</v>
      </c>
      <c r="G346" s="23"/>
      <c r="H346" s="2">
        <f>경동전체1!H346</f>
        <v>0</v>
      </c>
      <c r="I346" s="2" t="str">
        <f>경동전체1!I346&amp;""</f>
        <v/>
      </c>
      <c r="J346" s="2" t="s">
        <v>36</v>
      </c>
      <c r="K346" s="2" t="str">
        <f>IF(LEFT(경동전체1!G346,1)="","따사룸",경동전체1!G346)</f>
        <v>따사룸</v>
      </c>
      <c r="L346" s="4" t="str">
        <f t="shared" si="20"/>
        <v>1</v>
      </c>
      <c r="M346" s="1" t="str">
        <f>IF(LEFT(경동전체1!D346,1)="2","비닐",IF(LEFT(경동전체1!O346,1)="박","박스","비닐"))</f>
        <v>비닐</v>
      </c>
      <c r="N346" s="25">
        <v>1</v>
      </c>
      <c r="O346" s="25">
        <v>1</v>
      </c>
      <c r="P346" s="25">
        <v>1</v>
      </c>
      <c r="Q346" s="25">
        <v>1</v>
      </c>
      <c r="R346" s="1" t="str">
        <f t="shared" si="21"/>
        <v>50</v>
      </c>
      <c r="S346" s="1">
        <f>경동전체1!B346</f>
        <v>0</v>
      </c>
      <c r="T346" s="1" t="str">
        <f t="shared" si="22"/>
        <v>100</v>
      </c>
      <c r="U346" s="5" t="str">
        <f t="shared" si="23"/>
        <v>0</v>
      </c>
      <c r="V346" s="26">
        <v>0</v>
      </c>
      <c r="W346" s="26">
        <v>0</v>
      </c>
      <c r="X346" s="2" t="str">
        <f>SUBSTITUTE(SUBSTITUTE(SUBSTITUTE(SUBSTITUTE(SUBSTITUTE(SUBSTITUTE(SUBSTITUTE(SUBSTITUTE(SUBSTITUTE(SUBSTITUTE(SUBSTITUTE(SUBSTITUTE(SUBSTITUTE(경동전체1!D346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7" spans="1:24" ht="20.25" customHeight="1" x14ac:dyDescent="0.3">
      <c r="A347" s="2">
        <f>경동전체1!A347</f>
        <v>0</v>
      </c>
      <c r="B347" s="13" t="str">
        <f>SUBSTITUTE(SUBSTITUTE(SUBSTITUTE(SUBSTITUTE(SUBSTITUTE(SUBSTITUTE(SUBSTITUTE(SUBSTITUTE(SUBSTITUTE(SUBSTITUTE(SUBSTITUTE(SUBSTITUTE(SUBSTITUTE(경동전체1!K347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7" s="30">
        <f>경동전체1!E347</f>
        <v>0</v>
      </c>
      <c r="D347" s="23"/>
      <c r="E347" s="23"/>
      <c r="F347" s="4">
        <f>경동전체1!J347</f>
        <v>0</v>
      </c>
      <c r="G347" s="23"/>
      <c r="H347" s="2">
        <f>경동전체1!H347</f>
        <v>0</v>
      </c>
      <c r="I347" s="2" t="str">
        <f>경동전체1!I347&amp;""</f>
        <v/>
      </c>
      <c r="J347" s="2" t="s">
        <v>36</v>
      </c>
      <c r="K347" s="2" t="str">
        <f>IF(LEFT(경동전체1!G347,1)="","따사룸",경동전체1!G347)</f>
        <v>따사룸</v>
      </c>
      <c r="L347" s="4" t="str">
        <f t="shared" si="20"/>
        <v>1</v>
      </c>
      <c r="M347" s="1" t="str">
        <f>IF(LEFT(경동전체1!D347,1)="2","비닐",IF(LEFT(경동전체1!O347,1)="박","박스","비닐"))</f>
        <v>비닐</v>
      </c>
      <c r="N347" s="25">
        <v>1</v>
      </c>
      <c r="O347" s="25">
        <v>1</v>
      </c>
      <c r="P347" s="25">
        <v>1</v>
      </c>
      <c r="Q347" s="25">
        <v>1</v>
      </c>
      <c r="R347" s="1" t="str">
        <f t="shared" si="21"/>
        <v>50</v>
      </c>
      <c r="S347" s="1">
        <f>경동전체1!B347</f>
        <v>0</v>
      </c>
      <c r="T347" s="1" t="str">
        <f t="shared" si="22"/>
        <v>100</v>
      </c>
      <c r="U347" s="5" t="str">
        <f t="shared" si="23"/>
        <v>0</v>
      </c>
      <c r="V347" s="26">
        <v>0</v>
      </c>
      <c r="W347" s="26">
        <v>0</v>
      </c>
      <c r="X347" s="2" t="str">
        <f>SUBSTITUTE(SUBSTITUTE(SUBSTITUTE(SUBSTITUTE(SUBSTITUTE(SUBSTITUTE(SUBSTITUTE(SUBSTITUTE(SUBSTITUTE(SUBSTITUTE(SUBSTITUTE(SUBSTITUTE(SUBSTITUTE(경동전체1!D347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8" spans="1:24" ht="20.25" customHeight="1" x14ac:dyDescent="0.3">
      <c r="A348" s="2">
        <f>경동전체1!A348</f>
        <v>0</v>
      </c>
      <c r="B348" s="13" t="str">
        <f>SUBSTITUTE(SUBSTITUTE(SUBSTITUTE(SUBSTITUTE(SUBSTITUTE(SUBSTITUTE(SUBSTITUTE(SUBSTITUTE(SUBSTITUTE(SUBSTITUTE(SUBSTITUTE(SUBSTITUTE(SUBSTITUTE(경동전체1!K348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8" s="30">
        <f>경동전체1!E348</f>
        <v>0</v>
      </c>
      <c r="D348" s="23"/>
      <c r="E348" s="23"/>
      <c r="F348" s="4">
        <f>경동전체1!J348</f>
        <v>0</v>
      </c>
      <c r="G348" s="23"/>
      <c r="H348" s="2">
        <f>경동전체1!H348</f>
        <v>0</v>
      </c>
      <c r="I348" s="2" t="str">
        <f>경동전체1!I348&amp;""</f>
        <v/>
      </c>
      <c r="J348" s="2" t="s">
        <v>36</v>
      </c>
      <c r="K348" s="2" t="str">
        <f>IF(LEFT(경동전체1!G348,1)="","따사룸",경동전체1!G348)</f>
        <v>따사룸</v>
      </c>
      <c r="L348" s="4" t="str">
        <f t="shared" si="20"/>
        <v>1</v>
      </c>
      <c r="M348" s="1" t="str">
        <f>IF(LEFT(경동전체1!D348,1)="2","비닐",IF(LEFT(경동전체1!O348,1)="박","박스","비닐"))</f>
        <v>비닐</v>
      </c>
      <c r="N348" s="25">
        <v>1</v>
      </c>
      <c r="O348" s="25">
        <v>1</v>
      </c>
      <c r="P348" s="25">
        <v>1</v>
      </c>
      <c r="Q348" s="25">
        <v>1</v>
      </c>
      <c r="R348" s="1" t="str">
        <f t="shared" si="21"/>
        <v>50</v>
      </c>
      <c r="S348" s="1">
        <f>경동전체1!B348</f>
        <v>0</v>
      </c>
      <c r="T348" s="1" t="str">
        <f t="shared" si="22"/>
        <v>100</v>
      </c>
      <c r="U348" s="5" t="str">
        <f t="shared" si="23"/>
        <v>0</v>
      </c>
      <c r="V348" s="26">
        <v>0</v>
      </c>
      <c r="W348" s="26">
        <v>0</v>
      </c>
      <c r="X348" s="2" t="str">
        <f>SUBSTITUTE(SUBSTITUTE(SUBSTITUTE(SUBSTITUTE(SUBSTITUTE(SUBSTITUTE(SUBSTITUTE(SUBSTITUTE(SUBSTITUTE(SUBSTITUTE(SUBSTITUTE(SUBSTITUTE(SUBSTITUTE(경동전체1!D348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9" spans="1:24" ht="20.25" customHeight="1" x14ac:dyDescent="0.3">
      <c r="A349" s="2">
        <f>경동전체1!A349</f>
        <v>0</v>
      </c>
      <c r="B349" s="13" t="str">
        <f>SUBSTITUTE(SUBSTITUTE(SUBSTITUTE(SUBSTITUTE(SUBSTITUTE(SUBSTITUTE(SUBSTITUTE(SUBSTITUTE(SUBSTITUTE(SUBSTITUTE(SUBSTITUTE(SUBSTITUTE(SUBSTITUTE(경동전체1!K349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9" s="30">
        <f>경동전체1!E349</f>
        <v>0</v>
      </c>
      <c r="D349" s="23"/>
      <c r="E349" s="23"/>
      <c r="F349" s="4">
        <f>경동전체1!J349</f>
        <v>0</v>
      </c>
      <c r="G349" s="23"/>
      <c r="H349" s="2">
        <f>경동전체1!H349</f>
        <v>0</v>
      </c>
      <c r="I349" s="2" t="str">
        <f>경동전체1!I349&amp;""</f>
        <v/>
      </c>
      <c r="J349" s="2" t="s">
        <v>36</v>
      </c>
      <c r="K349" s="2" t="str">
        <f>IF(LEFT(경동전체1!G349,1)="","따사룸",경동전체1!G349)</f>
        <v>따사룸</v>
      </c>
      <c r="L349" s="4" t="str">
        <f t="shared" si="20"/>
        <v>1</v>
      </c>
      <c r="M349" s="1" t="str">
        <f>IF(LEFT(경동전체1!D349,1)="2","비닐",IF(LEFT(경동전체1!O349,1)="박","박스","비닐"))</f>
        <v>비닐</v>
      </c>
      <c r="N349" s="25">
        <v>1</v>
      </c>
      <c r="O349" s="25">
        <v>1</v>
      </c>
      <c r="P349" s="25">
        <v>1</v>
      </c>
      <c r="Q349" s="25">
        <v>1</v>
      </c>
      <c r="R349" s="1" t="str">
        <f t="shared" si="21"/>
        <v>50</v>
      </c>
      <c r="S349" s="1">
        <f>경동전체1!B349</f>
        <v>0</v>
      </c>
      <c r="T349" s="1" t="str">
        <f t="shared" si="22"/>
        <v>100</v>
      </c>
      <c r="U349" s="5" t="str">
        <f t="shared" si="23"/>
        <v>0</v>
      </c>
      <c r="V349" s="26">
        <v>0</v>
      </c>
      <c r="W349" s="26">
        <v>0</v>
      </c>
      <c r="X349" s="2" t="str">
        <f>SUBSTITUTE(SUBSTITUTE(SUBSTITUTE(SUBSTITUTE(SUBSTITUTE(SUBSTITUTE(SUBSTITUTE(SUBSTITUTE(SUBSTITUTE(SUBSTITUTE(SUBSTITUTE(SUBSTITUTE(SUBSTITUTE(경동전체1!D349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0" spans="1:24" ht="20.25" customHeight="1" x14ac:dyDescent="0.3">
      <c r="A350" s="2">
        <f>경동전체1!A350</f>
        <v>0</v>
      </c>
      <c r="B350" s="13" t="str">
        <f>SUBSTITUTE(SUBSTITUTE(SUBSTITUTE(SUBSTITUTE(SUBSTITUTE(SUBSTITUTE(SUBSTITUTE(SUBSTITUTE(SUBSTITUTE(SUBSTITUTE(SUBSTITUTE(SUBSTITUTE(SUBSTITUTE(경동전체1!K350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0" s="30">
        <f>경동전체1!E350</f>
        <v>0</v>
      </c>
      <c r="D350" s="23"/>
      <c r="E350" s="23"/>
      <c r="F350" s="4">
        <f>경동전체1!J350</f>
        <v>0</v>
      </c>
      <c r="G350" s="23"/>
      <c r="H350" s="2">
        <f>경동전체1!H350</f>
        <v>0</v>
      </c>
      <c r="I350" s="2" t="str">
        <f>경동전체1!I350&amp;""</f>
        <v/>
      </c>
      <c r="J350" s="2" t="s">
        <v>36</v>
      </c>
      <c r="K350" s="2" t="str">
        <f>IF(LEFT(경동전체1!G350,1)="","따사룸",경동전체1!G350)</f>
        <v>따사룸</v>
      </c>
      <c r="L350" s="4" t="str">
        <f t="shared" si="20"/>
        <v>1</v>
      </c>
      <c r="M350" s="1" t="str">
        <f>IF(LEFT(경동전체1!D350,1)="2","비닐",IF(LEFT(경동전체1!O350,1)="박","박스","비닐"))</f>
        <v>비닐</v>
      </c>
      <c r="N350" s="25">
        <v>1</v>
      </c>
      <c r="O350" s="25">
        <v>1</v>
      </c>
      <c r="P350" s="25">
        <v>1</v>
      </c>
      <c r="Q350" s="25">
        <v>1</v>
      </c>
      <c r="R350" s="1" t="str">
        <f t="shared" si="21"/>
        <v>50</v>
      </c>
      <c r="S350" s="1">
        <f>경동전체1!B350</f>
        <v>0</v>
      </c>
      <c r="T350" s="1" t="str">
        <f t="shared" si="22"/>
        <v>100</v>
      </c>
      <c r="U350" s="5" t="str">
        <f t="shared" si="23"/>
        <v>0</v>
      </c>
      <c r="V350" s="26">
        <v>0</v>
      </c>
      <c r="W350" s="26">
        <v>0</v>
      </c>
      <c r="X350" s="2" t="str">
        <f>SUBSTITUTE(SUBSTITUTE(SUBSTITUTE(SUBSTITUTE(SUBSTITUTE(SUBSTITUTE(SUBSTITUTE(SUBSTITUTE(SUBSTITUTE(SUBSTITUTE(SUBSTITUTE(SUBSTITUTE(SUBSTITUTE(경동전체1!D350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1" spans="1:24" ht="20.25" customHeight="1" x14ac:dyDescent="0.3">
      <c r="A351" s="2">
        <f>경동전체1!A351</f>
        <v>0</v>
      </c>
      <c r="B351" s="13" t="str">
        <f>SUBSTITUTE(SUBSTITUTE(SUBSTITUTE(SUBSTITUTE(SUBSTITUTE(SUBSTITUTE(SUBSTITUTE(SUBSTITUTE(SUBSTITUTE(SUBSTITUTE(SUBSTITUTE(SUBSTITUTE(SUBSTITUTE(경동전체1!K351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1" s="30">
        <f>경동전체1!E351</f>
        <v>0</v>
      </c>
      <c r="D351" s="23"/>
      <c r="E351" s="23"/>
      <c r="F351" s="4">
        <f>경동전체1!J351</f>
        <v>0</v>
      </c>
      <c r="G351" s="23"/>
      <c r="H351" s="2">
        <f>경동전체1!H351</f>
        <v>0</v>
      </c>
      <c r="I351" s="2" t="str">
        <f>경동전체1!I351&amp;""</f>
        <v/>
      </c>
      <c r="J351" s="2" t="s">
        <v>36</v>
      </c>
      <c r="K351" s="2" t="str">
        <f>IF(LEFT(경동전체1!G351,1)="","따사룸",경동전체1!G351)</f>
        <v>따사룸</v>
      </c>
      <c r="L351" s="4" t="str">
        <f t="shared" si="20"/>
        <v>1</v>
      </c>
      <c r="M351" s="1" t="str">
        <f>IF(LEFT(경동전체1!D351,1)="2","비닐",IF(LEFT(경동전체1!O351,1)="박","박스","비닐"))</f>
        <v>비닐</v>
      </c>
      <c r="N351" s="25">
        <v>1</v>
      </c>
      <c r="O351" s="25">
        <v>1</v>
      </c>
      <c r="P351" s="25">
        <v>1</v>
      </c>
      <c r="Q351" s="25">
        <v>1</v>
      </c>
      <c r="R351" s="1" t="str">
        <f t="shared" si="21"/>
        <v>50</v>
      </c>
      <c r="S351" s="1">
        <f>경동전체1!B351</f>
        <v>0</v>
      </c>
      <c r="T351" s="1" t="str">
        <f t="shared" si="22"/>
        <v>100</v>
      </c>
      <c r="U351" s="5" t="str">
        <f t="shared" si="23"/>
        <v>0</v>
      </c>
      <c r="V351" s="26">
        <v>0</v>
      </c>
      <c r="W351" s="26">
        <v>0</v>
      </c>
      <c r="X351" s="2" t="str">
        <f>SUBSTITUTE(SUBSTITUTE(SUBSTITUTE(SUBSTITUTE(SUBSTITUTE(SUBSTITUTE(SUBSTITUTE(SUBSTITUTE(SUBSTITUTE(SUBSTITUTE(SUBSTITUTE(SUBSTITUTE(SUBSTITUTE(경동전체1!D351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2" spans="1:24" ht="20.25" customHeight="1" x14ac:dyDescent="0.3">
      <c r="A352" s="2">
        <f>경동전체1!A352</f>
        <v>0</v>
      </c>
      <c r="B352" s="13" t="str">
        <f>SUBSTITUTE(SUBSTITUTE(SUBSTITUTE(SUBSTITUTE(SUBSTITUTE(SUBSTITUTE(SUBSTITUTE(SUBSTITUTE(SUBSTITUTE(SUBSTITUTE(SUBSTITUTE(SUBSTITUTE(SUBSTITUTE(경동전체1!K352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2" s="30">
        <f>경동전체1!E352</f>
        <v>0</v>
      </c>
      <c r="D352" s="23"/>
      <c r="E352" s="23"/>
      <c r="F352" s="4">
        <f>경동전체1!J352</f>
        <v>0</v>
      </c>
      <c r="G352" s="23"/>
      <c r="H352" s="2">
        <f>경동전체1!H352</f>
        <v>0</v>
      </c>
      <c r="I352" s="2" t="str">
        <f>경동전체1!I352&amp;""</f>
        <v/>
      </c>
      <c r="J352" s="2" t="s">
        <v>36</v>
      </c>
      <c r="K352" s="2" t="str">
        <f>IF(LEFT(경동전체1!G352,1)="","따사룸",경동전체1!G352)</f>
        <v>따사룸</v>
      </c>
      <c r="L352" s="4" t="str">
        <f t="shared" si="20"/>
        <v>1</v>
      </c>
      <c r="M352" s="1" t="str">
        <f>IF(LEFT(경동전체1!D352,1)="2","비닐",IF(LEFT(경동전체1!O352,1)="박","박스","비닐"))</f>
        <v>비닐</v>
      </c>
      <c r="N352" s="25">
        <v>1</v>
      </c>
      <c r="O352" s="25">
        <v>1</v>
      </c>
      <c r="P352" s="25">
        <v>1</v>
      </c>
      <c r="Q352" s="25">
        <v>1</v>
      </c>
      <c r="R352" s="1" t="str">
        <f t="shared" si="21"/>
        <v>50</v>
      </c>
      <c r="S352" s="1">
        <f>경동전체1!B352</f>
        <v>0</v>
      </c>
      <c r="T352" s="1" t="str">
        <f t="shared" si="22"/>
        <v>100</v>
      </c>
      <c r="U352" s="5" t="str">
        <f t="shared" si="23"/>
        <v>0</v>
      </c>
      <c r="V352" s="26">
        <v>0</v>
      </c>
      <c r="W352" s="26">
        <v>0</v>
      </c>
      <c r="X352" s="2" t="str">
        <f>SUBSTITUTE(SUBSTITUTE(SUBSTITUTE(SUBSTITUTE(SUBSTITUTE(SUBSTITUTE(SUBSTITUTE(SUBSTITUTE(SUBSTITUTE(SUBSTITUTE(SUBSTITUTE(SUBSTITUTE(SUBSTITUTE(경동전체1!D352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3" spans="1:24" ht="20.25" customHeight="1" x14ac:dyDescent="0.3">
      <c r="A353" s="2">
        <f>경동전체1!A353</f>
        <v>0</v>
      </c>
      <c r="B353" s="13" t="str">
        <f>SUBSTITUTE(SUBSTITUTE(SUBSTITUTE(SUBSTITUTE(SUBSTITUTE(SUBSTITUTE(SUBSTITUTE(SUBSTITUTE(SUBSTITUTE(SUBSTITUTE(SUBSTITUTE(SUBSTITUTE(SUBSTITUTE(경동전체1!K353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3" s="30">
        <f>경동전체1!E353</f>
        <v>0</v>
      </c>
      <c r="D353" s="23"/>
      <c r="E353" s="23"/>
      <c r="F353" s="4">
        <f>경동전체1!J353</f>
        <v>0</v>
      </c>
      <c r="G353" s="23"/>
      <c r="H353" s="2">
        <f>경동전체1!H353</f>
        <v>0</v>
      </c>
      <c r="I353" s="2" t="str">
        <f>경동전체1!I353&amp;""</f>
        <v/>
      </c>
      <c r="J353" s="2" t="s">
        <v>36</v>
      </c>
      <c r="K353" s="2" t="str">
        <f>IF(LEFT(경동전체1!G353,1)="","따사룸",경동전체1!G353)</f>
        <v>따사룸</v>
      </c>
      <c r="L353" s="4" t="str">
        <f t="shared" si="20"/>
        <v>1</v>
      </c>
      <c r="M353" s="1" t="str">
        <f>IF(LEFT(경동전체1!D353,1)="2","비닐",IF(LEFT(경동전체1!O353,1)="박","박스","비닐"))</f>
        <v>비닐</v>
      </c>
      <c r="N353" s="25">
        <v>1</v>
      </c>
      <c r="O353" s="25">
        <v>1</v>
      </c>
      <c r="P353" s="25">
        <v>1</v>
      </c>
      <c r="Q353" s="25">
        <v>1</v>
      </c>
      <c r="R353" s="1" t="str">
        <f t="shared" si="21"/>
        <v>50</v>
      </c>
      <c r="S353" s="1">
        <f>경동전체1!B353</f>
        <v>0</v>
      </c>
      <c r="T353" s="1" t="str">
        <f t="shared" si="22"/>
        <v>100</v>
      </c>
      <c r="U353" s="5" t="str">
        <f t="shared" si="23"/>
        <v>0</v>
      </c>
      <c r="V353" s="26">
        <v>0</v>
      </c>
      <c r="W353" s="26">
        <v>0</v>
      </c>
      <c r="X353" s="2" t="str">
        <f>SUBSTITUTE(SUBSTITUTE(SUBSTITUTE(SUBSTITUTE(SUBSTITUTE(SUBSTITUTE(SUBSTITUTE(SUBSTITUTE(SUBSTITUTE(SUBSTITUTE(SUBSTITUTE(SUBSTITUTE(SUBSTITUTE(경동전체1!D353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4" spans="1:24" ht="20.25" customHeight="1" x14ac:dyDescent="0.3">
      <c r="A354" s="2">
        <f>경동전체1!A354</f>
        <v>0</v>
      </c>
      <c r="B354" s="13" t="str">
        <f>SUBSTITUTE(SUBSTITUTE(SUBSTITUTE(SUBSTITUTE(SUBSTITUTE(SUBSTITUTE(SUBSTITUTE(SUBSTITUTE(SUBSTITUTE(SUBSTITUTE(SUBSTITUTE(SUBSTITUTE(SUBSTITUTE(경동전체1!K354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4" s="30">
        <f>경동전체1!E354</f>
        <v>0</v>
      </c>
      <c r="D354" s="23"/>
      <c r="E354" s="23"/>
      <c r="F354" s="4">
        <f>경동전체1!J354</f>
        <v>0</v>
      </c>
      <c r="G354" s="23"/>
      <c r="H354" s="2">
        <f>경동전체1!H354</f>
        <v>0</v>
      </c>
      <c r="I354" s="2" t="str">
        <f>경동전체1!I354&amp;""</f>
        <v/>
      </c>
      <c r="J354" s="2" t="s">
        <v>36</v>
      </c>
      <c r="K354" s="2" t="str">
        <f>IF(LEFT(경동전체1!G354,1)="","따사룸",경동전체1!G354)</f>
        <v>따사룸</v>
      </c>
      <c r="L354" s="4" t="str">
        <f t="shared" si="20"/>
        <v>1</v>
      </c>
      <c r="M354" s="1" t="str">
        <f>IF(LEFT(경동전체1!D354,1)="2","비닐",IF(LEFT(경동전체1!O354,1)="박","박스","비닐"))</f>
        <v>비닐</v>
      </c>
      <c r="N354" s="25">
        <v>1</v>
      </c>
      <c r="O354" s="25">
        <v>1</v>
      </c>
      <c r="P354" s="25">
        <v>1</v>
      </c>
      <c r="Q354" s="25">
        <v>1</v>
      </c>
      <c r="R354" s="1" t="str">
        <f t="shared" si="21"/>
        <v>50</v>
      </c>
      <c r="S354" s="1">
        <f>경동전체1!B354</f>
        <v>0</v>
      </c>
      <c r="T354" s="1" t="str">
        <f t="shared" si="22"/>
        <v>100</v>
      </c>
      <c r="U354" s="5" t="str">
        <f t="shared" si="23"/>
        <v>0</v>
      </c>
      <c r="V354" s="26">
        <v>0</v>
      </c>
      <c r="W354" s="26">
        <v>0</v>
      </c>
      <c r="X354" s="2" t="str">
        <f>SUBSTITUTE(SUBSTITUTE(SUBSTITUTE(SUBSTITUTE(SUBSTITUTE(SUBSTITUTE(SUBSTITUTE(SUBSTITUTE(SUBSTITUTE(SUBSTITUTE(SUBSTITUTE(SUBSTITUTE(SUBSTITUTE(경동전체1!D354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5" spans="1:24" ht="20.25" customHeight="1" x14ac:dyDescent="0.3">
      <c r="A355" s="2">
        <f>경동전체1!A355</f>
        <v>0</v>
      </c>
      <c r="B355" s="13" t="str">
        <f>SUBSTITUTE(SUBSTITUTE(SUBSTITUTE(SUBSTITUTE(SUBSTITUTE(SUBSTITUTE(SUBSTITUTE(SUBSTITUTE(SUBSTITUTE(SUBSTITUTE(SUBSTITUTE(SUBSTITUTE(SUBSTITUTE(경동전체1!K355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5" s="30">
        <f>경동전체1!E355</f>
        <v>0</v>
      </c>
      <c r="D355" s="23"/>
      <c r="E355" s="23"/>
      <c r="F355" s="4">
        <f>경동전체1!J355</f>
        <v>0</v>
      </c>
      <c r="G355" s="23"/>
      <c r="H355" s="2">
        <f>경동전체1!H355</f>
        <v>0</v>
      </c>
      <c r="I355" s="2" t="str">
        <f>경동전체1!I355&amp;""</f>
        <v/>
      </c>
      <c r="J355" s="2" t="s">
        <v>36</v>
      </c>
      <c r="K355" s="2" t="str">
        <f>IF(LEFT(경동전체1!G355,1)="","따사룸",경동전체1!G355)</f>
        <v>따사룸</v>
      </c>
      <c r="L355" s="4" t="str">
        <f t="shared" si="20"/>
        <v>1</v>
      </c>
      <c r="M355" s="1" t="str">
        <f>IF(LEFT(경동전체1!D355,1)="2","비닐",IF(LEFT(경동전체1!O355,1)="박","박스","비닐"))</f>
        <v>비닐</v>
      </c>
      <c r="N355" s="25">
        <v>1</v>
      </c>
      <c r="O355" s="25">
        <v>1</v>
      </c>
      <c r="P355" s="25">
        <v>1</v>
      </c>
      <c r="Q355" s="25">
        <v>1</v>
      </c>
      <c r="R355" s="1" t="str">
        <f t="shared" si="21"/>
        <v>50</v>
      </c>
      <c r="S355" s="1">
        <f>경동전체1!B355</f>
        <v>0</v>
      </c>
      <c r="T355" s="1" t="str">
        <f t="shared" si="22"/>
        <v>100</v>
      </c>
      <c r="U355" s="5" t="str">
        <f t="shared" si="23"/>
        <v>0</v>
      </c>
      <c r="V355" s="26">
        <v>0</v>
      </c>
      <c r="W355" s="26">
        <v>0</v>
      </c>
      <c r="X355" s="2" t="str">
        <f>SUBSTITUTE(SUBSTITUTE(SUBSTITUTE(SUBSTITUTE(SUBSTITUTE(SUBSTITUTE(SUBSTITUTE(SUBSTITUTE(SUBSTITUTE(SUBSTITUTE(SUBSTITUTE(SUBSTITUTE(SUBSTITUTE(경동전체1!D355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6" spans="1:24" ht="20.25" customHeight="1" x14ac:dyDescent="0.3">
      <c r="A356" s="2">
        <f>경동전체1!A356</f>
        <v>0</v>
      </c>
      <c r="B356" s="13" t="str">
        <f>SUBSTITUTE(SUBSTITUTE(SUBSTITUTE(SUBSTITUTE(SUBSTITUTE(SUBSTITUTE(SUBSTITUTE(SUBSTITUTE(SUBSTITUTE(SUBSTITUTE(SUBSTITUTE(SUBSTITUTE(SUBSTITUTE(경동전체1!K356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6" s="30">
        <f>경동전체1!E356</f>
        <v>0</v>
      </c>
      <c r="D356" s="23"/>
      <c r="E356" s="23"/>
      <c r="F356" s="4">
        <f>경동전체1!J356</f>
        <v>0</v>
      </c>
      <c r="G356" s="23"/>
      <c r="H356" s="2">
        <f>경동전체1!H356</f>
        <v>0</v>
      </c>
      <c r="I356" s="2" t="str">
        <f>경동전체1!I356&amp;""</f>
        <v/>
      </c>
      <c r="J356" s="2" t="s">
        <v>36</v>
      </c>
      <c r="K356" s="2" t="str">
        <f>IF(LEFT(경동전체1!G356,1)="","따사룸",경동전체1!G356)</f>
        <v>따사룸</v>
      </c>
      <c r="L356" s="4" t="str">
        <f t="shared" si="20"/>
        <v>1</v>
      </c>
      <c r="M356" s="1" t="str">
        <f>IF(LEFT(경동전체1!D356,1)="2","비닐",IF(LEFT(경동전체1!O356,1)="박","박스","비닐"))</f>
        <v>비닐</v>
      </c>
      <c r="N356" s="25">
        <v>1</v>
      </c>
      <c r="O356" s="25">
        <v>1</v>
      </c>
      <c r="P356" s="25">
        <v>1</v>
      </c>
      <c r="Q356" s="25">
        <v>1</v>
      </c>
      <c r="R356" s="1" t="str">
        <f t="shared" si="21"/>
        <v>50</v>
      </c>
      <c r="S356" s="1">
        <f>경동전체1!B356</f>
        <v>0</v>
      </c>
      <c r="T356" s="1" t="str">
        <f t="shared" si="22"/>
        <v>100</v>
      </c>
      <c r="U356" s="5" t="str">
        <f t="shared" si="23"/>
        <v>0</v>
      </c>
      <c r="V356" s="26">
        <v>0</v>
      </c>
      <c r="W356" s="26">
        <v>0</v>
      </c>
      <c r="X356" s="2" t="str">
        <f>SUBSTITUTE(SUBSTITUTE(SUBSTITUTE(SUBSTITUTE(SUBSTITUTE(SUBSTITUTE(SUBSTITUTE(SUBSTITUTE(SUBSTITUTE(SUBSTITUTE(SUBSTITUTE(SUBSTITUTE(SUBSTITUTE(경동전체1!D356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7" spans="1:24" ht="20.25" customHeight="1" x14ac:dyDescent="0.3">
      <c r="A357" s="2">
        <f>경동전체1!A357</f>
        <v>0</v>
      </c>
      <c r="B357" s="13" t="str">
        <f>SUBSTITUTE(SUBSTITUTE(SUBSTITUTE(SUBSTITUTE(SUBSTITUTE(SUBSTITUTE(SUBSTITUTE(SUBSTITUTE(SUBSTITUTE(SUBSTITUTE(SUBSTITUTE(SUBSTITUTE(SUBSTITUTE(경동전체1!K357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7" s="30">
        <f>경동전체1!E357</f>
        <v>0</v>
      </c>
      <c r="D357" s="23"/>
      <c r="E357" s="23"/>
      <c r="F357" s="4">
        <f>경동전체1!J357</f>
        <v>0</v>
      </c>
      <c r="G357" s="23"/>
      <c r="H357" s="2">
        <f>경동전체1!H357</f>
        <v>0</v>
      </c>
      <c r="I357" s="2" t="str">
        <f>경동전체1!I357&amp;""</f>
        <v/>
      </c>
      <c r="J357" s="2" t="s">
        <v>36</v>
      </c>
      <c r="K357" s="2" t="str">
        <f>IF(LEFT(경동전체1!G357,1)="","따사룸",경동전체1!G357)</f>
        <v>따사룸</v>
      </c>
      <c r="L357" s="4" t="str">
        <f t="shared" si="20"/>
        <v>1</v>
      </c>
      <c r="M357" s="1" t="str">
        <f>IF(LEFT(경동전체1!D357,1)="2","비닐",IF(LEFT(경동전체1!O357,1)="박","박스","비닐"))</f>
        <v>비닐</v>
      </c>
      <c r="N357" s="25">
        <v>1</v>
      </c>
      <c r="O357" s="25">
        <v>1</v>
      </c>
      <c r="P357" s="25">
        <v>1</v>
      </c>
      <c r="Q357" s="25">
        <v>1</v>
      </c>
      <c r="R357" s="1" t="str">
        <f t="shared" si="21"/>
        <v>50</v>
      </c>
      <c r="S357" s="1">
        <f>경동전체1!B357</f>
        <v>0</v>
      </c>
      <c r="T357" s="1" t="str">
        <f t="shared" si="22"/>
        <v>100</v>
      </c>
      <c r="U357" s="5" t="str">
        <f t="shared" si="23"/>
        <v>0</v>
      </c>
      <c r="V357" s="26">
        <v>0</v>
      </c>
      <c r="W357" s="26">
        <v>0</v>
      </c>
      <c r="X357" s="2" t="str">
        <f>SUBSTITUTE(SUBSTITUTE(SUBSTITUTE(SUBSTITUTE(SUBSTITUTE(SUBSTITUTE(SUBSTITUTE(SUBSTITUTE(SUBSTITUTE(SUBSTITUTE(SUBSTITUTE(SUBSTITUTE(SUBSTITUTE(경동전체1!D357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8" spans="1:24" ht="20.25" customHeight="1" x14ac:dyDescent="0.3">
      <c r="A358" s="2">
        <f>경동전체1!A358</f>
        <v>0</v>
      </c>
      <c r="B358" s="13" t="str">
        <f>SUBSTITUTE(SUBSTITUTE(SUBSTITUTE(SUBSTITUTE(SUBSTITUTE(SUBSTITUTE(SUBSTITUTE(SUBSTITUTE(SUBSTITUTE(SUBSTITUTE(SUBSTITUTE(SUBSTITUTE(SUBSTITUTE(경동전체1!K358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8" s="30">
        <f>경동전체1!E358</f>
        <v>0</v>
      </c>
      <c r="D358" s="23"/>
      <c r="E358" s="23"/>
      <c r="F358" s="4">
        <f>경동전체1!J358</f>
        <v>0</v>
      </c>
      <c r="G358" s="23"/>
      <c r="H358" s="2">
        <f>경동전체1!H358</f>
        <v>0</v>
      </c>
      <c r="I358" s="2" t="str">
        <f>경동전체1!I358&amp;""</f>
        <v/>
      </c>
      <c r="J358" s="2" t="s">
        <v>36</v>
      </c>
      <c r="K358" s="2" t="str">
        <f>IF(LEFT(경동전체1!G358,1)="","따사룸",경동전체1!G358)</f>
        <v>따사룸</v>
      </c>
      <c r="L358" s="4" t="str">
        <f t="shared" si="20"/>
        <v>1</v>
      </c>
      <c r="M358" s="1" t="str">
        <f>IF(LEFT(경동전체1!D358,1)="2","비닐",IF(LEFT(경동전체1!O358,1)="박","박스","비닐"))</f>
        <v>비닐</v>
      </c>
      <c r="N358" s="25">
        <v>1</v>
      </c>
      <c r="O358" s="25">
        <v>1</v>
      </c>
      <c r="P358" s="25">
        <v>1</v>
      </c>
      <c r="Q358" s="25">
        <v>1</v>
      </c>
      <c r="R358" s="1" t="str">
        <f t="shared" si="21"/>
        <v>50</v>
      </c>
      <c r="S358" s="1">
        <f>경동전체1!B358</f>
        <v>0</v>
      </c>
      <c r="T358" s="1" t="str">
        <f t="shared" si="22"/>
        <v>100</v>
      </c>
      <c r="U358" s="5" t="str">
        <f t="shared" si="23"/>
        <v>0</v>
      </c>
      <c r="V358" s="26">
        <v>0</v>
      </c>
      <c r="W358" s="26">
        <v>0</v>
      </c>
      <c r="X358" s="2" t="str">
        <f>SUBSTITUTE(SUBSTITUTE(SUBSTITUTE(SUBSTITUTE(SUBSTITUTE(SUBSTITUTE(SUBSTITUTE(SUBSTITUTE(SUBSTITUTE(SUBSTITUTE(SUBSTITUTE(SUBSTITUTE(SUBSTITUTE(경동전체1!D358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9" spans="1:24" ht="20.25" customHeight="1" x14ac:dyDescent="0.3">
      <c r="A359" s="2">
        <f>경동전체1!A359</f>
        <v>0</v>
      </c>
      <c r="B359" s="13" t="str">
        <f>SUBSTITUTE(SUBSTITUTE(SUBSTITUTE(SUBSTITUTE(SUBSTITUTE(SUBSTITUTE(SUBSTITUTE(SUBSTITUTE(SUBSTITUTE(SUBSTITUTE(SUBSTITUTE(SUBSTITUTE(SUBSTITUTE(경동전체1!K359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9" s="30">
        <f>경동전체1!E359</f>
        <v>0</v>
      </c>
      <c r="D359" s="23"/>
      <c r="E359" s="23"/>
      <c r="F359" s="4">
        <f>경동전체1!J359</f>
        <v>0</v>
      </c>
      <c r="G359" s="23"/>
      <c r="H359" s="2">
        <f>경동전체1!H359</f>
        <v>0</v>
      </c>
      <c r="I359" s="2" t="str">
        <f>경동전체1!I359&amp;""</f>
        <v/>
      </c>
      <c r="J359" s="2" t="s">
        <v>36</v>
      </c>
      <c r="K359" s="2" t="str">
        <f>IF(LEFT(경동전체1!G359,1)="","따사룸",경동전체1!G359)</f>
        <v>따사룸</v>
      </c>
      <c r="L359" s="4" t="str">
        <f t="shared" si="20"/>
        <v>1</v>
      </c>
      <c r="M359" s="1" t="str">
        <f>IF(LEFT(경동전체1!D359,1)="2","비닐",IF(LEFT(경동전체1!O359,1)="박","박스","비닐"))</f>
        <v>비닐</v>
      </c>
      <c r="N359" s="25">
        <v>1</v>
      </c>
      <c r="O359" s="25">
        <v>1</v>
      </c>
      <c r="P359" s="25">
        <v>1</v>
      </c>
      <c r="Q359" s="25">
        <v>1</v>
      </c>
      <c r="R359" s="1" t="str">
        <f t="shared" si="21"/>
        <v>50</v>
      </c>
      <c r="S359" s="1">
        <f>경동전체1!B359</f>
        <v>0</v>
      </c>
      <c r="T359" s="1" t="str">
        <f t="shared" si="22"/>
        <v>100</v>
      </c>
      <c r="U359" s="5" t="str">
        <f t="shared" si="23"/>
        <v>0</v>
      </c>
      <c r="V359" s="26">
        <v>0</v>
      </c>
      <c r="W359" s="26">
        <v>0</v>
      </c>
      <c r="X359" s="2" t="str">
        <f>SUBSTITUTE(SUBSTITUTE(SUBSTITUTE(SUBSTITUTE(SUBSTITUTE(SUBSTITUTE(SUBSTITUTE(SUBSTITUTE(SUBSTITUTE(SUBSTITUTE(SUBSTITUTE(SUBSTITUTE(SUBSTITUTE(경동전체1!D359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0" spans="1:24" ht="20.25" customHeight="1" x14ac:dyDescent="0.3">
      <c r="A360" s="2">
        <f>경동전체1!A360</f>
        <v>0</v>
      </c>
      <c r="B360" s="13" t="str">
        <f>SUBSTITUTE(SUBSTITUTE(SUBSTITUTE(SUBSTITUTE(SUBSTITUTE(SUBSTITUTE(SUBSTITUTE(SUBSTITUTE(SUBSTITUTE(SUBSTITUTE(SUBSTITUTE(SUBSTITUTE(SUBSTITUTE(경동전체1!K360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0" s="30">
        <f>경동전체1!E360</f>
        <v>0</v>
      </c>
      <c r="D360" s="23"/>
      <c r="E360" s="23"/>
      <c r="F360" s="4">
        <f>경동전체1!J360</f>
        <v>0</v>
      </c>
      <c r="G360" s="23"/>
      <c r="H360" s="2">
        <f>경동전체1!H360</f>
        <v>0</v>
      </c>
      <c r="I360" s="2" t="str">
        <f>경동전체1!I360&amp;""</f>
        <v/>
      </c>
      <c r="J360" s="2" t="s">
        <v>36</v>
      </c>
      <c r="K360" s="2" t="str">
        <f>IF(LEFT(경동전체1!G360,1)="","따사룸",경동전체1!G360)</f>
        <v>따사룸</v>
      </c>
      <c r="L360" s="4" t="str">
        <f t="shared" si="20"/>
        <v>1</v>
      </c>
      <c r="M360" s="1" t="str">
        <f>IF(LEFT(경동전체1!D360,1)="2","비닐",IF(LEFT(경동전체1!O360,1)="박","박스","비닐"))</f>
        <v>비닐</v>
      </c>
      <c r="N360" s="25">
        <v>1</v>
      </c>
      <c r="O360" s="25">
        <v>1</v>
      </c>
      <c r="P360" s="25">
        <v>1</v>
      </c>
      <c r="Q360" s="25">
        <v>1</v>
      </c>
      <c r="R360" s="1" t="str">
        <f t="shared" si="21"/>
        <v>50</v>
      </c>
      <c r="S360" s="1">
        <f>경동전체1!B360</f>
        <v>0</v>
      </c>
      <c r="T360" s="1" t="str">
        <f t="shared" si="22"/>
        <v>100</v>
      </c>
      <c r="U360" s="5" t="str">
        <f t="shared" si="23"/>
        <v>0</v>
      </c>
      <c r="V360" s="26">
        <v>0</v>
      </c>
      <c r="W360" s="26">
        <v>0</v>
      </c>
      <c r="X360" s="2" t="str">
        <f>SUBSTITUTE(SUBSTITUTE(SUBSTITUTE(SUBSTITUTE(SUBSTITUTE(SUBSTITUTE(SUBSTITUTE(SUBSTITUTE(SUBSTITUTE(SUBSTITUTE(SUBSTITUTE(SUBSTITUTE(SUBSTITUTE(경동전체1!D360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1" spans="1:24" ht="20.25" customHeight="1" x14ac:dyDescent="0.3">
      <c r="A361" s="2">
        <f>경동전체1!A361</f>
        <v>0</v>
      </c>
      <c r="B361" s="13" t="str">
        <f>SUBSTITUTE(SUBSTITUTE(SUBSTITUTE(SUBSTITUTE(SUBSTITUTE(SUBSTITUTE(SUBSTITUTE(SUBSTITUTE(SUBSTITUTE(SUBSTITUTE(SUBSTITUTE(SUBSTITUTE(SUBSTITUTE(경동전체1!K361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1" s="30">
        <f>경동전체1!E361</f>
        <v>0</v>
      </c>
      <c r="D361" s="23"/>
      <c r="E361" s="23"/>
      <c r="F361" s="4">
        <f>경동전체1!J361</f>
        <v>0</v>
      </c>
      <c r="G361" s="23"/>
      <c r="H361" s="2">
        <f>경동전체1!H361</f>
        <v>0</v>
      </c>
      <c r="I361" s="2" t="str">
        <f>경동전체1!I361&amp;""</f>
        <v/>
      </c>
      <c r="J361" s="2" t="s">
        <v>36</v>
      </c>
      <c r="K361" s="2" t="str">
        <f>IF(LEFT(경동전체1!G361,1)="","따사룸",경동전체1!G361)</f>
        <v>따사룸</v>
      </c>
      <c r="L361" s="4" t="str">
        <f t="shared" si="20"/>
        <v>1</v>
      </c>
      <c r="M361" s="1" t="str">
        <f>IF(LEFT(경동전체1!D361,1)="2","비닐",IF(LEFT(경동전체1!O361,1)="박","박스","비닐"))</f>
        <v>비닐</v>
      </c>
      <c r="N361" s="25">
        <v>1</v>
      </c>
      <c r="O361" s="25">
        <v>1</v>
      </c>
      <c r="P361" s="25">
        <v>1</v>
      </c>
      <c r="Q361" s="25">
        <v>1</v>
      </c>
      <c r="R361" s="1" t="str">
        <f t="shared" si="21"/>
        <v>50</v>
      </c>
      <c r="S361" s="1">
        <f>경동전체1!B361</f>
        <v>0</v>
      </c>
      <c r="T361" s="1" t="str">
        <f t="shared" si="22"/>
        <v>100</v>
      </c>
      <c r="U361" s="5" t="str">
        <f t="shared" si="23"/>
        <v>0</v>
      </c>
      <c r="V361" s="26">
        <v>0</v>
      </c>
      <c r="W361" s="26">
        <v>0</v>
      </c>
      <c r="X361" s="2" t="str">
        <f>SUBSTITUTE(SUBSTITUTE(SUBSTITUTE(SUBSTITUTE(SUBSTITUTE(SUBSTITUTE(SUBSTITUTE(SUBSTITUTE(SUBSTITUTE(SUBSTITUTE(SUBSTITUTE(SUBSTITUTE(SUBSTITUTE(경동전체1!D361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2" spans="1:24" ht="20.25" customHeight="1" x14ac:dyDescent="0.3">
      <c r="A362" s="2">
        <f>경동전체1!A362</f>
        <v>0</v>
      </c>
      <c r="B362" s="13" t="str">
        <f>SUBSTITUTE(SUBSTITUTE(SUBSTITUTE(SUBSTITUTE(SUBSTITUTE(SUBSTITUTE(SUBSTITUTE(SUBSTITUTE(SUBSTITUTE(SUBSTITUTE(SUBSTITUTE(SUBSTITUTE(SUBSTITUTE(경동전체1!K362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2" s="30">
        <f>경동전체1!E362</f>
        <v>0</v>
      </c>
      <c r="D362" s="23"/>
      <c r="E362" s="23"/>
      <c r="F362" s="4">
        <f>경동전체1!J362</f>
        <v>0</v>
      </c>
      <c r="G362" s="23"/>
      <c r="H362" s="2">
        <f>경동전체1!H362</f>
        <v>0</v>
      </c>
      <c r="I362" s="2" t="str">
        <f>경동전체1!I362&amp;""</f>
        <v/>
      </c>
      <c r="J362" s="2" t="s">
        <v>36</v>
      </c>
      <c r="K362" s="2" t="str">
        <f>IF(LEFT(경동전체1!G362,1)="","따사룸",경동전체1!G362)</f>
        <v>따사룸</v>
      </c>
      <c r="L362" s="4" t="str">
        <f t="shared" si="20"/>
        <v>1</v>
      </c>
      <c r="M362" s="1" t="str">
        <f>IF(LEFT(경동전체1!D362,1)="2","비닐",IF(LEFT(경동전체1!O362,1)="박","박스","비닐"))</f>
        <v>비닐</v>
      </c>
      <c r="N362" s="25">
        <v>1</v>
      </c>
      <c r="O362" s="25">
        <v>1</v>
      </c>
      <c r="P362" s="25">
        <v>1</v>
      </c>
      <c r="Q362" s="25">
        <v>1</v>
      </c>
      <c r="R362" s="1" t="str">
        <f t="shared" si="21"/>
        <v>50</v>
      </c>
      <c r="S362" s="1">
        <f>경동전체1!B362</f>
        <v>0</v>
      </c>
      <c r="T362" s="1" t="str">
        <f t="shared" si="22"/>
        <v>100</v>
      </c>
      <c r="U362" s="5" t="str">
        <f t="shared" si="23"/>
        <v>0</v>
      </c>
      <c r="V362" s="26">
        <v>0</v>
      </c>
      <c r="W362" s="26">
        <v>0</v>
      </c>
      <c r="X362" s="2" t="str">
        <f>SUBSTITUTE(SUBSTITUTE(SUBSTITUTE(SUBSTITUTE(SUBSTITUTE(SUBSTITUTE(SUBSTITUTE(SUBSTITUTE(SUBSTITUTE(SUBSTITUTE(SUBSTITUTE(SUBSTITUTE(SUBSTITUTE(경동전체1!D362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3" spans="1:24" ht="20.25" customHeight="1" x14ac:dyDescent="0.3">
      <c r="A363" s="2">
        <f>경동전체1!A363</f>
        <v>0</v>
      </c>
      <c r="B363" s="13" t="str">
        <f>SUBSTITUTE(SUBSTITUTE(SUBSTITUTE(SUBSTITUTE(SUBSTITUTE(SUBSTITUTE(SUBSTITUTE(SUBSTITUTE(SUBSTITUTE(SUBSTITUTE(SUBSTITUTE(SUBSTITUTE(SUBSTITUTE(경동전체1!K363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3" s="30">
        <f>경동전체1!E363</f>
        <v>0</v>
      </c>
      <c r="D363" s="23"/>
      <c r="E363" s="23"/>
      <c r="F363" s="4">
        <f>경동전체1!J363</f>
        <v>0</v>
      </c>
      <c r="G363" s="23"/>
      <c r="H363" s="2">
        <f>경동전체1!H363</f>
        <v>0</v>
      </c>
      <c r="I363" s="2" t="str">
        <f>경동전체1!I363&amp;""</f>
        <v/>
      </c>
      <c r="J363" s="2" t="s">
        <v>36</v>
      </c>
      <c r="K363" s="2" t="str">
        <f>IF(LEFT(경동전체1!G363,1)="","따사룸",경동전체1!G363)</f>
        <v>따사룸</v>
      </c>
      <c r="L363" s="4" t="str">
        <f t="shared" si="20"/>
        <v>1</v>
      </c>
      <c r="M363" s="1" t="str">
        <f>IF(LEFT(경동전체1!D363,1)="2","비닐",IF(LEFT(경동전체1!O363,1)="박","박스","비닐"))</f>
        <v>비닐</v>
      </c>
      <c r="N363" s="25">
        <v>1</v>
      </c>
      <c r="O363" s="25">
        <v>1</v>
      </c>
      <c r="P363" s="25">
        <v>1</v>
      </c>
      <c r="Q363" s="25">
        <v>1</v>
      </c>
      <c r="R363" s="1" t="str">
        <f t="shared" si="21"/>
        <v>50</v>
      </c>
      <c r="S363" s="1">
        <f>경동전체1!B363</f>
        <v>0</v>
      </c>
      <c r="T363" s="1" t="str">
        <f t="shared" si="22"/>
        <v>100</v>
      </c>
      <c r="U363" s="5" t="str">
        <f t="shared" si="23"/>
        <v>0</v>
      </c>
      <c r="V363" s="26">
        <v>0</v>
      </c>
      <c r="W363" s="26">
        <v>0</v>
      </c>
      <c r="X363" s="2" t="str">
        <f>SUBSTITUTE(SUBSTITUTE(SUBSTITUTE(SUBSTITUTE(SUBSTITUTE(SUBSTITUTE(SUBSTITUTE(SUBSTITUTE(SUBSTITUTE(SUBSTITUTE(SUBSTITUTE(SUBSTITUTE(SUBSTITUTE(경동전체1!D363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4" spans="1:24" ht="20.25" customHeight="1" x14ac:dyDescent="0.3">
      <c r="A364" s="2">
        <f>경동전체1!A364</f>
        <v>0</v>
      </c>
      <c r="B364" s="13" t="str">
        <f>SUBSTITUTE(SUBSTITUTE(SUBSTITUTE(SUBSTITUTE(SUBSTITUTE(SUBSTITUTE(SUBSTITUTE(SUBSTITUTE(SUBSTITUTE(SUBSTITUTE(SUBSTITUTE(SUBSTITUTE(SUBSTITUTE(경동전체1!K364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4" s="30">
        <f>경동전체1!E364</f>
        <v>0</v>
      </c>
      <c r="D364" s="23"/>
      <c r="E364" s="23"/>
      <c r="F364" s="4">
        <f>경동전체1!J364</f>
        <v>0</v>
      </c>
      <c r="G364" s="23"/>
      <c r="H364" s="2">
        <f>경동전체1!H364</f>
        <v>0</v>
      </c>
      <c r="I364" s="2" t="str">
        <f>경동전체1!I364&amp;""</f>
        <v/>
      </c>
      <c r="J364" s="2" t="s">
        <v>36</v>
      </c>
      <c r="K364" s="2" t="str">
        <f>IF(LEFT(경동전체1!G364,1)="","따사룸",경동전체1!G364)</f>
        <v>따사룸</v>
      </c>
      <c r="L364" s="4" t="str">
        <f t="shared" si="20"/>
        <v>1</v>
      </c>
      <c r="M364" s="1" t="str">
        <f>IF(LEFT(경동전체1!D364,1)="2","비닐",IF(LEFT(경동전체1!O364,1)="박","박스","비닐"))</f>
        <v>비닐</v>
      </c>
      <c r="N364" s="25">
        <v>1</v>
      </c>
      <c r="O364" s="25">
        <v>1</v>
      </c>
      <c r="P364" s="25">
        <v>1</v>
      </c>
      <c r="Q364" s="25">
        <v>1</v>
      </c>
      <c r="R364" s="1" t="str">
        <f t="shared" si="21"/>
        <v>50</v>
      </c>
      <c r="S364" s="1">
        <f>경동전체1!B364</f>
        <v>0</v>
      </c>
      <c r="T364" s="1" t="str">
        <f t="shared" si="22"/>
        <v>100</v>
      </c>
      <c r="U364" s="5" t="str">
        <f t="shared" si="23"/>
        <v>0</v>
      </c>
      <c r="V364" s="26">
        <v>0</v>
      </c>
      <c r="W364" s="26">
        <v>0</v>
      </c>
      <c r="X364" s="2" t="str">
        <f>SUBSTITUTE(SUBSTITUTE(SUBSTITUTE(SUBSTITUTE(SUBSTITUTE(SUBSTITUTE(SUBSTITUTE(SUBSTITUTE(SUBSTITUTE(SUBSTITUTE(SUBSTITUTE(SUBSTITUTE(SUBSTITUTE(경동전체1!D364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5" spans="1:24" ht="20.25" customHeight="1" x14ac:dyDescent="0.3">
      <c r="A365" s="2">
        <f>경동전체1!A365</f>
        <v>0</v>
      </c>
      <c r="B365" s="13" t="str">
        <f>SUBSTITUTE(SUBSTITUTE(SUBSTITUTE(SUBSTITUTE(SUBSTITUTE(SUBSTITUTE(SUBSTITUTE(SUBSTITUTE(SUBSTITUTE(SUBSTITUTE(SUBSTITUTE(SUBSTITUTE(SUBSTITUTE(경동전체1!K365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5" s="30">
        <f>경동전체1!E365</f>
        <v>0</v>
      </c>
      <c r="D365" s="23"/>
      <c r="E365" s="23"/>
      <c r="F365" s="4">
        <f>경동전체1!J365</f>
        <v>0</v>
      </c>
      <c r="G365" s="23"/>
      <c r="H365" s="2">
        <f>경동전체1!H365</f>
        <v>0</v>
      </c>
      <c r="I365" s="2" t="str">
        <f>경동전체1!I365&amp;""</f>
        <v/>
      </c>
      <c r="J365" s="2" t="s">
        <v>36</v>
      </c>
      <c r="K365" s="2" t="str">
        <f>IF(LEFT(경동전체1!G365,1)="","따사룸",경동전체1!G365)</f>
        <v>따사룸</v>
      </c>
      <c r="L365" s="4" t="str">
        <f t="shared" si="20"/>
        <v>1</v>
      </c>
      <c r="M365" s="1" t="str">
        <f>IF(LEFT(경동전체1!D365,1)="2","비닐",IF(LEFT(경동전체1!O365,1)="박","박스","비닐"))</f>
        <v>비닐</v>
      </c>
      <c r="N365" s="25">
        <v>1</v>
      </c>
      <c r="O365" s="25">
        <v>1</v>
      </c>
      <c r="P365" s="25">
        <v>1</v>
      </c>
      <c r="Q365" s="25">
        <v>1</v>
      </c>
      <c r="R365" s="1" t="str">
        <f t="shared" si="21"/>
        <v>50</v>
      </c>
      <c r="S365" s="1">
        <f>경동전체1!B365</f>
        <v>0</v>
      </c>
      <c r="T365" s="1" t="str">
        <f t="shared" si="22"/>
        <v>100</v>
      </c>
      <c r="U365" s="5" t="str">
        <f t="shared" si="23"/>
        <v>0</v>
      </c>
      <c r="V365" s="26">
        <v>0</v>
      </c>
      <c r="W365" s="26">
        <v>0</v>
      </c>
      <c r="X365" s="2" t="str">
        <f>SUBSTITUTE(SUBSTITUTE(SUBSTITUTE(SUBSTITUTE(SUBSTITUTE(SUBSTITUTE(SUBSTITUTE(SUBSTITUTE(SUBSTITUTE(SUBSTITUTE(SUBSTITUTE(SUBSTITUTE(SUBSTITUTE(경동전체1!D365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6" spans="1:24" ht="20.25" customHeight="1" x14ac:dyDescent="0.3">
      <c r="A366" s="2">
        <f>경동전체1!A366</f>
        <v>0</v>
      </c>
      <c r="B366" s="13" t="str">
        <f>SUBSTITUTE(SUBSTITUTE(SUBSTITUTE(SUBSTITUTE(SUBSTITUTE(SUBSTITUTE(SUBSTITUTE(SUBSTITUTE(SUBSTITUTE(SUBSTITUTE(SUBSTITUTE(SUBSTITUTE(SUBSTITUTE(경동전체1!K366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6" s="30">
        <f>경동전체1!E366</f>
        <v>0</v>
      </c>
      <c r="D366" s="23"/>
      <c r="E366" s="23"/>
      <c r="F366" s="4">
        <f>경동전체1!J366</f>
        <v>0</v>
      </c>
      <c r="G366" s="23"/>
      <c r="H366" s="2">
        <f>경동전체1!H366</f>
        <v>0</v>
      </c>
      <c r="I366" s="2" t="str">
        <f>경동전체1!I366&amp;""</f>
        <v/>
      </c>
      <c r="J366" s="2" t="s">
        <v>36</v>
      </c>
      <c r="K366" s="2" t="str">
        <f>IF(LEFT(경동전체1!G366,1)="","따사룸",경동전체1!G366)</f>
        <v>따사룸</v>
      </c>
      <c r="L366" s="4" t="str">
        <f t="shared" si="20"/>
        <v>1</v>
      </c>
      <c r="M366" s="1" t="str">
        <f>IF(LEFT(경동전체1!D366,1)="2","비닐",IF(LEFT(경동전체1!O366,1)="박","박스","비닐"))</f>
        <v>비닐</v>
      </c>
      <c r="N366" s="25">
        <v>1</v>
      </c>
      <c r="O366" s="25">
        <v>1</v>
      </c>
      <c r="P366" s="25">
        <v>1</v>
      </c>
      <c r="Q366" s="25">
        <v>1</v>
      </c>
      <c r="R366" s="1" t="str">
        <f t="shared" si="21"/>
        <v>50</v>
      </c>
      <c r="S366" s="1">
        <f>경동전체1!B366</f>
        <v>0</v>
      </c>
      <c r="T366" s="1" t="str">
        <f t="shared" si="22"/>
        <v>100</v>
      </c>
      <c r="U366" s="5" t="str">
        <f t="shared" si="23"/>
        <v>0</v>
      </c>
      <c r="V366" s="26">
        <v>0</v>
      </c>
      <c r="W366" s="26">
        <v>0</v>
      </c>
      <c r="X366" s="2" t="str">
        <f>SUBSTITUTE(SUBSTITUTE(SUBSTITUTE(SUBSTITUTE(SUBSTITUTE(SUBSTITUTE(SUBSTITUTE(SUBSTITUTE(SUBSTITUTE(SUBSTITUTE(SUBSTITUTE(SUBSTITUTE(SUBSTITUTE(경동전체1!D366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7" spans="1:24" ht="20.25" customHeight="1" x14ac:dyDescent="0.3">
      <c r="A367" s="2">
        <f>경동전체1!A367</f>
        <v>0</v>
      </c>
      <c r="B367" s="13" t="str">
        <f>SUBSTITUTE(SUBSTITUTE(SUBSTITUTE(SUBSTITUTE(SUBSTITUTE(SUBSTITUTE(SUBSTITUTE(SUBSTITUTE(SUBSTITUTE(SUBSTITUTE(SUBSTITUTE(SUBSTITUTE(SUBSTITUTE(경동전체1!K367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7" s="30">
        <f>경동전체1!E367</f>
        <v>0</v>
      </c>
      <c r="D367" s="23"/>
      <c r="E367" s="23"/>
      <c r="F367" s="4">
        <f>경동전체1!J367</f>
        <v>0</v>
      </c>
      <c r="G367" s="23"/>
      <c r="H367" s="2">
        <f>경동전체1!H367</f>
        <v>0</v>
      </c>
      <c r="I367" s="2" t="str">
        <f>경동전체1!I367&amp;""</f>
        <v/>
      </c>
      <c r="J367" s="2" t="s">
        <v>36</v>
      </c>
      <c r="K367" s="2" t="str">
        <f>IF(LEFT(경동전체1!G367,1)="","따사룸",경동전체1!G367)</f>
        <v>따사룸</v>
      </c>
      <c r="L367" s="4" t="str">
        <f t="shared" si="20"/>
        <v>1</v>
      </c>
      <c r="M367" s="1" t="str">
        <f>IF(LEFT(경동전체1!D367,1)="2","비닐",IF(LEFT(경동전체1!O367,1)="박","박스","비닐"))</f>
        <v>비닐</v>
      </c>
      <c r="N367" s="25">
        <v>1</v>
      </c>
      <c r="O367" s="25">
        <v>1</v>
      </c>
      <c r="P367" s="25">
        <v>1</v>
      </c>
      <c r="Q367" s="25">
        <v>1</v>
      </c>
      <c r="R367" s="1" t="str">
        <f t="shared" si="21"/>
        <v>50</v>
      </c>
      <c r="S367" s="1">
        <f>경동전체1!B367</f>
        <v>0</v>
      </c>
      <c r="T367" s="1" t="str">
        <f t="shared" si="22"/>
        <v>100</v>
      </c>
      <c r="U367" s="5" t="str">
        <f t="shared" si="23"/>
        <v>0</v>
      </c>
      <c r="V367" s="26">
        <v>0</v>
      </c>
      <c r="W367" s="26">
        <v>0</v>
      </c>
      <c r="X367" s="2" t="str">
        <f>SUBSTITUTE(SUBSTITUTE(SUBSTITUTE(SUBSTITUTE(SUBSTITUTE(SUBSTITUTE(SUBSTITUTE(SUBSTITUTE(SUBSTITUTE(SUBSTITUTE(SUBSTITUTE(SUBSTITUTE(SUBSTITUTE(경동전체1!D367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8" spans="1:24" ht="20.25" customHeight="1" x14ac:dyDescent="0.3">
      <c r="A368" s="2">
        <f>경동전체1!A368</f>
        <v>0</v>
      </c>
      <c r="B368" s="13" t="str">
        <f>SUBSTITUTE(SUBSTITUTE(SUBSTITUTE(SUBSTITUTE(SUBSTITUTE(SUBSTITUTE(SUBSTITUTE(SUBSTITUTE(SUBSTITUTE(SUBSTITUTE(SUBSTITUTE(SUBSTITUTE(SUBSTITUTE(경동전체1!K368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8" s="30">
        <f>경동전체1!E368</f>
        <v>0</v>
      </c>
      <c r="D368" s="23"/>
      <c r="E368" s="23"/>
      <c r="F368" s="4">
        <f>경동전체1!J368</f>
        <v>0</v>
      </c>
      <c r="G368" s="23"/>
      <c r="H368" s="2">
        <f>경동전체1!H368</f>
        <v>0</v>
      </c>
      <c r="I368" s="2" t="str">
        <f>경동전체1!I368&amp;""</f>
        <v/>
      </c>
      <c r="J368" s="2" t="s">
        <v>36</v>
      </c>
      <c r="K368" s="2" t="str">
        <f>IF(LEFT(경동전체1!G368,1)="","따사룸",경동전체1!G368)</f>
        <v>따사룸</v>
      </c>
      <c r="L368" s="4" t="str">
        <f t="shared" si="20"/>
        <v>1</v>
      </c>
      <c r="M368" s="1" t="str">
        <f>IF(LEFT(경동전체1!D368,1)="2","비닐",IF(LEFT(경동전체1!O368,1)="박","박스","비닐"))</f>
        <v>비닐</v>
      </c>
      <c r="N368" s="25">
        <v>1</v>
      </c>
      <c r="O368" s="25">
        <v>1</v>
      </c>
      <c r="P368" s="25">
        <v>1</v>
      </c>
      <c r="Q368" s="25">
        <v>1</v>
      </c>
      <c r="R368" s="1" t="str">
        <f t="shared" si="21"/>
        <v>50</v>
      </c>
      <c r="S368" s="1">
        <f>경동전체1!B368</f>
        <v>0</v>
      </c>
      <c r="T368" s="1" t="str">
        <f t="shared" si="22"/>
        <v>100</v>
      </c>
      <c r="U368" s="5" t="str">
        <f t="shared" si="23"/>
        <v>0</v>
      </c>
      <c r="V368" s="26">
        <v>0</v>
      </c>
      <c r="W368" s="26">
        <v>0</v>
      </c>
      <c r="X368" s="2" t="str">
        <f>SUBSTITUTE(SUBSTITUTE(SUBSTITUTE(SUBSTITUTE(SUBSTITUTE(SUBSTITUTE(SUBSTITUTE(SUBSTITUTE(SUBSTITUTE(SUBSTITUTE(SUBSTITUTE(SUBSTITUTE(SUBSTITUTE(경동전체1!D368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9" spans="1:24" ht="20.25" customHeight="1" x14ac:dyDescent="0.3">
      <c r="A369" s="2">
        <f>경동전체1!A369</f>
        <v>0</v>
      </c>
      <c r="B369" s="13" t="str">
        <f>SUBSTITUTE(SUBSTITUTE(SUBSTITUTE(SUBSTITUTE(SUBSTITUTE(SUBSTITUTE(SUBSTITUTE(SUBSTITUTE(SUBSTITUTE(SUBSTITUTE(SUBSTITUTE(SUBSTITUTE(SUBSTITUTE(경동전체1!K369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9" s="30">
        <f>경동전체1!E369</f>
        <v>0</v>
      </c>
      <c r="D369" s="23"/>
      <c r="E369" s="23"/>
      <c r="F369" s="4">
        <f>경동전체1!J369</f>
        <v>0</v>
      </c>
      <c r="G369" s="23"/>
      <c r="H369" s="2">
        <f>경동전체1!H369</f>
        <v>0</v>
      </c>
      <c r="I369" s="2" t="str">
        <f>경동전체1!I369&amp;""</f>
        <v/>
      </c>
      <c r="J369" s="2" t="s">
        <v>36</v>
      </c>
      <c r="K369" s="2" t="str">
        <f>IF(LEFT(경동전체1!G369,1)="","따사룸",경동전체1!G369)</f>
        <v>따사룸</v>
      </c>
      <c r="L369" s="4" t="str">
        <f t="shared" si="20"/>
        <v>1</v>
      </c>
      <c r="M369" s="1" t="str">
        <f>IF(LEFT(경동전체1!D369,1)="2","비닐",IF(LEFT(경동전체1!O369,1)="박","박스","비닐"))</f>
        <v>비닐</v>
      </c>
      <c r="N369" s="25">
        <v>1</v>
      </c>
      <c r="O369" s="25">
        <v>1</v>
      </c>
      <c r="P369" s="25">
        <v>1</v>
      </c>
      <c r="Q369" s="25">
        <v>1</v>
      </c>
      <c r="R369" s="1" t="str">
        <f t="shared" si="21"/>
        <v>50</v>
      </c>
      <c r="S369" s="1">
        <f>경동전체1!B369</f>
        <v>0</v>
      </c>
      <c r="T369" s="1" t="str">
        <f t="shared" si="22"/>
        <v>100</v>
      </c>
      <c r="U369" s="5" t="str">
        <f t="shared" si="23"/>
        <v>0</v>
      </c>
      <c r="V369" s="26">
        <v>0</v>
      </c>
      <c r="W369" s="26">
        <v>0</v>
      </c>
      <c r="X369" s="2" t="str">
        <f>SUBSTITUTE(SUBSTITUTE(SUBSTITUTE(SUBSTITUTE(SUBSTITUTE(SUBSTITUTE(SUBSTITUTE(SUBSTITUTE(SUBSTITUTE(SUBSTITUTE(SUBSTITUTE(SUBSTITUTE(SUBSTITUTE(경동전체1!D369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0" spans="1:24" ht="20.25" customHeight="1" x14ac:dyDescent="0.3">
      <c r="A370" s="2">
        <f>경동전체1!A370</f>
        <v>0</v>
      </c>
      <c r="B370" s="13" t="str">
        <f>SUBSTITUTE(SUBSTITUTE(SUBSTITUTE(SUBSTITUTE(SUBSTITUTE(SUBSTITUTE(SUBSTITUTE(SUBSTITUTE(SUBSTITUTE(SUBSTITUTE(SUBSTITUTE(SUBSTITUTE(SUBSTITUTE(경동전체1!K370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0" s="30">
        <f>경동전체1!E370</f>
        <v>0</v>
      </c>
      <c r="D370" s="23"/>
      <c r="E370" s="23"/>
      <c r="F370" s="4">
        <f>경동전체1!J370</f>
        <v>0</v>
      </c>
      <c r="G370" s="23"/>
      <c r="H370" s="2">
        <f>경동전체1!H370</f>
        <v>0</v>
      </c>
      <c r="I370" s="2" t="str">
        <f>경동전체1!I370&amp;""</f>
        <v/>
      </c>
      <c r="J370" s="2" t="s">
        <v>36</v>
      </c>
      <c r="K370" s="2" t="str">
        <f>IF(LEFT(경동전체1!G370,1)="","따사룸",경동전체1!G370)</f>
        <v>따사룸</v>
      </c>
      <c r="L370" s="4" t="str">
        <f t="shared" si="20"/>
        <v>1</v>
      </c>
      <c r="M370" s="1" t="str">
        <f>IF(LEFT(경동전체1!D370,1)="2","비닐",IF(LEFT(경동전체1!O370,1)="박","박스","비닐"))</f>
        <v>비닐</v>
      </c>
      <c r="N370" s="25">
        <v>1</v>
      </c>
      <c r="O370" s="25">
        <v>1</v>
      </c>
      <c r="P370" s="25">
        <v>1</v>
      </c>
      <c r="Q370" s="25">
        <v>1</v>
      </c>
      <c r="R370" s="1" t="str">
        <f t="shared" si="21"/>
        <v>50</v>
      </c>
      <c r="S370" s="1">
        <f>경동전체1!B370</f>
        <v>0</v>
      </c>
      <c r="T370" s="1" t="str">
        <f t="shared" si="22"/>
        <v>100</v>
      </c>
      <c r="U370" s="5" t="str">
        <f t="shared" si="23"/>
        <v>0</v>
      </c>
      <c r="V370" s="26">
        <v>0</v>
      </c>
      <c r="W370" s="26">
        <v>0</v>
      </c>
      <c r="X370" s="2" t="str">
        <f>SUBSTITUTE(SUBSTITUTE(SUBSTITUTE(SUBSTITUTE(SUBSTITUTE(SUBSTITUTE(SUBSTITUTE(SUBSTITUTE(SUBSTITUTE(SUBSTITUTE(SUBSTITUTE(SUBSTITUTE(SUBSTITUTE(경동전체1!D370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1" spans="1:24" ht="20.25" customHeight="1" x14ac:dyDescent="0.3">
      <c r="A371" s="2">
        <f>경동전체1!A371</f>
        <v>0</v>
      </c>
      <c r="B371" s="13" t="str">
        <f>SUBSTITUTE(SUBSTITUTE(SUBSTITUTE(SUBSTITUTE(SUBSTITUTE(SUBSTITUTE(SUBSTITUTE(SUBSTITUTE(SUBSTITUTE(SUBSTITUTE(SUBSTITUTE(SUBSTITUTE(SUBSTITUTE(경동전체1!K371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1" s="30">
        <f>경동전체1!E371</f>
        <v>0</v>
      </c>
      <c r="D371" s="23"/>
      <c r="E371" s="23"/>
      <c r="F371" s="4">
        <f>경동전체1!J371</f>
        <v>0</v>
      </c>
      <c r="G371" s="23"/>
      <c r="H371" s="2">
        <f>경동전체1!H371</f>
        <v>0</v>
      </c>
      <c r="I371" s="2" t="str">
        <f>경동전체1!I371&amp;""</f>
        <v/>
      </c>
      <c r="J371" s="2" t="s">
        <v>36</v>
      </c>
      <c r="K371" s="2" t="str">
        <f>IF(LEFT(경동전체1!G371,1)="","따사룸",경동전체1!G371)</f>
        <v>따사룸</v>
      </c>
      <c r="L371" s="4" t="str">
        <f t="shared" si="20"/>
        <v>1</v>
      </c>
      <c r="M371" s="1" t="str">
        <f>IF(LEFT(경동전체1!D371,1)="2","비닐",IF(LEFT(경동전체1!O371,1)="박","박스","비닐"))</f>
        <v>비닐</v>
      </c>
      <c r="N371" s="25">
        <v>1</v>
      </c>
      <c r="O371" s="25">
        <v>1</v>
      </c>
      <c r="P371" s="25">
        <v>1</v>
      </c>
      <c r="Q371" s="25">
        <v>1</v>
      </c>
      <c r="R371" s="1" t="str">
        <f t="shared" si="21"/>
        <v>50</v>
      </c>
      <c r="S371" s="1">
        <f>경동전체1!B371</f>
        <v>0</v>
      </c>
      <c r="T371" s="1" t="str">
        <f t="shared" si="22"/>
        <v>100</v>
      </c>
      <c r="U371" s="5" t="str">
        <f t="shared" si="23"/>
        <v>0</v>
      </c>
      <c r="V371" s="26">
        <v>0</v>
      </c>
      <c r="W371" s="26">
        <v>0</v>
      </c>
      <c r="X371" s="2" t="str">
        <f>SUBSTITUTE(SUBSTITUTE(SUBSTITUTE(SUBSTITUTE(SUBSTITUTE(SUBSTITUTE(SUBSTITUTE(SUBSTITUTE(SUBSTITUTE(SUBSTITUTE(SUBSTITUTE(SUBSTITUTE(SUBSTITUTE(경동전체1!D371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2" spans="1:24" ht="20.25" customHeight="1" x14ac:dyDescent="0.3">
      <c r="A372" s="2">
        <f>경동전체1!A372</f>
        <v>0</v>
      </c>
      <c r="B372" s="13" t="str">
        <f>SUBSTITUTE(SUBSTITUTE(SUBSTITUTE(SUBSTITUTE(SUBSTITUTE(SUBSTITUTE(SUBSTITUTE(SUBSTITUTE(SUBSTITUTE(SUBSTITUTE(SUBSTITUTE(SUBSTITUTE(SUBSTITUTE(경동전체1!K372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2" s="30">
        <f>경동전체1!E372</f>
        <v>0</v>
      </c>
      <c r="D372" s="23"/>
      <c r="E372" s="23"/>
      <c r="F372" s="4">
        <f>경동전체1!J372</f>
        <v>0</v>
      </c>
      <c r="G372" s="23"/>
      <c r="H372" s="2">
        <f>경동전체1!H372</f>
        <v>0</v>
      </c>
      <c r="I372" s="2" t="str">
        <f>경동전체1!I372&amp;""</f>
        <v/>
      </c>
      <c r="J372" s="2" t="s">
        <v>36</v>
      </c>
      <c r="K372" s="2" t="str">
        <f>IF(LEFT(경동전체1!G372,1)="","따사룸",경동전체1!G372)</f>
        <v>따사룸</v>
      </c>
      <c r="L372" s="4" t="str">
        <f t="shared" si="20"/>
        <v>1</v>
      </c>
      <c r="M372" s="1" t="str">
        <f>IF(LEFT(경동전체1!D372,1)="2","비닐",IF(LEFT(경동전체1!O372,1)="박","박스","비닐"))</f>
        <v>비닐</v>
      </c>
      <c r="N372" s="25">
        <v>1</v>
      </c>
      <c r="O372" s="25">
        <v>1</v>
      </c>
      <c r="P372" s="25">
        <v>1</v>
      </c>
      <c r="Q372" s="25">
        <v>1</v>
      </c>
      <c r="R372" s="1" t="str">
        <f t="shared" si="21"/>
        <v>50</v>
      </c>
      <c r="S372" s="1">
        <f>경동전체1!B372</f>
        <v>0</v>
      </c>
      <c r="T372" s="1" t="str">
        <f t="shared" si="22"/>
        <v>100</v>
      </c>
      <c r="U372" s="5" t="str">
        <f t="shared" si="23"/>
        <v>0</v>
      </c>
      <c r="V372" s="26">
        <v>0</v>
      </c>
      <c r="W372" s="26">
        <v>0</v>
      </c>
      <c r="X372" s="2" t="str">
        <f>SUBSTITUTE(SUBSTITUTE(SUBSTITUTE(SUBSTITUTE(SUBSTITUTE(SUBSTITUTE(SUBSTITUTE(SUBSTITUTE(SUBSTITUTE(SUBSTITUTE(SUBSTITUTE(SUBSTITUTE(SUBSTITUTE(경동전체1!D372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3" spans="1:24" ht="20.25" customHeight="1" x14ac:dyDescent="0.3">
      <c r="A373" s="2">
        <f>경동전체1!A373</f>
        <v>0</v>
      </c>
      <c r="B373" s="13" t="str">
        <f>SUBSTITUTE(SUBSTITUTE(SUBSTITUTE(SUBSTITUTE(SUBSTITUTE(SUBSTITUTE(SUBSTITUTE(SUBSTITUTE(SUBSTITUTE(SUBSTITUTE(SUBSTITUTE(SUBSTITUTE(SUBSTITUTE(경동전체1!K373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3" s="30">
        <f>경동전체1!E373</f>
        <v>0</v>
      </c>
      <c r="D373" s="23"/>
      <c r="E373" s="23"/>
      <c r="F373" s="4">
        <f>경동전체1!J373</f>
        <v>0</v>
      </c>
      <c r="G373" s="23"/>
      <c r="H373" s="2">
        <f>경동전체1!H373</f>
        <v>0</v>
      </c>
      <c r="I373" s="2" t="str">
        <f>경동전체1!I373&amp;""</f>
        <v/>
      </c>
      <c r="J373" s="2" t="s">
        <v>36</v>
      </c>
      <c r="K373" s="2" t="str">
        <f>IF(LEFT(경동전체1!G373,1)="","따사룸",경동전체1!G373)</f>
        <v>따사룸</v>
      </c>
      <c r="L373" s="4" t="str">
        <f t="shared" si="20"/>
        <v>1</v>
      </c>
      <c r="M373" s="1" t="str">
        <f>IF(LEFT(경동전체1!D373,1)="2","비닐",IF(LEFT(경동전체1!O373,1)="박","박스","비닐"))</f>
        <v>비닐</v>
      </c>
      <c r="N373" s="25">
        <v>1</v>
      </c>
      <c r="O373" s="25">
        <v>1</v>
      </c>
      <c r="P373" s="25">
        <v>1</v>
      </c>
      <c r="Q373" s="25">
        <v>1</v>
      </c>
      <c r="R373" s="1" t="str">
        <f t="shared" si="21"/>
        <v>50</v>
      </c>
      <c r="S373" s="1">
        <f>경동전체1!B373</f>
        <v>0</v>
      </c>
      <c r="T373" s="1" t="str">
        <f t="shared" si="22"/>
        <v>100</v>
      </c>
      <c r="U373" s="5" t="str">
        <f t="shared" si="23"/>
        <v>0</v>
      </c>
      <c r="V373" s="26">
        <v>0</v>
      </c>
      <c r="W373" s="26">
        <v>0</v>
      </c>
      <c r="X373" s="2" t="str">
        <f>SUBSTITUTE(SUBSTITUTE(SUBSTITUTE(SUBSTITUTE(SUBSTITUTE(SUBSTITUTE(SUBSTITUTE(SUBSTITUTE(SUBSTITUTE(SUBSTITUTE(SUBSTITUTE(SUBSTITUTE(SUBSTITUTE(경동전체1!D373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4" spans="1:24" ht="20.25" customHeight="1" x14ac:dyDescent="0.3">
      <c r="A374" s="2">
        <f>경동전체1!A374</f>
        <v>0</v>
      </c>
      <c r="B374" s="13" t="str">
        <f>SUBSTITUTE(SUBSTITUTE(SUBSTITUTE(SUBSTITUTE(SUBSTITUTE(SUBSTITUTE(SUBSTITUTE(SUBSTITUTE(SUBSTITUTE(SUBSTITUTE(SUBSTITUTE(SUBSTITUTE(SUBSTITUTE(경동전체1!K374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4" s="30">
        <f>경동전체1!E374</f>
        <v>0</v>
      </c>
      <c r="D374" s="23"/>
      <c r="E374" s="23"/>
      <c r="F374" s="4">
        <f>경동전체1!J374</f>
        <v>0</v>
      </c>
      <c r="G374" s="23"/>
      <c r="H374" s="2">
        <f>경동전체1!H374</f>
        <v>0</v>
      </c>
      <c r="I374" s="2" t="str">
        <f>경동전체1!I374&amp;""</f>
        <v/>
      </c>
      <c r="J374" s="2" t="s">
        <v>36</v>
      </c>
      <c r="K374" s="2" t="str">
        <f>IF(LEFT(경동전체1!G374,1)="","따사룸",경동전체1!G374)</f>
        <v>따사룸</v>
      </c>
      <c r="L374" s="4" t="str">
        <f t="shared" si="20"/>
        <v>1</v>
      </c>
      <c r="M374" s="1" t="str">
        <f>IF(LEFT(경동전체1!D374,1)="2","비닐",IF(LEFT(경동전체1!O374,1)="박","박스","비닐"))</f>
        <v>비닐</v>
      </c>
      <c r="N374" s="25">
        <v>1</v>
      </c>
      <c r="O374" s="25">
        <v>1</v>
      </c>
      <c r="P374" s="25">
        <v>1</v>
      </c>
      <c r="Q374" s="25">
        <v>1</v>
      </c>
      <c r="R374" s="1" t="str">
        <f t="shared" si="21"/>
        <v>50</v>
      </c>
      <c r="S374" s="1">
        <f>경동전체1!B374</f>
        <v>0</v>
      </c>
      <c r="T374" s="1" t="str">
        <f t="shared" si="22"/>
        <v>100</v>
      </c>
      <c r="U374" s="5" t="str">
        <f t="shared" si="23"/>
        <v>0</v>
      </c>
      <c r="V374" s="26">
        <v>0</v>
      </c>
      <c r="W374" s="26">
        <v>0</v>
      </c>
      <c r="X374" s="2" t="str">
        <f>SUBSTITUTE(SUBSTITUTE(SUBSTITUTE(SUBSTITUTE(SUBSTITUTE(SUBSTITUTE(SUBSTITUTE(SUBSTITUTE(SUBSTITUTE(SUBSTITUTE(SUBSTITUTE(SUBSTITUTE(SUBSTITUTE(경동전체1!D374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5" spans="1:24" ht="20.25" customHeight="1" x14ac:dyDescent="0.3">
      <c r="A375" s="2">
        <f>경동전체1!A375</f>
        <v>0</v>
      </c>
      <c r="B375" s="13" t="str">
        <f>SUBSTITUTE(SUBSTITUTE(SUBSTITUTE(SUBSTITUTE(SUBSTITUTE(SUBSTITUTE(SUBSTITUTE(SUBSTITUTE(SUBSTITUTE(SUBSTITUTE(SUBSTITUTE(SUBSTITUTE(SUBSTITUTE(경동전체1!K375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5" s="30">
        <f>경동전체1!E375</f>
        <v>0</v>
      </c>
      <c r="D375" s="23"/>
      <c r="E375" s="23"/>
      <c r="F375" s="4">
        <f>경동전체1!J375</f>
        <v>0</v>
      </c>
      <c r="G375" s="23"/>
      <c r="H375" s="2">
        <f>경동전체1!H375</f>
        <v>0</v>
      </c>
      <c r="I375" s="2" t="str">
        <f>경동전체1!I375&amp;""</f>
        <v/>
      </c>
      <c r="J375" s="2" t="s">
        <v>36</v>
      </c>
      <c r="K375" s="2" t="str">
        <f>IF(LEFT(경동전체1!G375,1)="","따사룸",경동전체1!G375)</f>
        <v>따사룸</v>
      </c>
      <c r="L375" s="4" t="str">
        <f t="shared" si="20"/>
        <v>1</v>
      </c>
      <c r="M375" s="1" t="str">
        <f>IF(LEFT(경동전체1!D375,1)="2","비닐",IF(LEFT(경동전체1!O375,1)="박","박스","비닐"))</f>
        <v>비닐</v>
      </c>
      <c r="N375" s="25">
        <v>1</v>
      </c>
      <c r="O375" s="25">
        <v>1</v>
      </c>
      <c r="P375" s="25">
        <v>1</v>
      </c>
      <c r="Q375" s="25">
        <v>1</v>
      </c>
      <c r="R375" s="1" t="str">
        <f t="shared" si="21"/>
        <v>50</v>
      </c>
      <c r="S375" s="1">
        <f>경동전체1!B375</f>
        <v>0</v>
      </c>
      <c r="T375" s="1" t="str">
        <f t="shared" si="22"/>
        <v>100</v>
      </c>
      <c r="U375" s="5" t="str">
        <f t="shared" si="23"/>
        <v>0</v>
      </c>
      <c r="V375" s="26">
        <v>0</v>
      </c>
      <c r="W375" s="26">
        <v>0</v>
      </c>
      <c r="X375" s="2" t="str">
        <f>SUBSTITUTE(SUBSTITUTE(SUBSTITUTE(SUBSTITUTE(SUBSTITUTE(SUBSTITUTE(SUBSTITUTE(SUBSTITUTE(SUBSTITUTE(SUBSTITUTE(SUBSTITUTE(SUBSTITUTE(SUBSTITUTE(경동전체1!D375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6" spans="1:24" ht="20.25" customHeight="1" x14ac:dyDescent="0.3">
      <c r="A376" s="2">
        <f>경동전체1!A376</f>
        <v>0</v>
      </c>
      <c r="B376" s="13" t="str">
        <f>SUBSTITUTE(SUBSTITUTE(SUBSTITUTE(SUBSTITUTE(SUBSTITUTE(SUBSTITUTE(SUBSTITUTE(SUBSTITUTE(SUBSTITUTE(SUBSTITUTE(SUBSTITUTE(SUBSTITUTE(SUBSTITUTE(경동전체1!K376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6" s="30">
        <f>경동전체1!E376</f>
        <v>0</v>
      </c>
      <c r="D376" s="23"/>
      <c r="E376" s="23"/>
      <c r="F376" s="4">
        <f>경동전체1!J376</f>
        <v>0</v>
      </c>
      <c r="G376" s="23"/>
      <c r="H376" s="2">
        <f>경동전체1!H376</f>
        <v>0</v>
      </c>
      <c r="I376" s="2" t="str">
        <f>경동전체1!I376&amp;""</f>
        <v/>
      </c>
      <c r="J376" s="2" t="s">
        <v>36</v>
      </c>
      <c r="K376" s="2" t="str">
        <f>IF(LEFT(경동전체1!G376,1)="","따사룸",경동전체1!G376)</f>
        <v>따사룸</v>
      </c>
      <c r="L376" s="4" t="str">
        <f t="shared" si="20"/>
        <v>1</v>
      </c>
      <c r="M376" s="1" t="str">
        <f>IF(LEFT(경동전체1!D376,1)="2","비닐",IF(LEFT(경동전체1!O376,1)="박","박스","비닐"))</f>
        <v>비닐</v>
      </c>
      <c r="N376" s="25">
        <v>1</v>
      </c>
      <c r="O376" s="25">
        <v>1</v>
      </c>
      <c r="P376" s="25">
        <v>1</v>
      </c>
      <c r="Q376" s="25">
        <v>1</v>
      </c>
      <c r="R376" s="1" t="str">
        <f t="shared" si="21"/>
        <v>50</v>
      </c>
      <c r="S376" s="1">
        <f>경동전체1!B376</f>
        <v>0</v>
      </c>
      <c r="T376" s="1" t="str">
        <f t="shared" si="22"/>
        <v>100</v>
      </c>
      <c r="U376" s="5" t="str">
        <f t="shared" si="23"/>
        <v>0</v>
      </c>
      <c r="V376" s="26">
        <v>0</v>
      </c>
      <c r="W376" s="26">
        <v>0</v>
      </c>
      <c r="X376" s="2" t="str">
        <f>SUBSTITUTE(SUBSTITUTE(SUBSTITUTE(SUBSTITUTE(SUBSTITUTE(SUBSTITUTE(SUBSTITUTE(SUBSTITUTE(SUBSTITUTE(SUBSTITUTE(SUBSTITUTE(SUBSTITUTE(SUBSTITUTE(경동전체1!D376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7" spans="1:24" ht="20.25" customHeight="1" x14ac:dyDescent="0.3">
      <c r="A377" s="2">
        <f>경동전체1!A377</f>
        <v>0</v>
      </c>
      <c r="B377" s="13" t="str">
        <f>SUBSTITUTE(SUBSTITUTE(SUBSTITUTE(SUBSTITUTE(SUBSTITUTE(SUBSTITUTE(SUBSTITUTE(SUBSTITUTE(SUBSTITUTE(SUBSTITUTE(SUBSTITUTE(SUBSTITUTE(SUBSTITUTE(경동전체1!K377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7" s="30">
        <f>경동전체1!E377</f>
        <v>0</v>
      </c>
      <c r="D377" s="23"/>
      <c r="E377" s="23"/>
      <c r="F377" s="4">
        <f>경동전체1!J377</f>
        <v>0</v>
      </c>
      <c r="G377" s="23"/>
      <c r="H377" s="2">
        <f>경동전체1!H377</f>
        <v>0</v>
      </c>
      <c r="I377" s="2" t="str">
        <f>경동전체1!I377&amp;""</f>
        <v/>
      </c>
      <c r="J377" s="2" t="s">
        <v>36</v>
      </c>
      <c r="K377" s="2" t="str">
        <f>IF(LEFT(경동전체1!G377,1)="","따사룸",경동전체1!G377)</f>
        <v>따사룸</v>
      </c>
      <c r="L377" s="4" t="str">
        <f t="shared" si="20"/>
        <v>1</v>
      </c>
      <c r="M377" s="1" t="str">
        <f>IF(LEFT(경동전체1!D377,1)="2","비닐",IF(LEFT(경동전체1!O377,1)="박","박스","비닐"))</f>
        <v>비닐</v>
      </c>
      <c r="N377" s="25">
        <v>1</v>
      </c>
      <c r="O377" s="25">
        <v>1</v>
      </c>
      <c r="P377" s="25">
        <v>1</v>
      </c>
      <c r="Q377" s="25">
        <v>1</v>
      </c>
      <c r="R377" s="1" t="str">
        <f t="shared" si="21"/>
        <v>50</v>
      </c>
      <c r="S377" s="1">
        <f>경동전체1!B377</f>
        <v>0</v>
      </c>
      <c r="T377" s="1" t="str">
        <f t="shared" si="22"/>
        <v>100</v>
      </c>
      <c r="U377" s="5" t="str">
        <f t="shared" si="23"/>
        <v>0</v>
      </c>
      <c r="V377" s="26">
        <v>0</v>
      </c>
      <c r="W377" s="26">
        <v>0</v>
      </c>
      <c r="X377" s="2" t="str">
        <f>SUBSTITUTE(SUBSTITUTE(SUBSTITUTE(SUBSTITUTE(SUBSTITUTE(SUBSTITUTE(SUBSTITUTE(SUBSTITUTE(SUBSTITUTE(SUBSTITUTE(SUBSTITUTE(SUBSTITUTE(SUBSTITUTE(경동전체1!D377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8" spans="1:24" ht="20.25" customHeight="1" x14ac:dyDescent="0.3">
      <c r="A378" s="2">
        <f>경동전체1!A378</f>
        <v>0</v>
      </c>
      <c r="B378" s="13" t="str">
        <f>SUBSTITUTE(SUBSTITUTE(SUBSTITUTE(SUBSTITUTE(SUBSTITUTE(SUBSTITUTE(SUBSTITUTE(SUBSTITUTE(SUBSTITUTE(SUBSTITUTE(SUBSTITUTE(SUBSTITUTE(SUBSTITUTE(경동전체1!K378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8" s="30">
        <f>경동전체1!E378</f>
        <v>0</v>
      </c>
      <c r="D378" s="23"/>
      <c r="E378" s="23"/>
      <c r="F378" s="4">
        <f>경동전체1!J378</f>
        <v>0</v>
      </c>
      <c r="G378" s="23"/>
      <c r="H378" s="2">
        <f>경동전체1!H378</f>
        <v>0</v>
      </c>
      <c r="I378" s="2" t="str">
        <f>경동전체1!I378&amp;""</f>
        <v/>
      </c>
      <c r="J378" s="2" t="s">
        <v>36</v>
      </c>
      <c r="K378" s="2" t="str">
        <f>IF(LEFT(경동전체1!G378,1)="","따사룸",경동전체1!G378)</f>
        <v>따사룸</v>
      </c>
      <c r="L378" s="4" t="str">
        <f t="shared" si="20"/>
        <v>1</v>
      </c>
      <c r="M378" s="1" t="str">
        <f>IF(LEFT(경동전체1!D378,1)="2","비닐",IF(LEFT(경동전체1!O378,1)="박","박스","비닐"))</f>
        <v>비닐</v>
      </c>
      <c r="N378" s="25">
        <v>1</v>
      </c>
      <c r="O378" s="25">
        <v>1</v>
      </c>
      <c r="P378" s="25">
        <v>1</v>
      </c>
      <c r="Q378" s="25">
        <v>1</v>
      </c>
      <c r="R378" s="1" t="str">
        <f t="shared" si="21"/>
        <v>50</v>
      </c>
      <c r="S378" s="1">
        <f>경동전체1!B378</f>
        <v>0</v>
      </c>
      <c r="T378" s="1" t="str">
        <f t="shared" si="22"/>
        <v>100</v>
      </c>
      <c r="U378" s="5" t="str">
        <f t="shared" si="23"/>
        <v>0</v>
      </c>
      <c r="V378" s="26">
        <v>0</v>
      </c>
      <c r="W378" s="26">
        <v>0</v>
      </c>
      <c r="X378" s="2" t="str">
        <f>SUBSTITUTE(SUBSTITUTE(SUBSTITUTE(SUBSTITUTE(SUBSTITUTE(SUBSTITUTE(SUBSTITUTE(SUBSTITUTE(SUBSTITUTE(SUBSTITUTE(SUBSTITUTE(SUBSTITUTE(SUBSTITUTE(경동전체1!D378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9" spans="1:24" ht="20.25" customHeight="1" x14ac:dyDescent="0.3">
      <c r="A379" s="2">
        <f>경동전체1!A379</f>
        <v>0</v>
      </c>
      <c r="B379" s="13" t="str">
        <f>SUBSTITUTE(SUBSTITUTE(SUBSTITUTE(SUBSTITUTE(SUBSTITUTE(SUBSTITUTE(SUBSTITUTE(SUBSTITUTE(SUBSTITUTE(SUBSTITUTE(SUBSTITUTE(SUBSTITUTE(SUBSTITUTE(경동전체1!K379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9" s="30">
        <f>경동전체1!E379</f>
        <v>0</v>
      </c>
      <c r="D379" s="23"/>
      <c r="E379" s="23"/>
      <c r="F379" s="4">
        <f>경동전체1!J379</f>
        <v>0</v>
      </c>
      <c r="G379" s="23"/>
      <c r="H379" s="2">
        <f>경동전체1!H379</f>
        <v>0</v>
      </c>
      <c r="I379" s="2" t="str">
        <f>경동전체1!I379&amp;""</f>
        <v/>
      </c>
      <c r="J379" s="2" t="s">
        <v>36</v>
      </c>
      <c r="K379" s="2" t="str">
        <f>IF(LEFT(경동전체1!G379,1)="","따사룸",경동전체1!G379)</f>
        <v>따사룸</v>
      </c>
      <c r="L379" s="4" t="str">
        <f t="shared" si="20"/>
        <v>1</v>
      </c>
      <c r="M379" s="1" t="str">
        <f>IF(LEFT(경동전체1!D379,1)="2","비닐",IF(LEFT(경동전체1!O379,1)="박","박스","비닐"))</f>
        <v>비닐</v>
      </c>
      <c r="N379" s="25">
        <v>1</v>
      </c>
      <c r="O379" s="25">
        <v>1</v>
      </c>
      <c r="P379" s="25">
        <v>1</v>
      </c>
      <c r="Q379" s="25">
        <v>1</v>
      </c>
      <c r="R379" s="1" t="str">
        <f t="shared" si="21"/>
        <v>50</v>
      </c>
      <c r="S379" s="1">
        <f>경동전체1!B379</f>
        <v>0</v>
      </c>
      <c r="T379" s="1" t="str">
        <f t="shared" si="22"/>
        <v>100</v>
      </c>
      <c r="U379" s="5" t="str">
        <f t="shared" si="23"/>
        <v>0</v>
      </c>
      <c r="V379" s="26">
        <v>0</v>
      </c>
      <c r="W379" s="26">
        <v>0</v>
      </c>
      <c r="X379" s="2" t="str">
        <f>SUBSTITUTE(SUBSTITUTE(SUBSTITUTE(SUBSTITUTE(SUBSTITUTE(SUBSTITUTE(SUBSTITUTE(SUBSTITUTE(SUBSTITUTE(SUBSTITUTE(SUBSTITUTE(SUBSTITUTE(SUBSTITUTE(경동전체1!D379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0" spans="1:24" ht="20.25" customHeight="1" x14ac:dyDescent="0.3">
      <c r="A380" s="2">
        <f>경동전체1!A380</f>
        <v>0</v>
      </c>
      <c r="B380" s="13" t="str">
        <f>SUBSTITUTE(SUBSTITUTE(SUBSTITUTE(SUBSTITUTE(SUBSTITUTE(SUBSTITUTE(SUBSTITUTE(SUBSTITUTE(SUBSTITUTE(SUBSTITUTE(SUBSTITUTE(SUBSTITUTE(SUBSTITUTE(경동전체1!K380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0" s="30">
        <f>경동전체1!E380</f>
        <v>0</v>
      </c>
      <c r="D380" s="23"/>
      <c r="E380" s="23"/>
      <c r="F380" s="4">
        <f>경동전체1!J380</f>
        <v>0</v>
      </c>
      <c r="G380" s="23"/>
      <c r="H380" s="2">
        <f>경동전체1!H380</f>
        <v>0</v>
      </c>
      <c r="I380" s="2" t="str">
        <f>경동전체1!I380&amp;""</f>
        <v/>
      </c>
      <c r="J380" s="2" t="s">
        <v>36</v>
      </c>
      <c r="K380" s="2" t="str">
        <f>IF(LEFT(경동전체1!G380,1)="","따사룸",경동전체1!G380)</f>
        <v>따사룸</v>
      </c>
      <c r="L380" s="4" t="str">
        <f t="shared" si="20"/>
        <v>1</v>
      </c>
      <c r="M380" s="1" t="str">
        <f>IF(LEFT(경동전체1!D380,1)="2","비닐",IF(LEFT(경동전체1!O380,1)="박","박스","비닐"))</f>
        <v>비닐</v>
      </c>
      <c r="N380" s="25">
        <v>1</v>
      </c>
      <c r="O380" s="25">
        <v>1</v>
      </c>
      <c r="P380" s="25">
        <v>1</v>
      </c>
      <c r="Q380" s="25">
        <v>1</v>
      </c>
      <c r="R380" s="1" t="str">
        <f t="shared" si="21"/>
        <v>50</v>
      </c>
      <c r="S380" s="1">
        <f>경동전체1!B380</f>
        <v>0</v>
      </c>
      <c r="T380" s="1" t="str">
        <f t="shared" si="22"/>
        <v>100</v>
      </c>
      <c r="U380" s="5" t="str">
        <f t="shared" si="23"/>
        <v>0</v>
      </c>
      <c r="V380" s="26">
        <v>0</v>
      </c>
      <c r="W380" s="26">
        <v>0</v>
      </c>
      <c r="X380" s="2" t="str">
        <f>SUBSTITUTE(SUBSTITUTE(SUBSTITUTE(SUBSTITUTE(SUBSTITUTE(SUBSTITUTE(SUBSTITUTE(SUBSTITUTE(SUBSTITUTE(SUBSTITUTE(SUBSTITUTE(SUBSTITUTE(SUBSTITUTE(경동전체1!D380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1" spans="1:24" ht="20.25" customHeight="1" x14ac:dyDescent="0.3">
      <c r="A381" s="2">
        <f>경동전체1!A381</f>
        <v>0</v>
      </c>
      <c r="B381" s="13" t="str">
        <f>SUBSTITUTE(SUBSTITUTE(SUBSTITUTE(SUBSTITUTE(SUBSTITUTE(SUBSTITUTE(SUBSTITUTE(SUBSTITUTE(SUBSTITUTE(SUBSTITUTE(SUBSTITUTE(SUBSTITUTE(SUBSTITUTE(경동전체1!K381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1" s="30">
        <f>경동전체1!E381</f>
        <v>0</v>
      </c>
      <c r="D381" s="23"/>
      <c r="E381" s="23"/>
      <c r="F381" s="4">
        <f>경동전체1!J381</f>
        <v>0</v>
      </c>
      <c r="G381" s="23"/>
      <c r="H381" s="2">
        <f>경동전체1!H381</f>
        <v>0</v>
      </c>
      <c r="I381" s="2" t="str">
        <f>경동전체1!I381&amp;""</f>
        <v/>
      </c>
      <c r="J381" s="2" t="s">
        <v>36</v>
      </c>
      <c r="K381" s="2" t="str">
        <f>IF(LEFT(경동전체1!G381,1)="","따사룸",경동전체1!G381)</f>
        <v>따사룸</v>
      </c>
      <c r="L381" s="4" t="str">
        <f t="shared" si="20"/>
        <v>1</v>
      </c>
      <c r="M381" s="1" t="str">
        <f>IF(LEFT(경동전체1!D381,1)="2","비닐",IF(LEFT(경동전체1!O381,1)="박","박스","비닐"))</f>
        <v>비닐</v>
      </c>
      <c r="N381" s="25">
        <v>1</v>
      </c>
      <c r="O381" s="25">
        <v>1</v>
      </c>
      <c r="P381" s="25">
        <v>1</v>
      </c>
      <c r="Q381" s="25">
        <v>1</v>
      </c>
      <c r="R381" s="1" t="str">
        <f t="shared" si="21"/>
        <v>50</v>
      </c>
      <c r="S381" s="1">
        <f>경동전체1!B381</f>
        <v>0</v>
      </c>
      <c r="T381" s="1" t="str">
        <f t="shared" si="22"/>
        <v>100</v>
      </c>
      <c r="U381" s="5" t="str">
        <f t="shared" si="23"/>
        <v>0</v>
      </c>
      <c r="V381" s="26">
        <v>0</v>
      </c>
      <c r="W381" s="26">
        <v>0</v>
      </c>
      <c r="X381" s="2" t="str">
        <f>SUBSTITUTE(SUBSTITUTE(SUBSTITUTE(SUBSTITUTE(SUBSTITUTE(SUBSTITUTE(SUBSTITUTE(SUBSTITUTE(SUBSTITUTE(SUBSTITUTE(SUBSTITUTE(SUBSTITUTE(SUBSTITUTE(경동전체1!D381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2" spans="1:24" ht="20.25" customHeight="1" x14ac:dyDescent="0.3">
      <c r="A382" s="2">
        <f>경동전체1!A382</f>
        <v>0</v>
      </c>
      <c r="B382" s="13" t="str">
        <f>SUBSTITUTE(SUBSTITUTE(SUBSTITUTE(SUBSTITUTE(SUBSTITUTE(SUBSTITUTE(SUBSTITUTE(SUBSTITUTE(SUBSTITUTE(SUBSTITUTE(SUBSTITUTE(SUBSTITUTE(SUBSTITUTE(경동전체1!K382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2" s="30">
        <f>경동전체1!E382</f>
        <v>0</v>
      </c>
      <c r="D382" s="23"/>
      <c r="E382" s="23"/>
      <c r="F382" s="4">
        <f>경동전체1!J382</f>
        <v>0</v>
      </c>
      <c r="G382" s="23"/>
      <c r="H382" s="2">
        <f>경동전체1!H382</f>
        <v>0</v>
      </c>
      <c r="I382" s="2" t="str">
        <f>경동전체1!I382&amp;""</f>
        <v/>
      </c>
      <c r="J382" s="2" t="s">
        <v>36</v>
      </c>
      <c r="K382" s="2" t="str">
        <f>IF(LEFT(경동전체1!G382,1)="","따사룸",경동전체1!G382)</f>
        <v>따사룸</v>
      </c>
      <c r="L382" s="4" t="str">
        <f t="shared" si="20"/>
        <v>1</v>
      </c>
      <c r="M382" s="1" t="str">
        <f>IF(LEFT(경동전체1!D382,1)="2","비닐",IF(LEFT(경동전체1!O382,1)="박","박스","비닐"))</f>
        <v>비닐</v>
      </c>
      <c r="N382" s="25">
        <v>1</v>
      </c>
      <c r="O382" s="25">
        <v>1</v>
      </c>
      <c r="P382" s="25">
        <v>1</v>
      </c>
      <c r="Q382" s="25">
        <v>1</v>
      </c>
      <c r="R382" s="1" t="str">
        <f t="shared" si="21"/>
        <v>50</v>
      </c>
      <c r="S382" s="1">
        <f>경동전체1!B382</f>
        <v>0</v>
      </c>
      <c r="T382" s="1" t="str">
        <f t="shared" si="22"/>
        <v>100</v>
      </c>
      <c r="U382" s="5" t="str">
        <f t="shared" si="23"/>
        <v>0</v>
      </c>
      <c r="V382" s="26">
        <v>0</v>
      </c>
      <c r="W382" s="26">
        <v>0</v>
      </c>
      <c r="X382" s="2" t="str">
        <f>SUBSTITUTE(SUBSTITUTE(SUBSTITUTE(SUBSTITUTE(SUBSTITUTE(SUBSTITUTE(SUBSTITUTE(SUBSTITUTE(SUBSTITUTE(SUBSTITUTE(SUBSTITUTE(SUBSTITUTE(SUBSTITUTE(경동전체1!D382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3" spans="1:24" ht="20.25" customHeight="1" x14ac:dyDescent="0.3">
      <c r="A383" s="2">
        <f>경동전체1!A383</f>
        <v>0</v>
      </c>
      <c r="B383" s="13" t="str">
        <f>SUBSTITUTE(SUBSTITUTE(SUBSTITUTE(SUBSTITUTE(SUBSTITUTE(SUBSTITUTE(SUBSTITUTE(SUBSTITUTE(SUBSTITUTE(SUBSTITUTE(SUBSTITUTE(SUBSTITUTE(SUBSTITUTE(경동전체1!K383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3" s="30">
        <f>경동전체1!E383</f>
        <v>0</v>
      </c>
      <c r="D383" s="23"/>
      <c r="E383" s="23"/>
      <c r="F383" s="4">
        <f>경동전체1!J383</f>
        <v>0</v>
      </c>
      <c r="G383" s="23"/>
      <c r="H383" s="2">
        <f>경동전체1!H383</f>
        <v>0</v>
      </c>
      <c r="I383" s="2" t="str">
        <f>경동전체1!I383&amp;""</f>
        <v/>
      </c>
      <c r="J383" s="2" t="s">
        <v>36</v>
      </c>
      <c r="K383" s="2" t="str">
        <f>IF(LEFT(경동전체1!G383,1)="","따사룸",경동전체1!G383)</f>
        <v>따사룸</v>
      </c>
      <c r="L383" s="4" t="str">
        <f t="shared" si="20"/>
        <v>1</v>
      </c>
      <c r="M383" s="1" t="str">
        <f>IF(LEFT(경동전체1!D383,1)="2","비닐",IF(LEFT(경동전체1!O383,1)="박","박스","비닐"))</f>
        <v>비닐</v>
      </c>
      <c r="N383" s="25">
        <v>1</v>
      </c>
      <c r="O383" s="25">
        <v>1</v>
      </c>
      <c r="P383" s="25">
        <v>1</v>
      </c>
      <c r="Q383" s="25">
        <v>1</v>
      </c>
      <c r="R383" s="1" t="str">
        <f t="shared" si="21"/>
        <v>50</v>
      </c>
      <c r="S383" s="1">
        <f>경동전체1!B383</f>
        <v>0</v>
      </c>
      <c r="T383" s="1" t="str">
        <f t="shared" si="22"/>
        <v>100</v>
      </c>
      <c r="U383" s="5" t="str">
        <f t="shared" si="23"/>
        <v>0</v>
      </c>
      <c r="V383" s="26">
        <v>0</v>
      </c>
      <c r="W383" s="26">
        <v>0</v>
      </c>
      <c r="X383" s="2" t="str">
        <f>SUBSTITUTE(SUBSTITUTE(SUBSTITUTE(SUBSTITUTE(SUBSTITUTE(SUBSTITUTE(SUBSTITUTE(SUBSTITUTE(SUBSTITUTE(SUBSTITUTE(SUBSTITUTE(SUBSTITUTE(SUBSTITUTE(경동전체1!D383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4" spans="1:24" ht="20.25" customHeight="1" x14ac:dyDescent="0.3">
      <c r="A384" s="2">
        <f>경동전체1!A384</f>
        <v>0</v>
      </c>
      <c r="B384" s="13" t="str">
        <f>SUBSTITUTE(SUBSTITUTE(SUBSTITUTE(SUBSTITUTE(SUBSTITUTE(SUBSTITUTE(SUBSTITUTE(SUBSTITUTE(SUBSTITUTE(SUBSTITUTE(SUBSTITUTE(SUBSTITUTE(SUBSTITUTE(경동전체1!K384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4" s="30">
        <f>경동전체1!E384</f>
        <v>0</v>
      </c>
      <c r="D384" s="23"/>
      <c r="E384" s="23"/>
      <c r="F384" s="4">
        <f>경동전체1!J384</f>
        <v>0</v>
      </c>
      <c r="G384" s="23"/>
      <c r="H384" s="2">
        <f>경동전체1!H384</f>
        <v>0</v>
      </c>
      <c r="I384" s="2" t="str">
        <f>경동전체1!I384&amp;""</f>
        <v/>
      </c>
      <c r="J384" s="2" t="s">
        <v>36</v>
      </c>
      <c r="K384" s="2" t="str">
        <f>IF(LEFT(경동전체1!G384,1)="","따사룸",경동전체1!G384)</f>
        <v>따사룸</v>
      </c>
      <c r="L384" s="4" t="str">
        <f t="shared" si="20"/>
        <v>1</v>
      </c>
      <c r="M384" s="1" t="str">
        <f>IF(LEFT(경동전체1!D384,1)="2","비닐",IF(LEFT(경동전체1!O384,1)="박","박스","비닐"))</f>
        <v>비닐</v>
      </c>
      <c r="N384" s="25">
        <v>1</v>
      </c>
      <c r="O384" s="25">
        <v>1</v>
      </c>
      <c r="P384" s="25">
        <v>1</v>
      </c>
      <c r="Q384" s="25">
        <v>1</v>
      </c>
      <c r="R384" s="1" t="str">
        <f t="shared" si="21"/>
        <v>50</v>
      </c>
      <c r="S384" s="1">
        <f>경동전체1!B384</f>
        <v>0</v>
      </c>
      <c r="T384" s="1" t="str">
        <f t="shared" si="22"/>
        <v>100</v>
      </c>
      <c r="U384" s="5" t="str">
        <f t="shared" si="23"/>
        <v>0</v>
      </c>
      <c r="V384" s="26">
        <v>0</v>
      </c>
      <c r="W384" s="26">
        <v>0</v>
      </c>
      <c r="X384" s="2" t="str">
        <f>SUBSTITUTE(SUBSTITUTE(SUBSTITUTE(SUBSTITUTE(SUBSTITUTE(SUBSTITUTE(SUBSTITUTE(SUBSTITUTE(SUBSTITUTE(SUBSTITUTE(SUBSTITUTE(SUBSTITUTE(SUBSTITUTE(경동전체1!D384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5" spans="1:24" ht="20.25" customHeight="1" x14ac:dyDescent="0.3">
      <c r="A385" s="2">
        <f>경동전체1!A385</f>
        <v>0</v>
      </c>
      <c r="B385" s="13" t="str">
        <f>SUBSTITUTE(SUBSTITUTE(SUBSTITUTE(SUBSTITUTE(SUBSTITUTE(SUBSTITUTE(SUBSTITUTE(SUBSTITUTE(SUBSTITUTE(SUBSTITUTE(SUBSTITUTE(SUBSTITUTE(SUBSTITUTE(경동전체1!K385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5" s="30">
        <f>경동전체1!E385</f>
        <v>0</v>
      </c>
      <c r="D385" s="23"/>
      <c r="E385" s="23"/>
      <c r="F385" s="4">
        <f>경동전체1!J385</f>
        <v>0</v>
      </c>
      <c r="G385" s="23"/>
      <c r="H385" s="2">
        <f>경동전체1!H385</f>
        <v>0</v>
      </c>
      <c r="I385" s="2" t="str">
        <f>경동전체1!I385&amp;""</f>
        <v/>
      </c>
      <c r="J385" s="2" t="s">
        <v>36</v>
      </c>
      <c r="K385" s="2" t="str">
        <f>IF(LEFT(경동전체1!G385,1)="","따사룸",경동전체1!G385)</f>
        <v>따사룸</v>
      </c>
      <c r="L385" s="4" t="str">
        <f t="shared" si="20"/>
        <v>1</v>
      </c>
      <c r="M385" s="1" t="str">
        <f>IF(LEFT(경동전체1!D385,1)="2","비닐",IF(LEFT(경동전체1!O385,1)="박","박스","비닐"))</f>
        <v>비닐</v>
      </c>
      <c r="N385" s="25">
        <v>1</v>
      </c>
      <c r="O385" s="25">
        <v>1</v>
      </c>
      <c r="P385" s="25">
        <v>1</v>
      </c>
      <c r="Q385" s="25">
        <v>1</v>
      </c>
      <c r="R385" s="1" t="str">
        <f t="shared" si="21"/>
        <v>50</v>
      </c>
      <c r="S385" s="1">
        <f>경동전체1!B385</f>
        <v>0</v>
      </c>
      <c r="T385" s="1" t="str">
        <f t="shared" si="22"/>
        <v>100</v>
      </c>
      <c r="U385" s="5" t="str">
        <f t="shared" si="23"/>
        <v>0</v>
      </c>
      <c r="V385" s="26">
        <v>0</v>
      </c>
      <c r="W385" s="26">
        <v>0</v>
      </c>
      <c r="X385" s="2" t="str">
        <f>SUBSTITUTE(SUBSTITUTE(SUBSTITUTE(SUBSTITUTE(SUBSTITUTE(SUBSTITUTE(SUBSTITUTE(SUBSTITUTE(SUBSTITUTE(SUBSTITUTE(SUBSTITUTE(SUBSTITUTE(SUBSTITUTE(경동전체1!D385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6" spans="1:24" ht="20.25" customHeight="1" x14ac:dyDescent="0.3">
      <c r="A386" s="2">
        <f>경동전체1!A386</f>
        <v>0</v>
      </c>
      <c r="B386" s="13" t="str">
        <f>SUBSTITUTE(SUBSTITUTE(SUBSTITUTE(SUBSTITUTE(SUBSTITUTE(SUBSTITUTE(SUBSTITUTE(SUBSTITUTE(SUBSTITUTE(SUBSTITUTE(SUBSTITUTE(SUBSTITUTE(SUBSTITUTE(경동전체1!K386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6" s="30">
        <f>경동전체1!E386</f>
        <v>0</v>
      </c>
      <c r="D386" s="23"/>
      <c r="E386" s="23"/>
      <c r="F386" s="4">
        <f>경동전체1!J386</f>
        <v>0</v>
      </c>
      <c r="G386" s="23"/>
      <c r="H386" s="2">
        <f>경동전체1!H386</f>
        <v>0</v>
      </c>
      <c r="I386" s="2" t="str">
        <f>경동전체1!I386&amp;""</f>
        <v/>
      </c>
      <c r="J386" s="2" t="s">
        <v>36</v>
      </c>
      <c r="K386" s="2" t="str">
        <f>IF(LEFT(경동전체1!G386,1)="","따사룸",경동전체1!G386)</f>
        <v>따사룸</v>
      </c>
      <c r="L386" s="4" t="str">
        <f t="shared" si="20"/>
        <v>1</v>
      </c>
      <c r="M386" s="1" t="str">
        <f>IF(LEFT(경동전체1!D386,1)="2","비닐",IF(LEFT(경동전체1!O386,1)="박","박스","비닐"))</f>
        <v>비닐</v>
      </c>
      <c r="N386" s="25">
        <v>1</v>
      </c>
      <c r="O386" s="25">
        <v>1</v>
      </c>
      <c r="P386" s="25">
        <v>1</v>
      </c>
      <c r="Q386" s="25">
        <v>1</v>
      </c>
      <c r="R386" s="1" t="str">
        <f t="shared" si="21"/>
        <v>50</v>
      </c>
      <c r="S386" s="1">
        <f>경동전체1!B386</f>
        <v>0</v>
      </c>
      <c r="T386" s="1" t="str">
        <f t="shared" si="22"/>
        <v>100</v>
      </c>
      <c r="U386" s="5" t="str">
        <f t="shared" si="23"/>
        <v>0</v>
      </c>
      <c r="V386" s="26">
        <v>0</v>
      </c>
      <c r="W386" s="26">
        <v>0</v>
      </c>
      <c r="X386" s="2" t="str">
        <f>SUBSTITUTE(SUBSTITUTE(SUBSTITUTE(SUBSTITUTE(SUBSTITUTE(SUBSTITUTE(SUBSTITUTE(SUBSTITUTE(SUBSTITUTE(SUBSTITUTE(SUBSTITUTE(SUBSTITUTE(SUBSTITUTE(경동전체1!D386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7" spans="1:24" ht="20.25" customHeight="1" x14ac:dyDescent="0.3">
      <c r="A387" s="2">
        <f>경동전체1!A387</f>
        <v>0</v>
      </c>
      <c r="B387" s="13" t="str">
        <f>SUBSTITUTE(SUBSTITUTE(SUBSTITUTE(SUBSTITUTE(SUBSTITUTE(SUBSTITUTE(SUBSTITUTE(SUBSTITUTE(SUBSTITUTE(SUBSTITUTE(SUBSTITUTE(SUBSTITUTE(SUBSTITUTE(경동전체1!K387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7" s="30">
        <f>경동전체1!E387</f>
        <v>0</v>
      </c>
      <c r="D387" s="23"/>
      <c r="E387" s="23"/>
      <c r="F387" s="4">
        <f>경동전체1!J387</f>
        <v>0</v>
      </c>
      <c r="G387" s="23"/>
      <c r="H387" s="2">
        <f>경동전체1!H387</f>
        <v>0</v>
      </c>
      <c r="I387" s="2" t="str">
        <f>경동전체1!I387&amp;""</f>
        <v/>
      </c>
      <c r="J387" s="2" t="s">
        <v>36</v>
      </c>
      <c r="K387" s="2" t="str">
        <f>IF(LEFT(경동전체1!G387,1)="","따사룸",경동전체1!G387)</f>
        <v>따사룸</v>
      </c>
      <c r="L387" s="4" t="str">
        <f t="shared" ref="L387:L450" si="24">"1"</f>
        <v>1</v>
      </c>
      <c r="M387" s="1" t="str">
        <f>IF(LEFT(경동전체1!D387,1)="2","비닐",IF(LEFT(경동전체1!O387,1)="박","박스","비닐"))</f>
        <v>비닐</v>
      </c>
      <c r="N387" s="25">
        <v>1</v>
      </c>
      <c r="O387" s="25">
        <v>1</v>
      </c>
      <c r="P387" s="25">
        <v>1</v>
      </c>
      <c r="Q387" s="25">
        <v>1</v>
      </c>
      <c r="R387" s="1" t="str">
        <f t="shared" ref="R387:R450" si="25">"50"</f>
        <v>50</v>
      </c>
      <c r="S387" s="1">
        <f>경동전체1!B387</f>
        <v>0</v>
      </c>
      <c r="T387" s="1" t="str">
        <f t="shared" ref="T387:T450" si="26">"100"</f>
        <v>100</v>
      </c>
      <c r="U387" s="5" t="str">
        <f t="shared" ref="U387:U450" si="27">"0"</f>
        <v>0</v>
      </c>
      <c r="V387" s="26">
        <v>0</v>
      </c>
      <c r="W387" s="26">
        <v>0</v>
      </c>
      <c r="X387" s="2" t="str">
        <f>SUBSTITUTE(SUBSTITUTE(SUBSTITUTE(SUBSTITUTE(SUBSTITUTE(SUBSTITUTE(SUBSTITUTE(SUBSTITUTE(SUBSTITUTE(SUBSTITUTE(SUBSTITUTE(SUBSTITUTE(SUBSTITUTE(경동전체1!D387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8" spans="1:24" ht="20.25" customHeight="1" x14ac:dyDescent="0.3">
      <c r="A388" s="2">
        <f>경동전체1!A388</f>
        <v>0</v>
      </c>
      <c r="B388" s="13" t="str">
        <f>SUBSTITUTE(SUBSTITUTE(SUBSTITUTE(SUBSTITUTE(SUBSTITUTE(SUBSTITUTE(SUBSTITUTE(SUBSTITUTE(SUBSTITUTE(SUBSTITUTE(SUBSTITUTE(SUBSTITUTE(SUBSTITUTE(경동전체1!K388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8" s="30">
        <f>경동전체1!E388</f>
        <v>0</v>
      </c>
      <c r="D388" s="23"/>
      <c r="E388" s="23"/>
      <c r="F388" s="4">
        <f>경동전체1!J388</f>
        <v>0</v>
      </c>
      <c r="G388" s="23"/>
      <c r="H388" s="2">
        <f>경동전체1!H388</f>
        <v>0</v>
      </c>
      <c r="I388" s="2" t="str">
        <f>경동전체1!I388&amp;""</f>
        <v/>
      </c>
      <c r="J388" s="2" t="s">
        <v>36</v>
      </c>
      <c r="K388" s="2" t="str">
        <f>IF(LEFT(경동전체1!G388,1)="","따사룸",경동전체1!G388)</f>
        <v>따사룸</v>
      </c>
      <c r="L388" s="4" t="str">
        <f t="shared" si="24"/>
        <v>1</v>
      </c>
      <c r="M388" s="1" t="str">
        <f>IF(LEFT(경동전체1!D388,1)="2","비닐",IF(LEFT(경동전체1!O388,1)="박","박스","비닐"))</f>
        <v>비닐</v>
      </c>
      <c r="N388" s="25">
        <v>1</v>
      </c>
      <c r="O388" s="25">
        <v>1</v>
      </c>
      <c r="P388" s="25">
        <v>1</v>
      </c>
      <c r="Q388" s="25">
        <v>1</v>
      </c>
      <c r="R388" s="1" t="str">
        <f t="shared" si="25"/>
        <v>50</v>
      </c>
      <c r="S388" s="1">
        <f>경동전체1!B388</f>
        <v>0</v>
      </c>
      <c r="T388" s="1" t="str">
        <f t="shared" si="26"/>
        <v>100</v>
      </c>
      <c r="U388" s="5" t="str">
        <f t="shared" si="27"/>
        <v>0</v>
      </c>
      <c r="V388" s="26">
        <v>0</v>
      </c>
      <c r="W388" s="26">
        <v>0</v>
      </c>
      <c r="X388" s="2" t="str">
        <f>SUBSTITUTE(SUBSTITUTE(SUBSTITUTE(SUBSTITUTE(SUBSTITUTE(SUBSTITUTE(SUBSTITUTE(SUBSTITUTE(SUBSTITUTE(SUBSTITUTE(SUBSTITUTE(SUBSTITUTE(SUBSTITUTE(경동전체1!D388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9" spans="1:24" ht="20.25" customHeight="1" x14ac:dyDescent="0.3">
      <c r="A389" s="2">
        <f>경동전체1!A389</f>
        <v>0</v>
      </c>
      <c r="B389" s="13" t="str">
        <f>SUBSTITUTE(SUBSTITUTE(SUBSTITUTE(SUBSTITUTE(SUBSTITUTE(SUBSTITUTE(SUBSTITUTE(SUBSTITUTE(SUBSTITUTE(SUBSTITUTE(SUBSTITUTE(SUBSTITUTE(SUBSTITUTE(경동전체1!K389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9" s="30">
        <f>경동전체1!E389</f>
        <v>0</v>
      </c>
      <c r="D389" s="23"/>
      <c r="E389" s="23"/>
      <c r="F389" s="4">
        <f>경동전체1!J389</f>
        <v>0</v>
      </c>
      <c r="G389" s="23"/>
      <c r="H389" s="2">
        <f>경동전체1!H389</f>
        <v>0</v>
      </c>
      <c r="I389" s="2" t="str">
        <f>경동전체1!I389&amp;""</f>
        <v/>
      </c>
      <c r="J389" s="2" t="s">
        <v>36</v>
      </c>
      <c r="K389" s="2" t="str">
        <f>IF(LEFT(경동전체1!G389,1)="","따사룸",경동전체1!G389)</f>
        <v>따사룸</v>
      </c>
      <c r="L389" s="4" t="str">
        <f t="shared" si="24"/>
        <v>1</v>
      </c>
      <c r="M389" s="1" t="str">
        <f>IF(LEFT(경동전체1!D389,1)="2","비닐",IF(LEFT(경동전체1!O389,1)="박","박스","비닐"))</f>
        <v>비닐</v>
      </c>
      <c r="N389" s="25">
        <v>1</v>
      </c>
      <c r="O389" s="25">
        <v>1</v>
      </c>
      <c r="P389" s="25">
        <v>1</v>
      </c>
      <c r="Q389" s="25">
        <v>1</v>
      </c>
      <c r="R389" s="1" t="str">
        <f t="shared" si="25"/>
        <v>50</v>
      </c>
      <c r="S389" s="1">
        <f>경동전체1!B389</f>
        <v>0</v>
      </c>
      <c r="T389" s="1" t="str">
        <f t="shared" si="26"/>
        <v>100</v>
      </c>
      <c r="U389" s="5" t="str">
        <f t="shared" si="27"/>
        <v>0</v>
      </c>
      <c r="V389" s="26">
        <v>0</v>
      </c>
      <c r="W389" s="26">
        <v>0</v>
      </c>
      <c r="X389" s="2" t="str">
        <f>SUBSTITUTE(SUBSTITUTE(SUBSTITUTE(SUBSTITUTE(SUBSTITUTE(SUBSTITUTE(SUBSTITUTE(SUBSTITUTE(SUBSTITUTE(SUBSTITUTE(SUBSTITUTE(SUBSTITUTE(SUBSTITUTE(경동전체1!D389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0" spans="1:24" ht="20.25" customHeight="1" x14ac:dyDescent="0.3">
      <c r="A390" s="2">
        <f>경동전체1!A390</f>
        <v>0</v>
      </c>
      <c r="B390" s="13" t="str">
        <f>SUBSTITUTE(SUBSTITUTE(SUBSTITUTE(SUBSTITUTE(SUBSTITUTE(SUBSTITUTE(SUBSTITUTE(SUBSTITUTE(SUBSTITUTE(SUBSTITUTE(SUBSTITUTE(SUBSTITUTE(SUBSTITUTE(경동전체1!K390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0" s="30">
        <f>경동전체1!E390</f>
        <v>0</v>
      </c>
      <c r="D390" s="23"/>
      <c r="E390" s="23"/>
      <c r="F390" s="4">
        <f>경동전체1!J390</f>
        <v>0</v>
      </c>
      <c r="G390" s="23"/>
      <c r="H390" s="2">
        <f>경동전체1!H390</f>
        <v>0</v>
      </c>
      <c r="I390" s="2" t="str">
        <f>경동전체1!I390&amp;""</f>
        <v/>
      </c>
      <c r="J390" s="2" t="s">
        <v>36</v>
      </c>
      <c r="K390" s="2" t="str">
        <f>IF(LEFT(경동전체1!G390,1)="","따사룸",경동전체1!G390)</f>
        <v>따사룸</v>
      </c>
      <c r="L390" s="4" t="str">
        <f t="shared" si="24"/>
        <v>1</v>
      </c>
      <c r="M390" s="1" t="str">
        <f>IF(LEFT(경동전체1!D390,1)="2","비닐",IF(LEFT(경동전체1!O390,1)="박","박스","비닐"))</f>
        <v>비닐</v>
      </c>
      <c r="N390" s="25">
        <v>1</v>
      </c>
      <c r="O390" s="25">
        <v>1</v>
      </c>
      <c r="P390" s="25">
        <v>1</v>
      </c>
      <c r="Q390" s="25">
        <v>1</v>
      </c>
      <c r="R390" s="1" t="str">
        <f t="shared" si="25"/>
        <v>50</v>
      </c>
      <c r="S390" s="1">
        <f>경동전체1!B390</f>
        <v>0</v>
      </c>
      <c r="T390" s="1" t="str">
        <f t="shared" si="26"/>
        <v>100</v>
      </c>
      <c r="U390" s="5" t="str">
        <f t="shared" si="27"/>
        <v>0</v>
      </c>
      <c r="V390" s="26">
        <v>0</v>
      </c>
      <c r="W390" s="26">
        <v>0</v>
      </c>
      <c r="X390" s="2" t="str">
        <f>SUBSTITUTE(SUBSTITUTE(SUBSTITUTE(SUBSTITUTE(SUBSTITUTE(SUBSTITUTE(SUBSTITUTE(SUBSTITUTE(SUBSTITUTE(SUBSTITUTE(SUBSTITUTE(SUBSTITUTE(SUBSTITUTE(경동전체1!D390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1" spans="1:24" ht="20.25" customHeight="1" x14ac:dyDescent="0.3">
      <c r="A391" s="2">
        <f>경동전체1!A391</f>
        <v>0</v>
      </c>
      <c r="B391" s="13" t="str">
        <f>SUBSTITUTE(SUBSTITUTE(SUBSTITUTE(SUBSTITUTE(SUBSTITUTE(SUBSTITUTE(SUBSTITUTE(SUBSTITUTE(SUBSTITUTE(SUBSTITUTE(SUBSTITUTE(SUBSTITUTE(SUBSTITUTE(경동전체1!K391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1" s="30">
        <f>경동전체1!E391</f>
        <v>0</v>
      </c>
      <c r="D391" s="23"/>
      <c r="E391" s="23"/>
      <c r="F391" s="4">
        <f>경동전체1!J391</f>
        <v>0</v>
      </c>
      <c r="G391" s="23"/>
      <c r="H391" s="2">
        <f>경동전체1!H391</f>
        <v>0</v>
      </c>
      <c r="I391" s="2" t="str">
        <f>경동전체1!I391&amp;""</f>
        <v/>
      </c>
      <c r="J391" s="2" t="s">
        <v>36</v>
      </c>
      <c r="K391" s="2" t="str">
        <f>IF(LEFT(경동전체1!G391,1)="","따사룸",경동전체1!G391)</f>
        <v>따사룸</v>
      </c>
      <c r="L391" s="4" t="str">
        <f t="shared" si="24"/>
        <v>1</v>
      </c>
      <c r="M391" s="1" t="str">
        <f>IF(LEFT(경동전체1!D391,1)="2","비닐",IF(LEFT(경동전체1!O391,1)="박","박스","비닐"))</f>
        <v>비닐</v>
      </c>
      <c r="N391" s="25">
        <v>1</v>
      </c>
      <c r="O391" s="25">
        <v>1</v>
      </c>
      <c r="P391" s="25">
        <v>1</v>
      </c>
      <c r="Q391" s="25">
        <v>1</v>
      </c>
      <c r="R391" s="1" t="str">
        <f t="shared" si="25"/>
        <v>50</v>
      </c>
      <c r="S391" s="1">
        <f>경동전체1!B391</f>
        <v>0</v>
      </c>
      <c r="T391" s="1" t="str">
        <f t="shared" si="26"/>
        <v>100</v>
      </c>
      <c r="U391" s="5" t="str">
        <f t="shared" si="27"/>
        <v>0</v>
      </c>
      <c r="V391" s="26">
        <v>0</v>
      </c>
      <c r="W391" s="26">
        <v>0</v>
      </c>
      <c r="X391" s="2" t="str">
        <f>SUBSTITUTE(SUBSTITUTE(SUBSTITUTE(SUBSTITUTE(SUBSTITUTE(SUBSTITUTE(SUBSTITUTE(SUBSTITUTE(SUBSTITUTE(SUBSTITUTE(SUBSTITUTE(SUBSTITUTE(SUBSTITUTE(경동전체1!D391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2" spans="1:24" ht="20.25" customHeight="1" x14ac:dyDescent="0.3">
      <c r="A392" s="2">
        <f>경동전체1!A392</f>
        <v>0</v>
      </c>
      <c r="B392" s="13" t="str">
        <f>SUBSTITUTE(SUBSTITUTE(SUBSTITUTE(SUBSTITUTE(SUBSTITUTE(SUBSTITUTE(SUBSTITUTE(SUBSTITUTE(SUBSTITUTE(SUBSTITUTE(SUBSTITUTE(SUBSTITUTE(SUBSTITUTE(경동전체1!K392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2" s="30">
        <f>경동전체1!E392</f>
        <v>0</v>
      </c>
      <c r="D392" s="23"/>
      <c r="E392" s="23"/>
      <c r="F392" s="4">
        <f>경동전체1!J392</f>
        <v>0</v>
      </c>
      <c r="G392" s="23"/>
      <c r="H392" s="2">
        <f>경동전체1!H392</f>
        <v>0</v>
      </c>
      <c r="I392" s="2" t="str">
        <f>경동전체1!I392&amp;""</f>
        <v/>
      </c>
      <c r="J392" s="2" t="s">
        <v>36</v>
      </c>
      <c r="K392" s="2" t="str">
        <f>IF(LEFT(경동전체1!G392,1)="","따사룸",경동전체1!G392)</f>
        <v>따사룸</v>
      </c>
      <c r="L392" s="4" t="str">
        <f t="shared" si="24"/>
        <v>1</v>
      </c>
      <c r="M392" s="1" t="str">
        <f>IF(LEFT(경동전체1!D392,1)="2","비닐",IF(LEFT(경동전체1!O392,1)="박","박스","비닐"))</f>
        <v>비닐</v>
      </c>
      <c r="N392" s="25">
        <v>1</v>
      </c>
      <c r="O392" s="25">
        <v>1</v>
      </c>
      <c r="P392" s="25">
        <v>1</v>
      </c>
      <c r="Q392" s="25">
        <v>1</v>
      </c>
      <c r="R392" s="1" t="str">
        <f t="shared" si="25"/>
        <v>50</v>
      </c>
      <c r="S392" s="1">
        <f>경동전체1!B392</f>
        <v>0</v>
      </c>
      <c r="T392" s="1" t="str">
        <f t="shared" si="26"/>
        <v>100</v>
      </c>
      <c r="U392" s="5" t="str">
        <f t="shared" si="27"/>
        <v>0</v>
      </c>
      <c r="V392" s="26">
        <v>0</v>
      </c>
      <c r="W392" s="26">
        <v>0</v>
      </c>
      <c r="X392" s="2" t="str">
        <f>SUBSTITUTE(SUBSTITUTE(SUBSTITUTE(SUBSTITUTE(SUBSTITUTE(SUBSTITUTE(SUBSTITUTE(SUBSTITUTE(SUBSTITUTE(SUBSTITUTE(SUBSTITUTE(SUBSTITUTE(SUBSTITUTE(경동전체1!D392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3" spans="1:24" ht="20.25" customHeight="1" x14ac:dyDescent="0.3">
      <c r="A393" s="2">
        <f>경동전체1!A393</f>
        <v>0</v>
      </c>
      <c r="B393" s="13" t="str">
        <f>SUBSTITUTE(SUBSTITUTE(SUBSTITUTE(SUBSTITUTE(SUBSTITUTE(SUBSTITUTE(SUBSTITUTE(SUBSTITUTE(SUBSTITUTE(SUBSTITUTE(SUBSTITUTE(SUBSTITUTE(SUBSTITUTE(경동전체1!K393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3" s="30">
        <f>경동전체1!E393</f>
        <v>0</v>
      </c>
      <c r="D393" s="23"/>
      <c r="E393" s="23"/>
      <c r="F393" s="4">
        <f>경동전체1!J393</f>
        <v>0</v>
      </c>
      <c r="G393" s="23"/>
      <c r="H393" s="2">
        <f>경동전체1!H393</f>
        <v>0</v>
      </c>
      <c r="I393" s="2" t="str">
        <f>경동전체1!I393&amp;""</f>
        <v/>
      </c>
      <c r="J393" s="2" t="s">
        <v>36</v>
      </c>
      <c r="K393" s="2" t="str">
        <f>IF(LEFT(경동전체1!G393,1)="","따사룸",경동전체1!G393)</f>
        <v>따사룸</v>
      </c>
      <c r="L393" s="4" t="str">
        <f t="shared" si="24"/>
        <v>1</v>
      </c>
      <c r="M393" s="1" t="str">
        <f>IF(LEFT(경동전체1!D393,1)="2","비닐",IF(LEFT(경동전체1!O393,1)="박","박스","비닐"))</f>
        <v>비닐</v>
      </c>
      <c r="N393" s="25">
        <v>1</v>
      </c>
      <c r="O393" s="25">
        <v>1</v>
      </c>
      <c r="P393" s="25">
        <v>1</v>
      </c>
      <c r="Q393" s="25">
        <v>1</v>
      </c>
      <c r="R393" s="1" t="str">
        <f t="shared" si="25"/>
        <v>50</v>
      </c>
      <c r="S393" s="1">
        <f>경동전체1!B393</f>
        <v>0</v>
      </c>
      <c r="T393" s="1" t="str">
        <f t="shared" si="26"/>
        <v>100</v>
      </c>
      <c r="U393" s="5" t="str">
        <f t="shared" si="27"/>
        <v>0</v>
      </c>
      <c r="V393" s="26">
        <v>0</v>
      </c>
      <c r="W393" s="26">
        <v>0</v>
      </c>
      <c r="X393" s="2" t="str">
        <f>SUBSTITUTE(SUBSTITUTE(SUBSTITUTE(SUBSTITUTE(SUBSTITUTE(SUBSTITUTE(SUBSTITUTE(SUBSTITUTE(SUBSTITUTE(SUBSTITUTE(SUBSTITUTE(SUBSTITUTE(SUBSTITUTE(경동전체1!D393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4" spans="1:24" ht="20.25" customHeight="1" x14ac:dyDescent="0.3">
      <c r="A394" s="2">
        <f>경동전체1!A394</f>
        <v>0</v>
      </c>
      <c r="B394" s="13" t="str">
        <f>SUBSTITUTE(SUBSTITUTE(SUBSTITUTE(SUBSTITUTE(SUBSTITUTE(SUBSTITUTE(SUBSTITUTE(SUBSTITUTE(SUBSTITUTE(SUBSTITUTE(SUBSTITUTE(SUBSTITUTE(SUBSTITUTE(경동전체1!K394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4" s="30">
        <f>경동전체1!E394</f>
        <v>0</v>
      </c>
      <c r="D394" s="23"/>
      <c r="E394" s="23"/>
      <c r="F394" s="4">
        <f>경동전체1!J394</f>
        <v>0</v>
      </c>
      <c r="G394" s="23"/>
      <c r="H394" s="2">
        <f>경동전체1!H394</f>
        <v>0</v>
      </c>
      <c r="I394" s="2" t="str">
        <f>경동전체1!I394&amp;""</f>
        <v/>
      </c>
      <c r="J394" s="2" t="s">
        <v>36</v>
      </c>
      <c r="K394" s="2" t="str">
        <f>IF(LEFT(경동전체1!G394,1)="","따사룸",경동전체1!G394)</f>
        <v>따사룸</v>
      </c>
      <c r="L394" s="4" t="str">
        <f t="shared" si="24"/>
        <v>1</v>
      </c>
      <c r="M394" s="1" t="str">
        <f>IF(LEFT(경동전체1!D394,1)="2","비닐",IF(LEFT(경동전체1!O394,1)="박","박스","비닐"))</f>
        <v>비닐</v>
      </c>
      <c r="N394" s="25">
        <v>1</v>
      </c>
      <c r="O394" s="25">
        <v>1</v>
      </c>
      <c r="P394" s="25">
        <v>1</v>
      </c>
      <c r="Q394" s="25">
        <v>1</v>
      </c>
      <c r="R394" s="1" t="str">
        <f t="shared" si="25"/>
        <v>50</v>
      </c>
      <c r="S394" s="1">
        <f>경동전체1!B394</f>
        <v>0</v>
      </c>
      <c r="T394" s="1" t="str">
        <f t="shared" si="26"/>
        <v>100</v>
      </c>
      <c r="U394" s="5" t="str">
        <f t="shared" si="27"/>
        <v>0</v>
      </c>
      <c r="V394" s="26">
        <v>0</v>
      </c>
      <c r="W394" s="26">
        <v>0</v>
      </c>
      <c r="X394" s="2" t="str">
        <f>SUBSTITUTE(SUBSTITUTE(SUBSTITUTE(SUBSTITUTE(SUBSTITUTE(SUBSTITUTE(SUBSTITUTE(SUBSTITUTE(SUBSTITUTE(SUBSTITUTE(SUBSTITUTE(SUBSTITUTE(SUBSTITUTE(경동전체1!D394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5" spans="1:24" ht="20.25" customHeight="1" x14ac:dyDescent="0.3">
      <c r="A395" s="2">
        <f>경동전체1!A395</f>
        <v>0</v>
      </c>
      <c r="B395" s="13" t="str">
        <f>SUBSTITUTE(SUBSTITUTE(SUBSTITUTE(SUBSTITUTE(SUBSTITUTE(SUBSTITUTE(SUBSTITUTE(SUBSTITUTE(SUBSTITUTE(SUBSTITUTE(SUBSTITUTE(SUBSTITUTE(SUBSTITUTE(경동전체1!K395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5" s="30">
        <f>경동전체1!E395</f>
        <v>0</v>
      </c>
      <c r="D395" s="23"/>
      <c r="E395" s="23"/>
      <c r="F395" s="4">
        <f>경동전체1!J395</f>
        <v>0</v>
      </c>
      <c r="G395" s="23"/>
      <c r="H395" s="2">
        <f>경동전체1!H395</f>
        <v>0</v>
      </c>
      <c r="I395" s="2" t="str">
        <f>경동전체1!I395&amp;""</f>
        <v/>
      </c>
      <c r="J395" s="2" t="s">
        <v>36</v>
      </c>
      <c r="K395" s="2" t="str">
        <f>IF(LEFT(경동전체1!G395,1)="","따사룸",경동전체1!G395)</f>
        <v>따사룸</v>
      </c>
      <c r="L395" s="4" t="str">
        <f t="shared" si="24"/>
        <v>1</v>
      </c>
      <c r="M395" s="1" t="str">
        <f>IF(LEFT(경동전체1!D395,1)="2","비닐",IF(LEFT(경동전체1!O395,1)="박","박스","비닐"))</f>
        <v>비닐</v>
      </c>
      <c r="N395" s="25">
        <v>1</v>
      </c>
      <c r="O395" s="25">
        <v>1</v>
      </c>
      <c r="P395" s="25">
        <v>1</v>
      </c>
      <c r="Q395" s="25">
        <v>1</v>
      </c>
      <c r="R395" s="1" t="str">
        <f t="shared" si="25"/>
        <v>50</v>
      </c>
      <c r="S395" s="1">
        <f>경동전체1!B395</f>
        <v>0</v>
      </c>
      <c r="T395" s="1" t="str">
        <f t="shared" si="26"/>
        <v>100</v>
      </c>
      <c r="U395" s="5" t="str">
        <f t="shared" si="27"/>
        <v>0</v>
      </c>
      <c r="V395" s="26">
        <v>0</v>
      </c>
      <c r="W395" s="26">
        <v>0</v>
      </c>
      <c r="X395" s="2" t="str">
        <f>SUBSTITUTE(SUBSTITUTE(SUBSTITUTE(SUBSTITUTE(SUBSTITUTE(SUBSTITUTE(SUBSTITUTE(SUBSTITUTE(SUBSTITUTE(SUBSTITUTE(SUBSTITUTE(SUBSTITUTE(SUBSTITUTE(경동전체1!D395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6" spans="1:24" ht="20.25" customHeight="1" x14ac:dyDescent="0.3">
      <c r="A396" s="2">
        <f>경동전체1!A396</f>
        <v>0</v>
      </c>
      <c r="B396" s="13" t="str">
        <f>SUBSTITUTE(SUBSTITUTE(SUBSTITUTE(SUBSTITUTE(SUBSTITUTE(SUBSTITUTE(SUBSTITUTE(SUBSTITUTE(SUBSTITUTE(SUBSTITUTE(SUBSTITUTE(SUBSTITUTE(SUBSTITUTE(경동전체1!K396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6" s="30">
        <f>경동전체1!E396</f>
        <v>0</v>
      </c>
      <c r="D396" s="23"/>
      <c r="E396" s="23"/>
      <c r="F396" s="4">
        <f>경동전체1!J396</f>
        <v>0</v>
      </c>
      <c r="G396" s="23"/>
      <c r="H396" s="2">
        <f>경동전체1!H396</f>
        <v>0</v>
      </c>
      <c r="I396" s="2" t="str">
        <f>경동전체1!I396&amp;""</f>
        <v/>
      </c>
      <c r="J396" s="2" t="s">
        <v>36</v>
      </c>
      <c r="K396" s="2" t="str">
        <f>IF(LEFT(경동전체1!G396,1)="","따사룸",경동전체1!G396)</f>
        <v>따사룸</v>
      </c>
      <c r="L396" s="4" t="str">
        <f t="shared" si="24"/>
        <v>1</v>
      </c>
      <c r="M396" s="1" t="str">
        <f>IF(LEFT(경동전체1!D396,1)="2","비닐",IF(LEFT(경동전체1!O396,1)="박","박스","비닐"))</f>
        <v>비닐</v>
      </c>
      <c r="N396" s="25">
        <v>1</v>
      </c>
      <c r="O396" s="25">
        <v>1</v>
      </c>
      <c r="P396" s="25">
        <v>1</v>
      </c>
      <c r="Q396" s="25">
        <v>1</v>
      </c>
      <c r="R396" s="1" t="str">
        <f t="shared" si="25"/>
        <v>50</v>
      </c>
      <c r="S396" s="1">
        <f>경동전체1!B396</f>
        <v>0</v>
      </c>
      <c r="T396" s="1" t="str">
        <f t="shared" si="26"/>
        <v>100</v>
      </c>
      <c r="U396" s="5" t="str">
        <f t="shared" si="27"/>
        <v>0</v>
      </c>
      <c r="V396" s="26">
        <v>0</v>
      </c>
      <c r="W396" s="26">
        <v>0</v>
      </c>
      <c r="X396" s="2" t="str">
        <f>SUBSTITUTE(SUBSTITUTE(SUBSTITUTE(SUBSTITUTE(SUBSTITUTE(SUBSTITUTE(SUBSTITUTE(SUBSTITUTE(SUBSTITUTE(SUBSTITUTE(SUBSTITUTE(SUBSTITUTE(SUBSTITUTE(경동전체1!D396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7" spans="1:24" ht="20.25" customHeight="1" x14ac:dyDescent="0.3">
      <c r="A397" s="2">
        <f>경동전체1!A397</f>
        <v>0</v>
      </c>
      <c r="B397" s="13" t="str">
        <f>SUBSTITUTE(SUBSTITUTE(SUBSTITUTE(SUBSTITUTE(SUBSTITUTE(SUBSTITUTE(SUBSTITUTE(SUBSTITUTE(SUBSTITUTE(SUBSTITUTE(SUBSTITUTE(SUBSTITUTE(SUBSTITUTE(경동전체1!K397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7" s="30">
        <f>경동전체1!E397</f>
        <v>0</v>
      </c>
      <c r="D397" s="23"/>
      <c r="E397" s="23"/>
      <c r="F397" s="4">
        <f>경동전체1!J397</f>
        <v>0</v>
      </c>
      <c r="G397" s="23"/>
      <c r="H397" s="2">
        <f>경동전체1!H397</f>
        <v>0</v>
      </c>
      <c r="I397" s="2" t="str">
        <f>경동전체1!I397&amp;""</f>
        <v/>
      </c>
      <c r="J397" s="2" t="s">
        <v>36</v>
      </c>
      <c r="K397" s="2" t="str">
        <f>IF(LEFT(경동전체1!G397,1)="","따사룸",경동전체1!G397)</f>
        <v>따사룸</v>
      </c>
      <c r="L397" s="4" t="str">
        <f t="shared" si="24"/>
        <v>1</v>
      </c>
      <c r="M397" s="1" t="str">
        <f>IF(LEFT(경동전체1!D397,1)="2","비닐",IF(LEFT(경동전체1!O397,1)="박","박스","비닐"))</f>
        <v>비닐</v>
      </c>
      <c r="N397" s="25">
        <v>1</v>
      </c>
      <c r="O397" s="25">
        <v>1</v>
      </c>
      <c r="P397" s="25">
        <v>1</v>
      </c>
      <c r="Q397" s="25">
        <v>1</v>
      </c>
      <c r="R397" s="1" t="str">
        <f t="shared" si="25"/>
        <v>50</v>
      </c>
      <c r="S397" s="1">
        <f>경동전체1!B397</f>
        <v>0</v>
      </c>
      <c r="T397" s="1" t="str">
        <f t="shared" si="26"/>
        <v>100</v>
      </c>
      <c r="U397" s="5" t="str">
        <f t="shared" si="27"/>
        <v>0</v>
      </c>
      <c r="V397" s="26">
        <v>0</v>
      </c>
      <c r="W397" s="26">
        <v>0</v>
      </c>
      <c r="X397" s="2" t="str">
        <f>SUBSTITUTE(SUBSTITUTE(SUBSTITUTE(SUBSTITUTE(SUBSTITUTE(SUBSTITUTE(SUBSTITUTE(SUBSTITUTE(SUBSTITUTE(SUBSTITUTE(SUBSTITUTE(SUBSTITUTE(SUBSTITUTE(경동전체1!D397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8" spans="1:24" ht="20.25" customHeight="1" x14ac:dyDescent="0.3">
      <c r="A398" s="2">
        <f>경동전체1!A398</f>
        <v>0</v>
      </c>
      <c r="B398" s="13" t="str">
        <f>SUBSTITUTE(SUBSTITUTE(SUBSTITUTE(SUBSTITUTE(SUBSTITUTE(SUBSTITUTE(SUBSTITUTE(SUBSTITUTE(SUBSTITUTE(SUBSTITUTE(SUBSTITUTE(SUBSTITUTE(SUBSTITUTE(경동전체1!K398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8" s="30">
        <f>경동전체1!E398</f>
        <v>0</v>
      </c>
      <c r="D398" s="23"/>
      <c r="E398" s="23"/>
      <c r="F398" s="4">
        <f>경동전체1!J398</f>
        <v>0</v>
      </c>
      <c r="G398" s="23"/>
      <c r="H398" s="2">
        <f>경동전체1!H398</f>
        <v>0</v>
      </c>
      <c r="I398" s="2" t="str">
        <f>경동전체1!I398&amp;""</f>
        <v/>
      </c>
      <c r="J398" s="2" t="s">
        <v>36</v>
      </c>
      <c r="K398" s="2" t="str">
        <f>IF(LEFT(경동전체1!G398,1)="","따사룸",경동전체1!G398)</f>
        <v>따사룸</v>
      </c>
      <c r="L398" s="4" t="str">
        <f t="shared" si="24"/>
        <v>1</v>
      </c>
      <c r="M398" s="1" t="str">
        <f>IF(LEFT(경동전체1!D398,1)="2","비닐",IF(LEFT(경동전체1!O398,1)="박","박스","비닐"))</f>
        <v>비닐</v>
      </c>
      <c r="N398" s="25">
        <v>1</v>
      </c>
      <c r="O398" s="25">
        <v>1</v>
      </c>
      <c r="P398" s="25">
        <v>1</v>
      </c>
      <c r="Q398" s="25">
        <v>1</v>
      </c>
      <c r="R398" s="1" t="str">
        <f t="shared" si="25"/>
        <v>50</v>
      </c>
      <c r="S398" s="1">
        <f>경동전체1!B398</f>
        <v>0</v>
      </c>
      <c r="T398" s="1" t="str">
        <f t="shared" si="26"/>
        <v>100</v>
      </c>
      <c r="U398" s="5" t="str">
        <f t="shared" si="27"/>
        <v>0</v>
      </c>
      <c r="V398" s="26">
        <v>0</v>
      </c>
      <c r="W398" s="26">
        <v>0</v>
      </c>
      <c r="X398" s="2" t="str">
        <f>SUBSTITUTE(SUBSTITUTE(SUBSTITUTE(SUBSTITUTE(SUBSTITUTE(SUBSTITUTE(SUBSTITUTE(SUBSTITUTE(SUBSTITUTE(SUBSTITUTE(SUBSTITUTE(SUBSTITUTE(SUBSTITUTE(경동전체1!D398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9" spans="1:24" ht="20.25" customHeight="1" x14ac:dyDescent="0.3">
      <c r="A399" s="2">
        <f>경동전체1!A399</f>
        <v>0</v>
      </c>
      <c r="B399" s="13" t="str">
        <f>SUBSTITUTE(SUBSTITUTE(SUBSTITUTE(SUBSTITUTE(SUBSTITUTE(SUBSTITUTE(SUBSTITUTE(SUBSTITUTE(SUBSTITUTE(SUBSTITUTE(SUBSTITUTE(SUBSTITUTE(SUBSTITUTE(경동전체1!K399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9" s="30">
        <f>경동전체1!E399</f>
        <v>0</v>
      </c>
      <c r="D399" s="23"/>
      <c r="E399" s="23"/>
      <c r="F399" s="4">
        <f>경동전체1!J399</f>
        <v>0</v>
      </c>
      <c r="G399" s="23"/>
      <c r="H399" s="2">
        <f>경동전체1!H399</f>
        <v>0</v>
      </c>
      <c r="I399" s="2" t="str">
        <f>경동전체1!I399&amp;""</f>
        <v/>
      </c>
      <c r="J399" s="2" t="s">
        <v>36</v>
      </c>
      <c r="K399" s="2" t="str">
        <f>IF(LEFT(경동전체1!G399,1)="","따사룸",경동전체1!G399)</f>
        <v>따사룸</v>
      </c>
      <c r="L399" s="4" t="str">
        <f t="shared" si="24"/>
        <v>1</v>
      </c>
      <c r="M399" s="1" t="str">
        <f>IF(LEFT(경동전체1!D399,1)="2","비닐",IF(LEFT(경동전체1!O399,1)="박","박스","비닐"))</f>
        <v>비닐</v>
      </c>
      <c r="N399" s="25">
        <v>1</v>
      </c>
      <c r="O399" s="25">
        <v>1</v>
      </c>
      <c r="P399" s="25">
        <v>1</v>
      </c>
      <c r="Q399" s="25">
        <v>1</v>
      </c>
      <c r="R399" s="1" t="str">
        <f t="shared" si="25"/>
        <v>50</v>
      </c>
      <c r="S399" s="1">
        <f>경동전체1!B399</f>
        <v>0</v>
      </c>
      <c r="T399" s="1" t="str">
        <f t="shared" si="26"/>
        <v>100</v>
      </c>
      <c r="U399" s="5" t="str">
        <f t="shared" si="27"/>
        <v>0</v>
      </c>
      <c r="V399" s="26">
        <v>0</v>
      </c>
      <c r="W399" s="26">
        <v>0</v>
      </c>
      <c r="X399" s="2" t="str">
        <f>SUBSTITUTE(SUBSTITUTE(SUBSTITUTE(SUBSTITUTE(SUBSTITUTE(SUBSTITUTE(SUBSTITUTE(SUBSTITUTE(SUBSTITUTE(SUBSTITUTE(SUBSTITUTE(SUBSTITUTE(SUBSTITUTE(경동전체1!D399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0" spans="1:24" ht="20.25" customHeight="1" x14ac:dyDescent="0.3">
      <c r="A400" s="2">
        <f>경동전체1!A400</f>
        <v>0</v>
      </c>
      <c r="B400" s="13" t="str">
        <f>SUBSTITUTE(SUBSTITUTE(SUBSTITUTE(SUBSTITUTE(SUBSTITUTE(SUBSTITUTE(SUBSTITUTE(SUBSTITUTE(SUBSTITUTE(SUBSTITUTE(SUBSTITUTE(SUBSTITUTE(SUBSTITUTE(경동전체1!K400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0" s="30">
        <f>경동전체1!E400</f>
        <v>0</v>
      </c>
      <c r="D400" s="23"/>
      <c r="E400" s="23"/>
      <c r="F400" s="4">
        <f>경동전체1!J400</f>
        <v>0</v>
      </c>
      <c r="G400" s="23"/>
      <c r="H400" s="2">
        <f>경동전체1!H400</f>
        <v>0</v>
      </c>
      <c r="I400" s="2" t="str">
        <f>경동전체1!I400&amp;""</f>
        <v/>
      </c>
      <c r="J400" s="2" t="s">
        <v>36</v>
      </c>
      <c r="K400" s="2" t="str">
        <f>IF(LEFT(경동전체1!G400,1)="","따사룸",경동전체1!G400)</f>
        <v>따사룸</v>
      </c>
      <c r="L400" s="4" t="str">
        <f t="shared" si="24"/>
        <v>1</v>
      </c>
      <c r="M400" s="1" t="str">
        <f>IF(LEFT(경동전체1!D400,1)="2","비닐",IF(LEFT(경동전체1!O400,1)="박","박스","비닐"))</f>
        <v>비닐</v>
      </c>
      <c r="N400" s="25">
        <v>1</v>
      </c>
      <c r="O400" s="25">
        <v>1</v>
      </c>
      <c r="P400" s="25">
        <v>1</v>
      </c>
      <c r="Q400" s="25">
        <v>1</v>
      </c>
      <c r="R400" s="1" t="str">
        <f t="shared" si="25"/>
        <v>50</v>
      </c>
      <c r="S400" s="1">
        <f>경동전체1!B400</f>
        <v>0</v>
      </c>
      <c r="T400" s="1" t="str">
        <f t="shared" si="26"/>
        <v>100</v>
      </c>
      <c r="U400" s="5" t="str">
        <f t="shared" si="27"/>
        <v>0</v>
      </c>
      <c r="V400" s="26">
        <v>0</v>
      </c>
      <c r="W400" s="26">
        <v>0</v>
      </c>
      <c r="X400" s="2" t="str">
        <f>SUBSTITUTE(SUBSTITUTE(SUBSTITUTE(SUBSTITUTE(SUBSTITUTE(SUBSTITUTE(SUBSTITUTE(SUBSTITUTE(SUBSTITUTE(SUBSTITUTE(SUBSTITUTE(SUBSTITUTE(SUBSTITUTE(경동전체1!D400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1" spans="1:24" ht="20.25" customHeight="1" x14ac:dyDescent="0.3">
      <c r="A401" s="2">
        <f>경동전체1!A401</f>
        <v>0</v>
      </c>
      <c r="B401" s="13" t="str">
        <f>SUBSTITUTE(SUBSTITUTE(SUBSTITUTE(SUBSTITUTE(SUBSTITUTE(SUBSTITUTE(SUBSTITUTE(SUBSTITUTE(SUBSTITUTE(SUBSTITUTE(SUBSTITUTE(SUBSTITUTE(SUBSTITUTE(경동전체1!K401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1" s="30">
        <f>경동전체1!E401</f>
        <v>0</v>
      </c>
      <c r="D401" s="23"/>
      <c r="E401" s="23"/>
      <c r="F401" s="4">
        <f>경동전체1!J401</f>
        <v>0</v>
      </c>
      <c r="G401" s="23"/>
      <c r="H401" s="2">
        <f>경동전체1!H401</f>
        <v>0</v>
      </c>
      <c r="I401" s="2" t="str">
        <f>경동전체1!I401&amp;""</f>
        <v/>
      </c>
      <c r="J401" s="2" t="s">
        <v>36</v>
      </c>
      <c r="K401" s="2" t="str">
        <f>IF(LEFT(경동전체1!G401,1)="","따사룸",경동전체1!G401)</f>
        <v>따사룸</v>
      </c>
      <c r="L401" s="4" t="str">
        <f t="shared" si="24"/>
        <v>1</v>
      </c>
      <c r="M401" s="1" t="str">
        <f>IF(LEFT(경동전체1!D401,1)="2","비닐",IF(LEFT(경동전체1!O401,1)="박","박스","비닐"))</f>
        <v>비닐</v>
      </c>
      <c r="N401" s="25">
        <v>1</v>
      </c>
      <c r="O401" s="25">
        <v>1</v>
      </c>
      <c r="P401" s="25">
        <v>1</v>
      </c>
      <c r="Q401" s="25">
        <v>1</v>
      </c>
      <c r="R401" s="1" t="str">
        <f t="shared" si="25"/>
        <v>50</v>
      </c>
      <c r="S401" s="1">
        <f>경동전체1!B401</f>
        <v>0</v>
      </c>
      <c r="T401" s="1" t="str">
        <f t="shared" si="26"/>
        <v>100</v>
      </c>
      <c r="U401" s="5" t="str">
        <f t="shared" si="27"/>
        <v>0</v>
      </c>
      <c r="V401" s="26">
        <v>0</v>
      </c>
      <c r="W401" s="26">
        <v>0</v>
      </c>
      <c r="X401" s="2" t="str">
        <f>SUBSTITUTE(SUBSTITUTE(SUBSTITUTE(SUBSTITUTE(SUBSTITUTE(SUBSTITUTE(SUBSTITUTE(SUBSTITUTE(SUBSTITUTE(SUBSTITUTE(SUBSTITUTE(SUBSTITUTE(SUBSTITUTE(경동전체1!D401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2" spans="1:24" ht="20.25" customHeight="1" x14ac:dyDescent="0.3">
      <c r="A402" s="2">
        <f>경동전체1!A402</f>
        <v>0</v>
      </c>
      <c r="B402" s="13" t="str">
        <f>SUBSTITUTE(SUBSTITUTE(SUBSTITUTE(SUBSTITUTE(SUBSTITUTE(SUBSTITUTE(SUBSTITUTE(SUBSTITUTE(SUBSTITUTE(SUBSTITUTE(SUBSTITUTE(SUBSTITUTE(SUBSTITUTE(경동전체1!K402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2" s="30">
        <f>경동전체1!E402</f>
        <v>0</v>
      </c>
      <c r="D402" s="23"/>
      <c r="E402" s="23"/>
      <c r="F402" s="4">
        <f>경동전체1!J402</f>
        <v>0</v>
      </c>
      <c r="G402" s="23"/>
      <c r="H402" s="2">
        <f>경동전체1!H402</f>
        <v>0</v>
      </c>
      <c r="I402" s="2" t="str">
        <f>경동전체1!I402&amp;""</f>
        <v/>
      </c>
      <c r="J402" s="2" t="s">
        <v>36</v>
      </c>
      <c r="K402" s="2" t="str">
        <f>IF(LEFT(경동전체1!G402,1)="","따사룸",경동전체1!G402)</f>
        <v>따사룸</v>
      </c>
      <c r="L402" s="4" t="str">
        <f t="shared" si="24"/>
        <v>1</v>
      </c>
      <c r="M402" s="1" t="str">
        <f>IF(LEFT(경동전체1!D402,1)="2","비닐",IF(LEFT(경동전체1!O402,1)="박","박스","비닐"))</f>
        <v>비닐</v>
      </c>
      <c r="N402" s="25">
        <v>1</v>
      </c>
      <c r="O402" s="25">
        <v>1</v>
      </c>
      <c r="P402" s="25">
        <v>1</v>
      </c>
      <c r="Q402" s="25">
        <v>1</v>
      </c>
      <c r="R402" s="1" t="str">
        <f t="shared" si="25"/>
        <v>50</v>
      </c>
      <c r="S402" s="1">
        <f>경동전체1!B402</f>
        <v>0</v>
      </c>
      <c r="T402" s="1" t="str">
        <f t="shared" si="26"/>
        <v>100</v>
      </c>
      <c r="U402" s="5" t="str">
        <f t="shared" si="27"/>
        <v>0</v>
      </c>
      <c r="V402" s="26">
        <v>0</v>
      </c>
      <c r="W402" s="26">
        <v>0</v>
      </c>
      <c r="X402" s="2" t="str">
        <f>SUBSTITUTE(SUBSTITUTE(SUBSTITUTE(SUBSTITUTE(SUBSTITUTE(SUBSTITUTE(SUBSTITUTE(SUBSTITUTE(SUBSTITUTE(SUBSTITUTE(SUBSTITUTE(SUBSTITUTE(SUBSTITUTE(경동전체1!D402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3" spans="1:24" ht="20.25" customHeight="1" x14ac:dyDescent="0.3">
      <c r="A403" s="2">
        <f>경동전체1!A403</f>
        <v>0</v>
      </c>
      <c r="B403" s="13" t="str">
        <f>SUBSTITUTE(SUBSTITUTE(SUBSTITUTE(SUBSTITUTE(SUBSTITUTE(SUBSTITUTE(SUBSTITUTE(SUBSTITUTE(SUBSTITUTE(SUBSTITUTE(SUBSTITUTE(SUBSTITUTE(SUBSTITUTE(경동전체1!K403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3" s="30">
        <f>경동전체1!E403</f>
        <v>0</v>
      </c>
      <c r="D403" s="23"/>
      <c r="E403" s="23"/>
      <c r="F403" s="4">
        <f>경동전체1!J403</f>
        <v>0</v>
      </c>
      <c r="G403" s="23"/>
      <c r="H403" s="2">
        <f>경동전체1!H403</f>
        <v>0</v>
      </c>
      <c r="I403" s="2" t="str">
        <f>경동전체1!I403&amp;""</f>
        <v/>
      </c>
      <c r="J403" s="2" t="s">
        <v>36</v>
      </c>
      <c r="K403" s="2" t="str">
        <f>IF(LEFT(경동전체1!G403,1)="","따사룸",경동전체1!G403)</f>
        <v>따사룸</v>
      </c>
      <c r="L403" s="4" t="str">
        <f t="shared" si="24"/>
        <v>1</v>
      </c>
      <c r="M403" s="1" t="str">
        <f>IF(LEFT(경동전체1!D403,1)="2","비닐",IF(LEFT(경동전체1!O403,1)="박","박스","비닐"))</f>
        <v>비닐</v>
      </c>
      <c r="N403" s="25">
        <v>1</v>
      </c>
      <c r="O403" s="25">
        <v>1</v>
      </c>
      <c r="P403" s="25">
        <v>1</v>
      </c>
      <c r="Q403" s="25">
        <v>1</v>
      </c>
      <c r="R403" s="1" t="str">
        <f t="shared" si="25"/>
        <v>50</v>
      </c>
      <c r="S403" s="1">
        <f>경동전체1!B403</f>
        <v>0</v>
      </c>
      <c r="T403" s="1" t="str">
        <f t="shared" si="26"/>
        <v>100</v>
      </c>
      <c r="U403" s="5" t="str">
        <f t="shared" si="27"/>
        <v>0</v>
      </c>
      <c r="V403" s="26">
        <v>0</v>
      </c>
      <c r="W403" s="26">
        <v>0</v>
      </c>
      <c r="X403" s="2" t="str">
        <f>SUBSTITUTE(SUBSTITUTE(SUBSTITUTE(SUBSTITUTE(SUBSTITUTE(SUBSTITUTE(SUBSTITUTE(SUBSTITUTE(SUBSTITUTE(SUBSTITUTE(SUBSTITUTE(SUBSTITUTE(SUBSTITUTE(경동전체1!D403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4" spans="1:24" ht="20.25" customHeight="1" x14ac:dyDescent="0.3">
      <c r="A404" s="2">
        <f>경동전체1!A404</f>
        <v>0</v>
      </c>
      <c r="B404" s="13" t="str">
        <f>SUBSTITUTE(SUBSTITUTE(SUBSTITUTE(SUBSTITUTE(SUBSTITUTE(SUBSTITUTE(SUBSTITUTE(SUBSTITUTE(SUBSTITUTE(SUBSTITUTE(SUBSTITUTE(SUBSTITUTE(SUBSTITUTE(경동전체1!K404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4" s="30">
        <f>경동전체1!E404</f>
        <v>0</v>
      </c>
      <c r="D404" s="23"/>
      <c r="E404" s="23"/>
      <c r="F404" s="4">
        <f>경동전체1!J404</f>
        <v>0</v>
      </c>
      <c r="G404" s="23"/>
      <c r="H404" s="2">
        <f>경동전체1!H404</f>
        <v>0</v>
      </c>
      <c r="I404" s="2" t="str">
        <f>경동전체1!I404&amp;""</f>
        <v/>
      </c>
      <c r="J404" s="2" t="s">
        <v>36</v>
      </c>
      <c r="K404" s="2" t="str">
        <f>IF(LEFT(경동전체1!G404,1)="","따사룸",경동전체1!G404)</f>
        <v>따사룸</v>
      </c>
      <c r="L404" s="4" t="str">
        <f t="shared" si="24"/>
        <v>1</v>
      </c>
      <c r="M404" s="1" t="str">
        <f>IF(LEFT(경동전체1!D404,1)="2","비닐",IF(LEFT(경동전체1!O404,1)="박","박스","비닐"))</f>
        <v>비닐</v>
      </c>
      <c r="N404" s="25">
        <v>1</v>
      </c>
      <c r="O404" s="25">
        <v>1</v>
      </c>
      <c r="P404" s="25">
        <v>1</v>
      </c>
      <c r="Q404" s="25">
        <v>1</v>
      </c>
      <c r="R404" s="1" t="str">
        <f t="shared" si="25"/>
        <v>50</v>
      </c>
      <c r="S404" s="1">
        <f>경동전체1!B404</f>
        <v>0</v>
      </c>
      <c r="T404" s="1" t="str">
        <f t="shared" si="26"/>
        <v>100</v>
      </c>
      <c r="U404" s="5" t="str">
        <f t="shared" si="27"/>
        <v>0</v>
      </c>
      <c r="V404" s="26">
        <v>0</v>
      </c>
      <c r="W404" s="26">
        <v>0</v>
      </c>
      <c r="X404" s="2" t="str">
        <f>SUBSTITUTE(SUBSTITUTE(SUBSTITUTE(SUBSTITUTE(SUBSTITUTE(SUBSTITUTE(SUBSTITUTE(SUBSTITUTE(SUBSTITUTE(SUBSTITUTE(SUBSTITUTE(SUBSTITUTE(SUBSTITUTE(경동전체1!D404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5" spans="1:24" ht="20.25" customHeight="1" x14ac:dyDescent="0.3">
      <c r="A405" s="2">
        <f>경동전체1!A405</f>
        <v>0</v>
      </c>
      <c r="B405" s="13" t="str">
        <f>SUBSTITUTE(SUBSTITUTE(SUBSTITUTE(SUBSTITUTE(SUBSTITUTE(SUBSTITUTE(SUBSTITUTE(SUBSTITUTE(SUBSTITUTE(SUBSTITUTE(SUBSTITUTE(SUBSTITUTE(SUBSTITUTE(경동전체1!K405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5" s="30">
        <f>경동전체1!E405</f>
        <v>0</v>
      </c>
      <c r="D405" s="23"/>
      <c r="E405" s="23"/>
      <c r="F405" s="4">
        <f>경동전체1!J405</f>
        <v>0</v>
      </c>
      <c r="G405" s="23"/>
      <c r="H405" s="2">
        <f>경동전체1!H405</f>
        <v>0</v>
      </c>
      <c r="I405" s="2" t="str">
        <f>경동전체1!I405&amp;""</f>
        <v/>
      </c>
      <c r="J405" s="2" t="s">
        <v>36</v>
      </c>
      <c r="K405" s="2" t="str">
        <f>IF(LEFT(경동전체1!G405,1)="","따사룸",경동전체1!G405)</f>
        <v>따사룸</v>
      </c>
      <c r="L405" s="4" t="str">
        <f t="shared" si="24"/>
        <v>1</v>
      </c>
      <c r="M405" s="1" t="str">
        <f>IF(LEFT(경동전체1!D405,1)="2","비닐",IF(LEFT(경동전체1!O405,1)="박","박스","비닐"))</f>
        <v>비닐</v>
      </c>
      <c r="N405" s="25">
        <v>1</v>
      </c>
      <c r="O405" s="25">
        <v>1</v>
      </c>
      <c r="P405" s="25">
        <v>1</v>
      </c>
      <c r="Q405" s="25">
        <v>1</v>
      </c>
      <c r="R405" s="1" t="str">
        <f t="shared" si="25"/>
        <v>50</v>
      </c>
      <c r="S405" s="1">
        <f>경동전체1!B405</f>
        <v>0</v>
      </c>
      <c r="T405" s="1" t="str">
        <f t="shared" si="26"/>
        <v>100</v>
      </c>
      <c r="U405" s="5" t="str">
        <f t="shared" si="27"/>
        <v>0</v>
      </c>
      <c r="V405" s="26">
        <v>0</v>
      </c>
      <c r="W405" s="26">
        <v>0</v>
      </c>
      <c r="X405" s="2" t="str">
        <f>SUBSTITUTE(SUBSTITUTE(SUBSTITUTE(SUBSTITUTE(SUBSTITUTE(SUBSTITUTE(SUBSTITUTE(SUBSTITUTE(SUBSTITUTE(SUBSTITUTE(SUBSTITUTE(SUBSTITUTE(SUBSTITUTE(경동전체1!D405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6" spans="1:24" ht="20.25" customHeight="1" x14ac:dyDescent="0.3">
      <c r="A406" s="2">
        <f>경동전체1!A406</f>
        <v>0</v>
      </c>
      <c r="B406" s="13" t="str">
        <f>SUBSTITUTE(SUBSTITUTE(SUBSTITUTE(SUBSTITUTE(SUBSTITUTE(SUBSTITUTE(SUBSTITUTE(SUBSTITUTE(SUBSTITUTE(SUBSTITUTE(SUBSTITUTE(SUBSTITUTE(SUBSTITUTE(경동전체1!K406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6" s="30">
        <f>경동전체1!E406</f>
        <v>0</v>
      </c>
      <c r="D406" s="23"/>
      <c r="E406" s="23"/>
      <c r="F406" s="4">
        <f>경동전체1!J406</f>
        <v>0</v>
      </c>
      <c r="G406" s="23"/>
      <c r="H406" s="2">
        <f>경동전체1!H406</f>
        <v>0</v>
      </c>
      <c r="I406" s="2" t="str">
        <f>경동전체1!I406&amp;""</f>
        <v/>
      </c>
      <c r="J406" s="2" t="s">
        <v>36</v>
      </c>
      <c r="K406" s="2" t="str">
        <f>IF(LEFT(경동전체1!G406,1)="","따사룸",경동전체1!G406)</f>
        <v>따사룸</v>
      </c>
      <c r="L406" s="4" t="str">
        <f t="shared" si="24"/>
        <v>1</v>
      </c>
      <c r="M406" s="1" t="str">
        <f>IF(LEFT(경동전체1!D406,1)="2","비닐",IF(LEFT(경동전체1!O406,1)="박","박스","비닐"))</f>
        <v>비닐</v>
      </c>
      <c r="N406" s="25">
        <v>1</v>
      </c>
      <c r="O406" s="25">
        <v>1</v>
      </c>
      <c r="P406" s="25">
        <v>1</v>
      </c>
      <c r="Q406" s="25">
        <v>1</v>
      </c>
      <c r="R406" s="1" t="str">
        <f t="shared" si="25"/>
        <v>50</v>
      </c>
      <c r="S406" s="1">
        <f>경동전체1!B406</f>
        <v>0</v>
      </c>
      <c r="T406" s="1" t="str">
        <f t="shared" si="26"/>
        <v>100</v>
      </c>
      <c r="U406" s="5" t="str">
        <f t="shared" si="27"/>
        <v>0</v>
      </c>
      <c r="V406" s="26">
        <v>0</v>
      </c>
      <c r="W406" s="26">
        <v>0</v>
      </c>
      <c r="X406" s="2" t="str">
        <f>SUBSTITUTE(SUBSTITUTE(SUBSTITUTE(SUBSTITUTE(SUBSTITUTE(SUBSTITUTE(SUBSTITUTE(SUBSTITUTE(SUBSTITUTE(SUBSTITUTE(SUBSTITUTE(SUBSTITUTE(SUBSTITUTE(경동전체1!D406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7" spans="1:24" ht="20.25" customHeight="1" x14ac:dyDescent="0.3">
      <c r="A407" s="2">
        <f>경동전체1!A407</f>
        <v>0</v>
      </c>
      <c r="B407" s="13" t="str">
        <f>SUBSTITUTE(SUBSTITUTE(SUBSTITUTE(SUBSTITUTE(SUBSTITUTE(SUBSTITUTE(SUBSTITUTE(SUBSTITUTE(SUBSTITUTE(SUBSTITUTE(SUBSTITUTE(SUBSTITUTE(SUBSTITUTE(경동전체1!K407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7" s="30">
        <f>경동전체1!E407</f>
        <v>0</v>
      </c>
      <c r="D407" s="23"/>
      <c r="E407" s="23"/>
      <c r="F407" s="4">
        <f>경동전체1!J407</f>
        <v>0</v>
      </c>
      <c r="G407" s="23"/>
      <c r="H407" s="2">
        <f>경동전체1!H407</f>
        <v>0</v>
      </c>
      <c r="I407" s="2" t="str">
        <f>경동전체1!I407&amp;""</f>
        <v/>
      </c>
      <c r="J407" s="2" t="s">
        <v>36</v>
      </c>
      <c r="K407" s="2" t="str">
        <f>IF(LEFT(경동전체1!G407,1)="","따사룸",경동전체1!G407)</f>
        <v>따사룸</v>
      </c>
      <c r="L407" s="4" t="str">
        <f t="shared" si="24"/>
        <v>1</v>
      </c>
      <c r="M407" s="1" t="str">
        <f>IF(LEFT(경동전체1!D407,1)="2","비닐",IF(LEFT(경동전체1!O407,1)="박","박스","비닐"))</f>
        <v>비닐</v>
      </c>
      <c r="N407" s="25">
        <v>1</v>
      </c>
      <c r="O407" s="25">
        <v>1</v>
      </c>
      <c r="P407" s="25">
        <v>1</v>
      </c>
      <c r="Q407" s="25">
        <v>1</v>
      </c>
      <c r="R407" s="1" t="str">
        <f t="shared" si="25"/>
        <v>50</v>
      </c>
      <c r="S407" s="1">
        <f>경동전체1!B407</f>
        <v>0</v>
      </c>
      <c r="T407" s="1" t="str">
        <f t="shared" si="26"/>
        <v>100</v>
      </c>
      <c r="U407" s="5" t="str">
        <f t="shared" si="27"/>
        <v>0</v>
      </c>
      <c r="V407" s="26">
        <v>0</v>
      </c>
      <c r="W407" s="26">
        <v>0</v>
      </c>
      <c r="X407" s="2" t="str">
        <f>SUBSTITUTE(SUBSTITUTE(SUBSTITUTE(SUBSTITUTE(SUBSTITUTE(SUBSTITUTE(SUBSTITUTE(SUBSTITUTE(SUBSTITUTE(SUBSTITUTE(SUBSTITUTE(SUBSTITUTE(SUBSTITUTE(경동전체1!D407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8" spans="1:24" ht="20.25" customHeight="1" x14ac:dyDescent="0.3">
      <c r="A408" s="2">
        <f>경동전체1!A408</f>
        <v>0</v>
      </c>
      <c r="B408" s="13" t="str">
        <f>SUBSTITUTE(SUBSTITUTE(SUBSTITUTE(SUBSTITUTE(SUBSTITUTE(SUBSTITUTE(SUBSTITUTE(SUBSTITUTE(SUBSTITUTE(SUBSTITUTE(SUBSTITUTE(SUBSTITUTE(SUBSTITUTE(경동전체1!K408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8" s="30">
        <f>경동전체1!E408</f>
        <v>0</v>
      </c>
      <c r="D408" s="23"/>
      <c r="E408" s="23"/>
      <c r="F408" s="4">
        <f>경동전체1!J408</f>
        <v>0</v>
      </c>
      <c r="G408" s="23"/>
      <c r="H408" s="2">
        <f>경동전체1!H408</f>
        <v>0</v>
      </c>
      <c r="I408" s="2" t="str">
        <f>경동전체1!I408&amp;""</f>
        <v/>
      </c>
      <c r="J408" s="2" t="s">
        <v>36</v>
      </c>
      <c r="K408" s="2" t="str">
        <f>IF(LEFT(경동전체1!G408,1)="","따사룸",경동전체1!G408)</f>
        <v>따사룸</v>
      </c>
      <c r="L408" s="4" t="str">
        <f t="shared" si="24"/>
        <v>1</v>
      </c>
      <c r="M408" s="1" t="str">
        <f>IF(LEFT(경동전체1!D408,1)="2","비닐",IF(LEFT(경동전체1!O408,1)="박","박스","비닐"))</f>
        <v>비닐</v>
      </c>
      <c r="N408" s="25">
        <v>1</v>
      </c>
      <c r="O408" s="25">
        <v>1</v>
      </c>
      <c r="P408" s="25">
        <v>1</v>
      </c>
      <c r="Q408" s="25">
        <v>1</v>
      </c>
      <c r="R408" s="1" t="str">
        <f t="shared" si="25"/>
        <v>50</v>
      </c>
      <c r="S408" s="1">
        <f>경동전체1!B408</f>
        <v>0</v>
      </c>
      <c r="T408" s="1" t="str">
        <f t="shared" si="26"/>
        <v>100</v>
      </c>
      <c r="U408" s="5" t="str">
        <f t="shared" si="27"/>
        <v>0</v>
      </c>
      <c r="V408" s="26">
        <v>0</v>
      </c>
      <c r="W408" s="26">
        <v>0</v>
      </c>
      <c r="X408" s="2" t="str">
        <f>SUBSTITUTE(SUBSTITUTE(SUBSTITUTE(SUBSTITUTE(SUBSTITUTE(SUBSTITUTE(SUBSTITUTE(SUBSTITUTE(SUBSTITUTE(SUBSTITUTE(SUBSTITUTE(SUBSTITUTE(SUBSTITUTE(경동전체1!D408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9" spans="1:24" ht="20.25" customHeight="1" x14ac:dyDescent="0.3">
      <c r="A409" s="2">
        <f>경동전체1!A409</f>
        <v>0</v>
      </c>
      <c r="B409" s="13" t="str">
        <f>SUBSTITUTE(SUBSTITUTE(SUBSTITUTE(SUBSTITUTE(SUBSTITUTE(SUBSTITUTE(SUBSTITUTE(SUBSTITUTE(SUBSTITUTE(SUBSTITUTE(SUBSTITUTE(SUBSTITUTE(SUBSTITUTE(경동전체1!K409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9" s="30">
        <f>경동전체1!E409</f>
        <v>0</v>
      </c>
      <c r="D409" s="23"/>
      <c r="E409" s="23"/>
      <c r="F409" s="4">
        <f>경동전체1!J409</f>
        <v>0</v>
      </c>
      <c r="G409" s="23"/>
      <c r="H409" s="2">
        <f>경동전체1!H409</f>
        <v>0</v>
      </c>
      <c r="I409" s="2" t="str">
        <f>경동전체1!I409&amp;""</f>
        <v/>
      </c>
      <c r="J409" s="2" t="s">
        <v>36</v>
      </c>
      <c r="K409" s="2" t="str">
        <f>IF(LEFT(경동전체1!G409,1)="","따사룸",경동전체1!G409)</f>
        <v>따사룸</v>
      </c>
      <c r="L409" s="4" t="str">
        <f t="shared" si="24"/>
        <v>1</v>
      </c>
      <c r="M409" s="1" t="str">
        <f>IF(LEFT(경동전체1!D409,1)="2","비닐",IF(LEFT(경동전체1!O409,1)="박","박스","비닐"))</f>
        <v>비닐</v>
      </c>
      <c r="N409" s="25">
        <v>1</v>
      </c>
      <c r="O409" s="25">
        <v>1</v>
      </c>
      <c r="P409" s="25">
        <v>1</v>
      </c>
      <c r="Q409" s="25">
        <v>1</v>
      </c>
      <c r="R409" s="1" t="str">
        <f t="shared" si="25"/>
        <v>50</v>
      </c>
      <c r="S409" s="1">
        <f>경동전체1!B409</f>
        <v>0</v>
      </c>
      <c r="T409" s="1" t="str">
        <f t="shared" si="26"/>
        <v>100</v>
      </c>
      <c r="U409" s="5" t="str">
        <f t="shared" si="27"/>
        <v>0</v>
      </c>
      <c r="V409" s="26">
        <v>0</v>
      </c>
      <c r="W409" s="26">
        <v>0</v>
      </c>
      <c r="X409" s="2" t="str">
        <f>SUBSTITUTE(SUBSTITUTE(SUBSTITUTE(SUBSTITUTE(SUBSTITUTE(SUBSTITUTE(SUBSTITUTE(SUBSTITUTE(SUBSTITUTE(SUBSTITUTE(SUBSTITUTE(SUBSTITUTE(SUBSTITUTE(경동전체1!D409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0" spans="1:24" ht="20.25" customHeight="1" x14ac:dyDescent="0.3">
      <c r="A410" s="2">
        <f>경동전체1!A410</f>
        <v>0</v>
      </c>
      <c r="B410" s="13" t="str">
        <f>SUBSTITUTE(SUBSTITUTE(SUBSTITUTE(SUBSTITUTE(SUBSTITUTE(SUBSTITUTE(SUBSTITUTE(SUBSTITUTE(SUBSTITUTE(SUBSTITUTE(SUBSTITUTE(SUBSTITUTE(SUBSTITUTE(경동전체1!K410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0" s="30">
        <f>경동전체1!E410</f>
        <v>0</v>
      </c>
      <c r="D410" s="23"/>
      <c r="E410" s="23"/>
      <c r="F410" s="4">
        <f>경동전체1!J410</f>
        <v>0</v>
      </c>
      <c r="G410" s="23"/>
      <c r="H410" s="2">
        <f>경동전체1!H410</f>
        <v>0</v>
      </c>
      <c r="I410" s="2" t="str">
        <f>경동전체1!I410&amp;""</f>
        <v/>
      </c>
      <c r="J410" s="2" t="s">
        <v>36</v>
      </c>
      <c r="K410" s="2" t="str">
        <f>IF(LEFT(경동전체1!G410,1)="","따사룸",경동전체1!G410)</f>
        <v>따사룸</v>
      </c>
      <c r="L410" s="4" t="str">
        <f t="shared" si="24"/>
        <v>1</v>
      </c>
      <c r="M410" s="1" t="str">
        <f>IF(LEFT(경동전체1!D410,1)="2","비닐",IF(LEFT(경동전체1!O410,1)="박","박스","비닐"))</f>
        <v>비닐</v>
      </c>
      <c r="N410" s="25">
        <v>1</v>
      </c>
      <c r="O410" s="25">
        <v>1</v>
      </c>
      <c r="P410" s="25">
        <v>1</v>
      </c>
      <c r="Q410" s="25">
        <v>1</v>
      </c>
      <c r="R410" s="1" t="str">
        <f t="shared" si="25"/>
        <v>50</v>
      </c>
      <c r="S410" s="1">
        <f>경동전체1!B410</f>
        <v>0</v>
      </c>
      <c r="T410" s="1" t="str">
        <f t="shared" si="26"/>
        <v>100</v>
      </c>
      <c r="U410" s="5" t="str">
        <f t="shared" si="27"/>
        <v>0</v>
      </c>
      <c r="V410" s="26">
        <v>0</v>
      </c>
      <c r="W410" s="26">
        <v>0</v>
      </c>
      <c r="X410" s="2" t="str">
        <f>SUBSTITUTE(SUBSTITUTE(SUBSTITUTE(SUBSTITUTE(SUBSTITUTE(SUBSTITUTE(SUBSTITUTE(SUBSTITUTE(SUBSTITUTE(SUBSTITUTE(SUBSTITUTE(SUBSTITUTE(SUBSTITUTE(경동전체1!D410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1" spans="1:24" ht="20.25" customHeight="1" x14ac:dyDescent="0.3">
      <c r="A411" s="2">
        <f>경동전체1!A411</f>
        <v>0</v>
      </c>
      <c r="B411" s="13" t="str">
        <f>SUBSTITUTE(SUBSTITUTE(SUBSTITUTE(SUBSTITUTE(SUBSTITUTE(SUBSTITUTE(SUBSTITUTE(SUBSTITUTE(SUBSTITUTE(SUBSTITUTE(SUBSTITUTE(SUBSTITUTE(SUBSTITUTE(경동전체1!K411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1" s="30">
        <f>경동전체1!E411</f>
        <v>0</v>
      </c>
      <c r="D411" s="23"/>
      <c r="E411" s="23"/>
      <c r="F411" s="4">
        <f>경동전체1!J411</f>
        <v>0</v>
      </c>
      <c r="G411" s="23"/>
      <c r="H411" s="2">
        <f>경동전체1!H411</f>
        <v>0</v>
      </c>
      <c r="I411" s="2" t="str">
        <f>경동전체1!I411&amp;""</f>
        <v/>
      </c>
      <c r="J411" s="2" t="s">
        <v>36</v>
      </c>
      <c r="K411" s="2" t="str">
        <f>IF(LEFT(경동전체1!G411,1)="","따사룸",경동전체1!G411)</f>
        <v>따사룸</v>
      </c>
      <c r="L411" s="4" t="str">
        <f t="shared" si="24"/>
        <v>1</v>
      </c>
      <c r="M411" s="1" t="str">
        <f>IF(LEFT(경동전체1!D411,1)="2","비닐",IF(LEFT(경동전체1!O411,1)="박","박스","비닐"))</f>
        <v>비닐</v>
      </c>
      <c r="N411" s="25">
        <v>1</v>
      </c>
      <c r="O411" s="25">
        <v>1</v>
      </c>
      <c r="P411" s="25">
        <v>1</v>
      </c>
      <c r="Q411" s="25">
        <v>1</v>
      </c>
      <c r="R411" s="1" t="str">
        <f t="shared" si="25"/>
        <v>50</v>
      </c>
      <c r="S411" s="1">
        <f>경동전체1!B411</f>
        <v>0</v>
      </c>
      <c r="T411" s="1" t="str">
        <f t="shared" si="26"/>
        <v>100</v>
      </c>
      <c r="U411" s="5" t="str">
        <f t="shared" si="27"/>
        <v>0</v>
      </c>
      <c r="V411" s="26">
        <v>0</v>
      </c>
      <c r="W411" s="26">
        <v>0</v>
      </c>
      <c r="X411" s="2" t="str">
        <f>SUBSTITUTE(SUBSTITUTE(SUBSTITUTE(SUBSTITUTE(SUBSTITUTE(SUBSTITUTE(SUBSTITUTE(SUBSTITUTE(SUBSTITUTE(SUBSTITUTE(SUBSTITUTE(SUBSTITUTE(SUBSTITUTE(경동전체1!D411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2" spans="1:24" ht="20.25" customHeight="1" x14ac:dyDescent="0.3">
      <c r="A412" s="2">
        <f>경동전체1!A412</f>
        <v>0</v>
      </c>
      <c r="B412" s="13" t="str">
        <f>SUBSTITUTE(SUBSTITUTE(SUBSTITUTE(SUBSTITUTE(SUBSTITUTE(SUBSTITUTE(SUBSTITUTE(SUBSTITUTE(SUBSTITUTE(SUBSTITUTE(SUBSTITUTE(SUBSTITUTE(SUBSTITUTE(경동전체1!K412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2" s="30">
        <f>경동전체1!E412</f>
        <v>0</v>
      </c>
      <c r="D412" s="23"/>
      <c r="E412" s="23"/>
      <c r="F412" s="4">
        <f>경동전체1!J412</f>
        <v>0</v>
      </c>
      <c r="G412" s="23"/>
      <c r="H412" s="2">
        <f>경동전체1!H412</f>
        <v>0</v>
      </c>
      <c r="I412" s="2" t="str">
        <f>경동전체1!I412&amp;""</f>
        <v/>
      </c>
      <c r="J412" s="2" t="s">
        <v>36</v>
      </c>
      <c r="K412" s="2" t="str">
        <f>IF(LEFT(경동전체1!G412,1)="","따사룸",경동전체1!G412)</f>
        <v>따사룸</v>
      </c>
      <c r="L412" s="4" t="str">
        <f t="shared" si="24"/>
        <v>1</v>
      </c>
      <c r="M412" s="1" t="str">
        <f>IF(LEFT(경동전체1!D412,1)="2","비닐",IF(LEFT(경동전체1!O412,1)="박","박스","비닐"))</f>
        <v>비닐</v>
      </c>
      <c r="N412" s="25">
        <v>1</v>
      </c>
      <c r="O412" s="25">
        <v>1</v>
      </c>
      <c r="P412" s="25">
        <v>1</v>
      </c>
      <c r="Q412" s="25">
        <v>1</v>
      </c>
      <c r="R412" s="1" t="str">
        <f t="shared" si="25"/>
        <v>50</v>
      </c>
      <c r="S412" s="1">
        <f>경동전체1!B412</f>
        <v>0</v>
      </c>
      <c r="T412" s="1" t="str">
        <f t="shared" si="26"/>
        <v>100</v>
      </c>
      <c r="U412" s="5" t="str">
        <f t="shared" si="27"/>
        <v>0</v>
      </c>
      <c r="V412" s="26">
        <v>0</v>
      </c>
      <c r="W412" s="26">
        <v>0</v>
      </c>
      <c r="X412" s="2" t="str">
        <f>SUBSTITUTE(SUBSTITUTE(SUBSTITUTE(SUBSTITUTE(SUBSTITUTE(SUBSTITUTE(SUBSTITUTE(SUBSTITUTE(SUBSTITUTE(SUBSTITUTE(SUBSTITUTE(SUBSTITUTE(SUBSTITUTE(경동전체1!D412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3" spans="1:24" ht="20.25" customHeight="1" x14ac:dyDescent="0.3">
      <c r="A413" s="2">
        <f>경동전체1!A413</f>
        <v>0</v>
      </c>
      <c r="B413" s="13" t="str">
        <f>SUBSTITUTE(SUBSTITUTE(SUBSTITUTE(SUBSTITUTE(SUBSTITUTE(SUBSTITUTE(SUBSTITUTE(SUBSTITUTE(SUBSTITUTE(SUBSTITUTE(SUBSTITUTE(SUBSTITUTE(SUBSTITUTE(경동전체1!K413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3" s="30">
        <f>경동전체1!E413</f>
        <v>0</v>
      </c>
      <c r="D413" s="23"/>
      <c r="E413" s="23"/>
      <c r="F413" s="4">
        <f>경동전체1!J413</f>
        <v>0</v>
      </c>
      <c r="G413" s="23"/>
      <c r="H413" s="2">
        <f>경동전체1!H413</f>
        <v>0</v>
      </c>
      <c r="I413" s="2" t="str">
        <f>경동전체1!I413&amp;""</f>
        <v/>
      </c>
      <c r="J413" s="2" t="s">
        <v>36</v>
      </c>
      <c r="K413" s="2" t="str">
        <f>IF(LEFT(경동전체1!G413,1)="","따사룸",경동전체1!G413)</f>
        <v>따사룸</v>
      </c>
      <c r="L413" s="4" t="str">
        <f t="shared" si="24"/>
        <v>1</v>
      </c>
      <c r="M413" s="1" t="str">
        <f>IF(LEFT(경동전체1!D413,1)="2","비닐",IF(LEFT(경동전체1!O413,1)="박","박스","비닐"))</f>
        <v>비닐</v>
      </c>
      <c r="N413" s="25">
        <v>1</v>
      </c>
      <c r="O413" s="25">
        <v>1</v>
      </c>
      <c r="P413" s="25">
        <v>1</v>
      </c>
      <c r="Q413" s="25">
        <v>1</v>
      </c>
      <c r="R413" s="1" t="str">
        <f t="shared" si="25"/>
        <v>50</v>
      </c>
      <c r="S413" s="1">
        <f>경동전체1!B413</f>
        <v>0</v>
      </c>
      <c r="T413" s="1" t="str">
        <f t="shared" si="26"/>
        <v>100</v>
      </c>
      <c r="U413" s="5" t="str">
        <f t="shared" si="27"/>
        <v>0</v>
      </c>
      <c r="V413" s="26">
        <v>0</v>
      </c>
      <c r="W413" s="26">
        <v>0</v>
      </c>
      <c r="X413" s="2" t="str">
        <f>SUBSTITUTE(SUBSTITUTE(SUBSTITUTE(SUBSTITUTE(SUBSTITUTE(SUBSTITUTE(SUBSTITUTE(SUBSTITUTE(SUBSTITUTE(SUBSTITUTE(SUBSTITUTE(SUBSTITUTE(SUBSTITUTE(경동전체1!D413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4" spans="1:24" ht="20.25" customHeight="1" x14ac:dyDescent="0.3">
      <c r="A414" s="2">
        <f>경동전체1!A414</f>
        <v>0</v>
      </c>
      <c r="B414" s="13" t="str">
        <f>SUBSTITUTE(SUBSTITUTE(SUBSTITUTE(SUBSTITUTE(SUBSTITUTE(SUBSTITUTE(SUBSTITUTE(SUBSTITUTE(SUBSTITUTE(SUBSTITUTE(SUBSTITUTE(SUBSTITUTE(SUBSTITUTE(경동전체1!K414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4" s="30">
        <f>경동전체1!E414</f>
        <v>0</v>
      </c>
      <c r="D414" s="23"/>
      <c r="E414" s="23"/>
      <c r="F414" s="4">
        <f>경동전체1!J414</f>
        <v>0</v>
      </c>
      <c r="G414" s="23"/>
      <c r="H414" s="2">
        <f>경동전체1!H414</f>
        <v>0</v>
      </c>
      <c r="I414" s="2" t="str">
        <f>경동전체1!I414&amp;""</f>
        <v/>
      </c>
      <c r="J414" s="2" t="s">
        <v>36</v>
      </c>
      <c r="K414" s="2" t="str">
        <f>IF(LEFT(경동전체1!G414,1)="","따사룸",경동전체1!G414)</f>
        <v>따사룸</v>
      </c>
      <c r="L414" s="4" t="str">
        <f t="shared" si="24"/>
        <v>1</v>
      </c>
      <c r="M414" s="1" t="str">
        <f>IF(LEFT(경동전체1!D414,1)="2","비닐",IF(LEFT(경동전체1!O414,1)="박","박스","비닐"))</f>
        <v>비닐</v>
      </c>
      <c r="N414" s="25">
        <v>1</v>
      </c>
      <c r="O414" s="25">
        <v>1</v>
      </c>
      <c r="P414" s="25">
        <v>1</v>
      </c>
      <c r="Q414" s="25">
        <v>1</v>
      </c>
      <c r="R414" s="1" t="str">
        <f t="shared" si="25"/>
        <v>50</v>
      </c>
      <c r="S414" s="1">
        <f>경동전체1!B414</f>
        <v>0</v>
      </c>
      <c r="T414" s="1" t="str">
        <f t="shared" si="26"/>
        <v>100</v>
      </c>
      <c r="U414" s="5" t="str">
        <f t="shared" si="27"/>
        <v>0</v>
      </c>
      <c r="V414" s="26">
        <v>0</v>
      </c>
      <c r="W414" s="26">
        <v>0</v>
      </c>
      <c r="X414" s="2" t="str">
        <f>SUBSTITUTE(SUBSTITUTE(SUBSTITUTE(SUBSTITUTE(SUBSTITUTE(SUBSTITUTE(SUBSTITUTE(SUBSTITUTE(SUBSTITUTE(SUBSTITUTE(SUBSTITUTE(SUBSTITUTE(SUBSTITUTE(경동전체1!D414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5" spans="1:24" ht="20.25" customHeight="1" x14ac:dyDescent="0.3">
      <c r="A415" s="2">
        <f>경동전체1!A415</f>
        <v>0</v>
      </c>
      <c r="B415" s="13" t="str">
        <f>SUBSTITUTE(SUBSTITUTE(SUBSTITUTE(SUBSTITUTE(SUBSTITUTE(SUBSTITUTE(SUBSTITUTE(SUBSTITUTE(SUBSTITUTE(SUBSTITUTE(SUBSTITUTE(SUBSTITUTE(SUBSTITUTE(경동전체1!K415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5" s="30">
        <f>경동전체1!E415</f>
        <v>0</v>
      </c>
      <c r="D415" s="23"/>
      <c r="E415" s="23"/>
      <c r="F415" s="4">
        <f>경동전체1!J415</f>
        <v>0</v>
      </c>
      <c r="G415" s="23"/>
      <c r="H415" s="2">
        <f>경동전체1!H415</f>
        <v>0</v>
      </c>
      <c r="I415" s="2" t="str">
        <f>경동전체1!I415&amp;""</f>
        <v/>
      </c>
      <c r="J415" s="2" t="s">
        <v>36</v>
      </c>
      <c r="K415" s="2" t="str">
        <f>IF(LEFT(경동전체1!G415,1)="","따사룸",경동전체1!G415)</f>
        <v>따사룸</v>
      </c>
      <c r="L415" s="4" t="str">
        <f t="shared" si="24"/>
        <v>1</v>
      </c>
      <c r="M415" s="1" t="str">
        <f>IF(LEFT(경동전체1!D415,1)="2","비닐",IF(LEFT(경동전체1!O415,1)="박","박스","비닐"))</f>
        <v>비닐</v>
      </c>
      <c r="N415" s="25">
        <v>1</v>
      </c>
      <c r="O415" s="25">
        <v>1</v>
      </c>
      <c r="P415" s="25">
        <v>1</v>
      </c>
      <c r="Q415" s="25">
        <v>1</v>
      </c>
      <c r="R415" s="1" t="str">
        <f t="shared" si="25"/>
        <v>50</v>
      </c>
      <c r="S415" s="1">
        <f>경동전체1!B415</f>
        <v>0</v>
      </c>
      <c r="T415" s="1" t="str">
        <f t="shared" si="26"/>
        <v>100</v>
      </c>
      <c r="U415" s="5" t="str">
        <f t="shared" si="27"/>
        <v>0</v>
      </c>
      <c r="V415" s="26">
        <v>0</v>
      </c>
      <c r="W415" s="26">
        <v>0</v>
      </c>
      <c r="X415" s="2" t="str">
        <f>SUBSTITUTE(SUBSTITUTE(SUBSTITUTE(SUBSTITUTE(SUBSTITUTE(SUBSTITUTE(SUBSTITUTE(SUBSTITUTE(SUBSTITUTE(SUBSTITUTE(SUBSTITUTE(SUBSTITUTE(SUBSTITUTE(경동전체1!D415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6" spans="1:24" ht="20.25" customHeight="1" x14ac:dyDescent="0.3">
      <c r="A416" s="2">
        <f>경동전체1!A416</f>
        <v>0</v>
      </c>
      <c r="B416" s="13" t="str">
        <f>SUBSTITUTE(SUBSTITUTE(SUBSTITUTE(SUBSTITUTE(SUBSTITUTE(SUBSTITUTE(SUBSTITUTE(SUBSTITUTE(SUBSTITUTE(SUBSTITUTE(SUBSTITUTE(SUBSTITUTE(SUBSTITUTE(경동전체1!K416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6" s="30">
        <f>경동전체1!E416</f>
        <v>0</v>
      </c>
      <c r="D416" s="23"/>
      <c r="E416" s="23"/>
      <c r="F416" s="4">
        <f>경동전체1!J416</f>
        <v>0</v>
      </c>
      <c r="G416" s="23"/>
      <c r="H416" s="2">
        <f>경동전체1!H416</f>
        <v>0</v>
      </c>
      <c r="I416" s="2" t="str">
        <f>경동전체1!I416&amp;""</f>
        <v/>
      </c>
      <c r="J416" s="2" t="s">
        <v>36</v>
      </c>
      <c r="K416" s="2" t="str">
        <f>IF(LEFT(경동전체1!G416,1)="","따사룸",경동전체1!G416)</f>
        <v>따사룸</v>
      </c>
      <c r="L416" s="4" t="str">
        <f t="shared" si="24"/>
        <v>1</v>
      </c>
      <c r="M416" s="1" t="str">
        <f>IF(LEFT(경동전체1!D416,1)="2","비닐",IF(LEFT(경동전체1!O416,1)="박","박스","비닐"))</f>
        <v>비닐</v>
      </c>
      <c r="N416" s="25">
        <v>1</v>
      </c>
      <c r="O416" s="25">
        <v>1</v>
      </c>
      <c r="P416" s="25">
        <v>1</v>
      </c>
      <c r="Q416" s="25">
        <v>1</v>
      </c>
      <c r="R416" s="1" t="str">
        <f t="shared" si="25"/>
        <v>50</v>
      </c>
      <c r="S416" s="1">
        <f>경동전체1!B416</f>
        <v>0</v>
      </c>
      <c r="T416" s="1" t="str">
        <f t="shared" si="26"/>
        <v>100</v>
      </c>
      <c r="U416" s="5" t="str">
        <f t="shared" si="27"/>
        <v>0</v>
      </c>
      <c r="V416" s="26">
        <v>0</v>
      </c>
      <c r="W416" s="26">
        <v>0</v>
      </c>
      <c r="X416" s="2" t="str">
        <f>SUBSTITUTE(SUBSTITUTE(SUBSTITUTE(SUBSTITUTE(SUBSTITUTE(SUBSTITUTE(SUBSTITUTE(SUBSTITUTE(SUBSTITUTE(SUBSTITUTE(SUBSTITUTE(SUBSTITUTE(SUBSTITUTE(경동전체1!D416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7" spans="1:24" ht="20.25" customHeight="1" x14ac:dyDescent="0.3">
      <c r="A417" s="2">
        <f>경동전체1!A417</f>
        <v>0</v>
      </c>
      <c r="B417" s="13" t="str">
        <f>SUBSTITUTE(SUBSTITUTE(SUBSTITUTE(SUBSTITUTE(SUBSTITUTE(SUBSTITUTE(SUBSTITUTE(SUBSTITUTE(SUBSTITUTE(SUBSTITUTE(SUBSTITUTE(SUBSTITUTE(SUBSTITUTE(경동전체1!K417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7" s="30">
        <f>경동전체1!E417</f>
        <v>0</v>
      </c>
      <c r="D417" s="23"/>
      <c r="E417" s="23"/>
      <c r="F417" s="4">
        <f>경동전체1!J417</f>
        <v>0</v>
      </c>
      <c r="G417" s="23"/>
      <c r="H417" s="2">
        <f>경동전체1!H417</f>
        <v>0</v>
      </c>
      <c r="I417" s="2" t="str">
        <f>경동전체1!I417&amp;""</f>
        <v/>
      </c>
      <c r="J417" s="2" t="s">
        <v>36</v>
      </c>
      <c r="K417" s="2" t="str">
        <f>IF(LEFT(경동전체1!G417,1)="","따사룸",경동전체1!G417)</f>
        <v>따사룸</v>
      </c>
      <c r="L417" s="4" t="str">
        <f t="shared" si="24"/>
        <v>1</v>
      </c>
      <c r="M417" s="1" t="str">
        <f>IF(LEFT(경동전체1!D417,1)="2","비닐",IF(LEFT(경동전체1!O417,1)="박","박스","비닐"))</f>
        <v>비닐</v>
      </c>
      <c r="N417" s="25">
        <v>1</v>
      </c>
      <c r="O417" s="25">
        <v>1</v>
      </c>
      <c r="P417" s="25">
        <v>1</v>
      </c>
      <c r="Q417" s="25">
        <v>1</v>
      </c>
      <c r="R417" s="1" t="str">
        <f t="shared" si="25"/>
        <v>50</v>
      </c>
      <c r="S417" s="1">
        <f>경동전체1!B417</f>
        <v>0</v>
      </c>
      <c r="T417" s="1" t="str">
        <f t="shared" si="26"/>
        <v>100</v>
      </c>
      <c r="U417" s="5" t="str">
        <f t="shared" si="27"/>
        <v>0</v>
      </c>
      <c r="V417" s="26">
        <v>0</v>
      </c>
      <c r="W417" s="26">
        <v>0</v>
      </c>
      <c r="X417" s="2" t="str">
        <f>SUBSTITUTE(SUBSTITUTE(SUBSTITUTE(SUBSTITUTE(SUBSTITUTE(SUBSTITUTE(SUBSTITUTE(SUBSTITUTE(SUBSTITUTE(SUBSTITUTE(SUBSTITUTE(SUBSTITUTE(SUBSTITUTE(경동전체1!D417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8" spans="1:24" ht="20.25" customHeight="1" x14ac:dyDescent="0.3">
      <c r="A418" s="2">
        <f>경동전체1!A418</f>
        <v>0</v>
      </c>
      <c r="B418" s="13" t="str">
        <f>SUBSTITUTE(SUBSTITUTE(SUBSTITUTE(SUBSTITUTE(SUBSTITUTE(SUBSTITUTE(SUBSTITUTE(SUBSTITUTE(SUBSTITUTE(SUBSTITUTE(SUBSTITUTE(SUBSTITUTE(SUBSTITUTE(경동전체1!K418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8" s="30">
        <f>경동전체1!E418</f>
        <v>0</v>
      </c>
      <c r="D418" s="23"/>
      <c r="E418" s="23"/>
      <c r="F418" s="4">
        <f>경동전체1!J418</f>
        <v>0</v>
      </c>
      <c r="G418" s="23"/>
      <c r="H418" s="2">
        <f>경동전체1!H418</f>
        <v>0</v>
      </c>
      <c r="I418" s="2" t="str">
        <f>경동전체1!I418&amp;""</f>
        <v/>
      </c>
      <c r="J418" s="2" t="s">
        <v>36</v>
      </c>
      <c r="K418" s="2" t="str">
        <f>IF(LEFT(경동전체1!G418,1)="","따사룸",경동전체1!G418)</f>
        <v>따사룸</v>
      </c>
      <c r="L418" s="4" t="str">
        <f t="shared" si="24"/>
        <v>1</v>
      </c>
      <c r="M418" s="1" t="str">
        <f>IF(LEFT(경동전체1!D418,1)="2","비닐",IF(LEFT(경동전체1!O418,1)="박","박스","비닐"))</f>
        <v>비닐</v>
      </c>
      <c r="N418" s="25">
        <v>1</v>
      </c>
      <c r="O418" s="25">
        <v>1</v>
      </c>
      <c r="P418" s="25">
        <v>1</v>
      </c>
      <c r="Q418" s="25">
        <v>1</v>
      </c>
      <c r="R418" s="1" t="str">
        <f t="shared" si="25"/>
        <v>50</v>
      </c>
      <c r="S418" s="1">
        <f>경동전체1!B418</f>
        <v>0</v>
      </c>
      <c r="T418" s="1" t="str">
        <f t="shared" si="26"/>
        <v>100</v>
      </c>
      <c r="U418" s="5" t="str">
        <f t="shared" si="27"/>
        <v>0</v>
      </c>
      <c r="V418" s="26">
        <v>0</v>
      </c>
      <c r="W418" s="26">
        <v>0</v>
      </c>
      <c r="X418" s="2" t="str">
        <f>SUBSTITUTE(SUBSTITUTE(SUBSTITUTE(SUBSTITUTE(SUBSTITUTE(SUBSTITUTE(SUBSTITUTE(SUBSTITUTE(SUBSTITUTE(SUBSTITUTE(SUBSTITUTE(SUBSTITUTE(SUBSTITUTE(경동전체1!D418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9" spans="1:24" ht="20.25" customHeight="1" x14ac:dyDescent="0.3">
      <c r="A419" s="2">
        <f>경동전체1!A419</f>
        <v>0</v>
      </c>
      <c r="B419" s="13" t="str">
        <f>SUBSTITUTE(SUBSTITUTE(SUBSTITUTE(SUBSTITUTE(SUBSTITUTE(SUBSTITUTE(SUBSTITUTE(SUBSTITUTE(SUBSTITUTE(SUBSTITUTE(SUBSTITUTE(SUBSTITUTE(SUBSTITUTE(경동전체1!K419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9" s="30">
        <f>경동전체1!E419</f>
        <v>0</v>
      </c>
      <c r="D419" s="23"/>
      <c r="E419" s="23"/>
      <c r="F419" s="4">
        <f>경동전체1!J419</f>
        <v>0</v>
      </c>
      <c r="G419" s="23"/>
      <c r="H419" s="2">
        <f>경동전체1!H419</f>
        <v>0</v>
      </c>
      <c r="I419" s="2" t="str">
        <f>경동전체1!I419&amp;""</f>
        <v/>
      </c>
      <c r="J419" s="2" t="s">
        <v>36</v>
      </c>
      <c r="K419" s="2" t="str">
        <f>IF(LEFT(경동전체1!G419,1)="","따사룸",경동전체1!G419)</f>
        <v>따사룸</v>
      </c>
      <c r="L419" s="4" t="str">
        <f t="shared" si="24"/>
        <v>1</v>
      </c>
      <c r="M419" s="1" t="str">
        <f>IF(LEFT(경동전체1!D419,1)="2","비닐",IF(LEFT(경동전체1!O419,1)="박","박스","비닐"))</f>
        <v>비닐</v>
      </c>
      <c r="N419" s="25">
        <v>1</v>
      </c>
      <c r="O419" s="25">
        <v>1</v>
      </c>
      <c r="P419" s="25">
        <v>1</v>
      </c>
      <c r="Q419" s="25">
        <v>1</v>
      </c>
      <c r="R419" s="1" t="str">
        <f t="shared" si="25"/>
        <v>50</v>
      </c>
      <c r="S419" s="1">
        <f>경동전체1!B419</f>
        <v>0</v>
      </c>
      <c r="T419" s="1" t="str">
        <f t="shared" si="26"/>
        <v>100</v>
      </c>
      <c r="U419" s="5" t="str">
        <f t="shared" si="27"/>
        <v>0</v>
      </c>
      <c r="V419" s="26">
        <v>0</v>
      </c>
      <c r="W419" s="26">
        <v>0</v>
      </c>
      <c r="X419" s="2" t="str">
        <f>SUBSTITUTE(SUBSTITUTE(SUBSTITUTE(SUBSTITUTE(SUBSTITUTE(SUBSTITUTE(SUBSTITUTE(SUBSTITUTE(SUBSTITUTE(SUBSTITUTE(SUBSTITUTE(SUBSTITUTE(SUBSTITUTE(경동전체1!D419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0" spans="1:24" ht="20.25" customHeight="1" x14ac:dyDescent="0.3">
      <c r="A420" s="2">
        <f>경동전체1!A420</f>
        <v>0</v>
      </c>
      <c r="B420" s="13" t="str">
        <f>SUBSTITUTE(SUBSTITUTE(SUBSTITUTE(SUBSTITUTE(SUBSTITUTE(SUBSTITUTE(SUBSTITUTE(SUBSTITUTE(SUBSTITUTE(SUBSTITUTE(SUBSTITUTE(SUBSTITUTE(SUBSTITUTE(경동전체1!K420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0" s="30">
        <f>경동전체1!E420</f>
        <v>0</v>
      </c>
      <c r="D420" s="23"/>
      <c r="E420" s="23"/>
      <c r="F420" s="4">
        <f>경동전체1!J420</f>
        <v>0</v>
      </c>
      <c r="G420" s="23"/>
      <c r="H420" s="2">
        <f>경동전체1!H420</f>
        <v>0</v>
      </c>
      <c r="I420" s="2" t="str">
        <f>경동전체1!I420&amp;""</f>
        <v/>
      </c>
      <c r="J420" s="2" t="s">
        <v>36</v>
      </c>
      <c r="K420" s="2" t="str">
        <f>IF(LEFT(경동전체1!G420,1)="","따사룸",경동전체1!G420)</f>
        <v>따사룸</v>
      </c>
      <c r="L420" s="4" t="str">
        <f t="shared" si="24"/>
        <v>1</v>
      </c>
      <c r="M420" s="1" t="str">
        <f>IF(LEFT(경동전체1!D420,1)="2","비닐",IF(LEFT(경동전체1!O420,1)="박","박스","비닐"))</f>
        <v>비닐</v>
      </c>
      <c r="N420" s="25">
        <v>1</v>
      </c>
      <c r="O420" s="25">
        <v>1</v>
      </c>
      <c r="P420" s="25">
        <v>1</v>
      </c>
      <c r="Q420" s="25">
        <v>1</v>
      </c>
      <c r="R420" s="1" t="str">
        <f t="shared" si="25"/>
        <v>50</v>
      </c>
      <c r="S420" s="1">
        <f>경동전체1!B420</f>
        <v>0</v>
      </c>
      <c r="T420" s="1" t="str">
        <f t="shared" si="26"/>
        <v>100</v>
      </c>
      <c r="U420" s="5" t="str">
        <f t="shared" si="27"/>
        <v>0</v>
      </c>
      <c r="V420" s="26">
        <v>0</v>
      </c>
      <c r="W420" s="26">
        <v>0</v>
      </c>
      <c r="X420" s="2" t="str">
        <f>SUBSTITUTE(SUBSTITUTE(SUBSTITUTE(SUBSTITUTE(SUBSTITUTE(SUBSTITUTE(SUBSTITUTE(SUBSTITUTE(SUBSTITUTE(SUBSTITUTE(SUBSTITUTE(SUBSTITUTE(SUBSTITUTE(경동전체1!D420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1" spans="1:24" ht="20.25" customHeight="1" x14ac:dyDescent="0.3">
      <c r="A421" s="2">
        <f>경동전체1!A421</f>
        <v>0</v>
      </c>
      <c r="B421" s="13" t="str">
        <f>SUBSTITUTE(SUBSTITUTE(SUBSTITUTE(SUBSTITUTE(SUBSTITUTE(SUBSTITUTE(SUBSTITUTE(SUBSTITUTE(SUBSTITUTE(SUBSTITUTE(SUBSTITUTE(SUBSTITUTE(SUBSTITUTE(경동전체1!K421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1" s="30">
        <f>경동전체1!E421</f>
        <v>0</v>
      </c>
      <c r="D421" s="23"/>
      <c r="E421" s="23"/>
      <c r="F421" s="4">
        <f>경동전체1!J421</f>
        <v>0</v>
      </c>
      <c r="G421" s="23"/>
      <c r="H421" s="2">
        <f>경동전체1!H421</f>
        <v>0</v>
      </c>
      <c r="I421" s="2" t="str">
        <f>경동전체1!I421&amp;""</f>
        <v/>
      </c>
      <c r="J421" s="2" t="s">
        <v>36</v>
      </c>
      <c r="K421" s="2" t="str">
        <f>IF(LEFT(경동전체1!G421,1)="","따사룸",경동전체1!G421)</f>
        <v>따사룸</v>
      </c>
      <c r="L421" s="4" t="str">
        <f t="shared" si="24"/>
        <v>1</v>
      </c>
      <c r="M421" s="1" t="str">
        <f>IF(LEFT(경동전체1!D421,1)="2","비닐",IF(LEFT(경동전체1!O421,1)="박","박스","비닐"))</f>
        <v>비닐</v>
      </c>
      <c r="N421" s="25">
        <v>1</v>
      </c>
      <c r="O421" s="25">
        <v>1</v>
      </c>
      <c r="P421" s="25">
        <v>1</v>
      </c>
      <c r="Q421" s="25">
        <v>1</v>
      </c>
      <c r="R421" s="1" t="str">
        <f t="shared" si="25"/>
        <v>50</v>
      </c>
      <c r="S421" s="1">
        <f>경동전체1!B421</f>
        <v>0</v>
      </c>
      <c r="T421" s="1" t="str">
        <f t="shared" si="26"/>
        <v>100</v>
      </c>
      <c r="U421" s="5" t="str">
        <f t="shared" si="27"/>
        <v>0</v>
      </c>
      <c r="V421" s="26">
        <v>0</v>
      </c>
      <c r="W421" s="26">
        <v>0</v>
      </c>
      <c r="X421" s="2" t="str">
        <f>SUBSTITUTE(SUBSTITUTE(SUBSTITUTE(SUBSTITUTE(SUBSTITUTE(SUBSTITUTE(SUBSTITUTE(SUBSTITUTE(SUBSTITUTE(SUBSTITUTE(SUBSTITUTE(SUBSTITUTE(SUBSTITUTE(경동전체1!D421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2" spans="1:24" ht="20.25" customHeight="1" x14ac:dyDescent="0.3">
      <c r="A422" s="2">
        <f>경동전체1!A422</f>
        <v>0</v>
      </c>
      <c r="B422" s="13" t="str">
        <f>SUBSTITUTE(SUBSTITUTE(SUBSTITUTE(SUBSTITUTE(SUBSTITUTE(SUBSTITUTE(SUBSTITUTE(SUBSTITUTE(SUBSTITUTE(SUBSTITUTE(SUBSTITUTE(SUBSTITUTE(SUBSTITUTE(경동전체1!K422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2" s="30">
        <f>경동전체1!E422</f>
        <v>0</v>
      </c>
      <c r="D422" s="23"/>
      <c r="E422" s="23"/>
      <c r="F422" s="4">
        <f>경동전체1!J422</f>
        <v>0</v>
      </c>
      <c r="G422" s="23"/>
      <c r="H422" s="2">
        <f>경동전체1!H422</f>
        <v>0</v>
      </c>
      <c r="I422" s="2" t="str">
        <f>경동전체1!I422&amp;""</f>
        <v/>
      </c>
      <c r="J422" s="2" t="s">
        <v>36</v>
      </c>
      <c r="K422" s="2" t="str">
        <f>IF(LEFT(경동전체1!G422,1)="","따사룸",경동전체1!G422)</f>
        <v>따사룸</v>
      </c>
      <c r="L422" s="4" t="str">
        <f t="shared" si="24"/>
        <v>1</v>
      </c>
      <c r="M422" s="1" t="str">
        <f>IF(LEFT(경동전체1!D422,1)="2","비닐",IF(LEFT(경동전체1!O422,1)="박","박스","비닐"))</f>
        <v>비닐</v>
      </c>
      <c r="N422" s="25">
        <v>1</v>
      </c>
      <c r="O422" s="25">
        <v>1</v>
      </c>
      <c r="P422" s="25">
        <v>1</v>
      </c>
      <c r="Q422" s="25">
        <v>1</v>
      </c>
      <c r="R422" s="1" t="str">
        <f t="shared" si="25"/>
        <v>50</v>
      </c>
      <c r="S422" s="1">
        <f>경동전체1!B422</f>
        <v>0</v>
      </c>
      <c r="T422" s="1" t="str">
        <f t="shared" si="26"/>
        <v>100</v>
      </c>
      <c r="U422" s="5" t="str">
        <f t="shared" si="27"/>
        <v>0</v>
      </c>
      <c r="V422" s="26">
        <v>0</v>
      </c>
      <c r="W422" s="26">
        <v>0</v>
      </c>
      <c r="X422" s="2" t="str">
        <f>SUBSTITUTE(SUBSTITUTE(SUBSTITUTE(SUBSTITUTE(SUBSTITUTE(SUBSTITUTE(SUBSTITUTE(SUBSTITUTE(SUBSTITUTE(SUBSTITUTE(SUBSTITUTE(SUBSTITUTE(SUBSTITUTE(경동전체1!D422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3" spans="1:24" ht="20.25" customHeight="1" x14ac:dyDescent="0.3">
      <c r="A423" s="2">
        <f>경동전체1!A423</f>
        <v>0</v>
      </c>
      <c r="B423" s="13" t="str">
        <f>SUBSTITUTE(SUBSTITUTE(SUBSTITUTE(SUBSTITUTE(SUBSTITUTE(SUBSTITUTE(SUBSTITUTE(SUBSTITUTE(SUBSTITUTE(SUBSTITUTE(SUBSTITUTE(SUBSTITUTE(SUBSTITUTE(경동전체1!K423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3" s="30">
        <f>경동전체1!E423</f>
        <v>0</v>
      </c>
      <c r="D423" s="23"/>
      <c r="E423" s="23"/>
      <c r="F423" s="4">
        <f>경동전체1!J423</f>
        <v>0</v>
      </c>
      <c r="G423" s="23"/>
      <c r="H423" s="2">
        <f>경동전체1!H423</f>
        <v>0</v>
      </c>
      <c r="I423" s="2" t="str">
        <f>경동전체1!I423&amp;""</f>
        <v/>
      </c>
      <c r="J423" s="2" t="s">
        <v>36</v>
      </c>
      <c r="K423" s="2" t="str">
        <f>IF(LEFT(경동전체1!G423,1)="","따사룸",경동전체1!G423)</f>
        <v>따사룸</v>
      </c>
      <c r="L423" s="4" t="str">
        <f t="shared" si="24"/>
        <v>1</v>
      </c>
      <c r="M423" s="1" t="str">
        <f>IF(LEFT(경동전체1!D423,1)="2","비닐",IF(LEFT(경동전체1!O423,1)="박","박스","비닐"))</f>
        <v>비닐</v>
      </c>
      <c r="N423" s="25">
        <v>1</v>
      </c>
      <c r="O423" s="25">
        <v>1</v>
      </c>
      <c r="P423" s="25">
        <v>1</v>
      </c>
      <c r="Q423" s="25">
        <v>1</v>
      </c>
      <c r="R423" s="1" t="str">
        <f t="shared" si="25"/>
        <v>50</v>
      </c>
      <c r="S423" s="1">
        <f>경동전체1!B423</f>
        <v>0</v>
      </c>
      <c r="T423" s="1" t="str">
        <f t="shared" si="26"/>
        <v>100</v>
      </c>
      <c r="U423" s="5" t="str">
        <f t="shared" si="27"/>
        <v>0</v>
      </c>
      <c r="V423" s="26">
        <v>0</v>
      </c>
      <c r="W423" s="26">
        <v>0</v>
      </c>
      <c r="X423" s="2" t="str">
        <f>SUBSTITUTE(SUBSTITUTE(SUBSTITUTE(SUBSTITUTE(SUBSTITUTE(SUBSTITUTE(SUBSTITUTE(SUBSTITUTE(SUBSTITUTE(SUBSTITUTE(SUBSTITUTE(SUBSTITUTE(SUBSTITUTE(경동전체1!D423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4" spans="1:24" ht="20.25" customHeight="1" x14ac:dyDescent="0.3">
      <c r="A424" s="2">
        <f>경동전체1!A424</f>
        <v>0</v>
      </c>
      <c r="B424" s="13" t="str">
        <f>SUBSTITUTE(SUBSTITUTE(SUBSTITUTE(SUBSTITUTE(SUBSTITUTE(SUBSTITUTE(SUBSTITUTE(SUBSTITUTE(SUBSTITUTE(SUBSTITUTE(SUBSTITUTE(SUBSTITUTE(SUBSTITUTE(경동전체1!K424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4" s="30">
        <f>경동전체1!E424</f>
        <v>0</v>
      </c>
      <c r="D424" s="23"/>
      <c r="E424" s="23"/>
      <c r="F424" s="4">
        <f>경동전체1!J424</f>
        <v>0</v>
      </c>
      <c r="G424" s="23"/>
      <c r="H424" s="2">
        <f>경동전체1!H424</f>
        <v>0</v>
      </c>
      <c r="I424" s="2" t="str">
        <f>경동전체1!I424&amp;""</f>
        <v/>
      </c>
      <c r="J424" s="2" t="s">
        <v>36</v>
      </c>
      <c r="K424" s="2" t="str">
        <f>IF(LEFT(경동전체1!G424,1)="","따사룸",경동전체1!G424)</f>
        <v>따사룸</v>
      </c>
      <c r="L424" s="4" t="str">
        <f t="shared" si="24"/>
        <v>1</v>
      </c>
      <c r="M424" s="1" t="str">
        <f>IF(LEFT(경동전체1!D424,1)="2","비닐",IF(LEFT(경동전체1!O424,1)="박","박스","비닐"))</f>
        <v>비닐</v>
      </c>
      <c r="N424" s="25">
        <v>1</v>
      </c>
      <c r="O424" s="25">
        <v>1</v>
      </c>
      <c r="P424" s="25">
        <v>1</v>
      </c>
      <c r="Q424" s="25">
        <v>1</v>
      </c>
      <c r="R424" s="1" t="str">
        <f t="shared" si="25"/>
        <v>50</v>
      </c>
      <c r="S424" s="1">
        <f>경동전체1!B424</f>
        <v>0</v>
      </c>
      <c r="T424" s="1" t="str">
        <f t="shared" si="26"/>
        <v>100</v>
      </c>
      <c r="U424" s="5" t="str">
        <f t="shared" si="27"/>
        <v>0</v>
      </c>
      <c r="V424" s="26">
        <v>0</v>
      </c>
      <c r="W424" s="26">
        <v>0</v>
      </c>
      <c r="X424" s="2" t="str">
        <f>SUBSTITUTE(SUBSTITUTE(SUBSTITUTE(SUBSTITUTE(SUBSTITUTE(SUBSTITUTE(SUBSTITUTE(SUBSTITUTE(SUBSTITUTE(SUBSTITUTE(SUBSTITUTE(SUBSTITUTE(SUBSTITUTE(경동전체1!D424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5" spans="1:24" ht="20.25" customHeight="1" x14ac:dyDescent="0.3">
      <c r="A425" s="2">
        <f>경동전체1!A425</f>
        <v>0</v>
      </c>
      <c r="B425" s="13" t="str">
        <f>SUBSTITUTE(SUBSTITUTE(SUBSTITUTE(SUBSTITUTE(SUBSTITUTE(SUBSTITUTE(SUBSTITUTE(SUBSTITUTE(SUBSTITUTE(SUBSTITUTE(SUBSTITUTE(SUBSTITUTE(SUBSTITUTE(경동전체1!K425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5" s="30">
        <f>경동전체1!E425</f>
        <v>0</v>
      </c>
      <c r="D425" s="23"/>
      <c r="E425" s="23"/>
      <c r="F425" s="4">
        <f>경동전체1!J425</f>
        <v>0</v>
      </c>
      <c r="G425" s="23"/>
      <c r="H425" s="2">
        <f>경동전체1!H425</f>
        <v>0</v>
      </c>
      <c r="I425" s="2" t="str">
        <f>경동전체1!I425&amp;""</f>
        <v/>
      </c>
      <c r="J425" s="2" t="s">
        <v>36</v>
      </c>
      <c r="K425" s="2" t="str">
        <f>IF(LEFT(경동전체1!G425,1)="","따사룸",경동전체1!G425)</f>
        <v>따사룸</v>
      </c>
      <c r="L425" s="4" t="str">
        <f t="shared" si="24"/>
        <v>1</v>
      </c>
      <c r="M425" s="1" t="str">
        <f>IF(LEFT(경동전체1!D425,1)="2","비닐",IF(LEFT(경동전체1!O425,1)="박","박스","비닐"))</f>
        <v>비닐</v>
      </c>
      <c r="N425" s="25">
        <v>1</v>
      </c>
      <c r="O425" s="25">
        <v>1</v>
      </c>
      <c r="P425" s="25">
        <v>1</v>
      </c>
      <c r="Q425" s="25">
        <v>1</v>
      </c>
      <c r="R425" s="1" t="str">
        <f t="shared" si="25"/>
        <v>50</v>
      </c>
      <c r="S425" s="1">
        <f>경동전체1!B425</f>
        <v>0</v>
      </c>
      <c r="T425" s="1" t="str">
        <f t="shared" si="26"/>
        <v>100</v>
      </c>
      <c r="U425" s="5" t="str">
        <f t="shared" si="27"/>
        <v>0</v>
      </c>
      <c r="V425" s="26">
        <v>0</v>
      </c>
      <c r="W425" s="26">
        <v>0</v>
      </c>
      <c r="X425" s="2" t="str">
        <f>SUBSTITUTE(SUBSTITUTE(SUBSTITUTE(SUBSTITUTE(SUBSTITUTE(SUBSTITUTE(SUBSTITUTE(SUBSTITUTE(SUBSTITUTE(SUBSTITUTE(SUBSTITUTE(SUBSTITUTE(SUBSTITUTE(경동전체1!D425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6" spans="1:24" ht="20.25" customHeight="1" x14ac:dyDescent="0.3">
      <c r="A426" s="2">
        <f>경동전체1!A426</f>
        <v>0</v>
      </c>
      <c r="B426" s="13" t="str">
        <f>SUBSTITUTE(SUBSTITUTE(SUBSTITUTE(SUBSTITUTE(SUBSTITUTE(SUBSTITUTE(SUBSTITUTE(SUBSTITUTE(SUBSTITUTE(SUBSTITUTE(SUBSTITUTE(SUBSTITUTE(SUBSTITUTE(경동전체1!K426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6" s="30">
        <f>경동전체1!E426</f>
        <v>0</v>
      </c>
      <c r="D426" s="23"/>
      <c r="E426" s="23"/>
      <c r="F426" s="4">
        <f>경동전체1!J426</f>
        <v>0</v>
      </c>
      <c r="G426" s="23"/>
      <c r="H426" s="2">
        <f>경동전체1!H426</f>
        <v>0</v>
      </c>
      <c r="I426" s="2" t="str">
        <f>경동전체1!I426&amp;""</f>
        <v/>
      </c>
      <c r="J426" s="2" t="s">
        <v>36</v>
      </c>
      <c r="K426" s="2" t="str">
        <f>IF(LEFT(경동전체1!G426,1)="","따사룸",경동전체1!G426)</f>
        <v>따사룸</v>
      </c>
      <c r="L426" s="4" t="str">
        <f t="shared" si="24"/>
        <v>1</v>
      </c>
      <c r="M426" s="1" t="str">
        <f>IF(LEFT(경동전체1!D426,1)="2","비닐",IF(LEFT(경동전체1!O426,1)="박","박스","비닐"))</f>
        <v>비닐</v>
      </c>
      <c r="N426" s="25">
        <v>1</v>
      </c>
      <c r="O426" s="25">
        <v>1</v>
      </c>
      <c r="P426" s="25">
        <v>1</v>
      </c>
      <c r="Q426" s="25">
        <v>1</v>
      </c>
      <c r="R426" s="1" t="str">
        <f t="shared" si="25"/>
        <v>50</v>
      </c>
      <c r="S426" s="1">
        <f>경동전체1!B426</f>
        <v>0</v>
      </c>
      <c r="T426" s="1" t="str">
        <f t="shared" si="26"/>
        <v>100</v>
      </c>
      <c r="U426" s="5" t="str">
        <f t="shared" si="27"/>
        <v>0</v>
      </c>
      <c r="V426" s="26">
        <v>0</v>
      </c>
      <c r="W426" s="26">
        <v>0</v>
      </c>
      <c r="X426" s="2" t="str">
        <f>SUBSTITUTE(SUBSTITUTE(SUBSTITUTE(SUBSTITUTE(SUBSTITUTE(SUBSTITUTE(SUBSTITUTE(SUBSTITUTE(SUBSTITUTE(SUBSTITUTE(SUBSTITUTE(SUBSTITUTE(SUBSTITUTE(경동전체1!D426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7" spans="1:24" ht="20.25" customHeight="1" x14ac:dyDescent="0.3">
      <c r="A427" s="2">
        <f>경동전체1!A427</f>
        <v>0</v>
      </c>
      <c r="B427" s="13" t="str">
        <f>SUBSTITUTE(SUBSTITUTE(SUBSTITUTE(SUBSTITUTE(SUBSTITUTE(SUBSTITUTE(SUBSTITUTE(SUBSTITUTE(SUBSTITUTE(SUBSTITUTE(SUBSTITUTE(SUBSTITUTE(SUBSTITUTE(경동전체1!K427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7" s="30">
        <f>경동전체1!E427</f>
        <v>0</v>
      </c>
      <c r="D427" s="23"/>
      <c r="E427" s="23"/>
      <c r="F427" s="4">
        <f>경동전체1!J427</f>
        <v>0</v>
      </c>
      <c r="G427" s="23"/>
      <c r="H427" s="2">
        <f>경동전체1!H427</f>
        <v>0</v>
      </c>
      <c r="I427" s="2" t="str">
        <f>경동전체1!I427&amp;""</f>
        <v/>
      </c>
      <c r="J427" s="2" t="s">
        <v>36</v>
      </c>
      <c r="K427" s="2" t="str">
        <f>IF(LEFT(경동전체1!G427,1)="","따사룸",경동전체1!G427)</f>
        <v>따사룸</v>
      </c>
      <c r="L427" s="4" t="str">
        <f t="shared" si="24"/>
        <v>1</v>
      </c>
      <c r="M427" s="1" t="str">
        <f>IF(LEFT(경동전체1!D427,1)="2","비닐",IF(LEFT(경동전체1!O427,1)="박","박스","비닐"))</f>
        <v>비닐</v>
      </c>
      <c r="N427" s="25">
        <v>1</v>
      </c>
      <c r="O427" s="25">
        <v>1</v>
      </c>
      <c r="P427" s="25">
        <v>1</v>
      </c>
      <c r="Q427" s="25">
        <v>1</v>
      </c>
      <c r="R427" s="1" t="str">
        <f t="shared" si="25"/>
        <v>50</v>
      </c>
      <c r="S427" s="1">
        <f>경동전체1!B427</f>
        <v>0</v>
      </c>
      <c r="T427" s="1" t="str">
        <f t="shared" si="26"/>
        <v>100</v>
      </c>
      <c r="U427" s="5" t="str">
        <f t="shared" si="27"/>
        <v>0</v>
      </c>
      <c r="V427" s="26">
        <v>0</v>
      </c>
      <c r="W427" s="26">
        <v>0</v>
      </c>
      <c r="X427" s="2" t="str">
        <f>SUBSTITUTE(SUBSTITUTE(SUBSTITUTE(SUBSTITUTE(SUBSTITUTE(SUBSTITUTE(SUBSTITUTE(SUBSTITUTE(SUBSTITUTE(SUBSTITUTE(SUBSTITUTE(SUBSTITUTE(SUBSTITUTE(경동전체1!D427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8" spans="1:24" ht="20.25" customHeight="1" x14ac:dyDescent="0.3">
      <c r="A428" s="2">
        <f>경동전체1!A428</f>
        <v>0</v>
      </c>
      <c r="B428" s="13" t="str">
        <f>SUBSTITUTE(SUBSTITUTE(SUBSTITUTE(SUBSTITUTE(SUBSTITUTE(SUBSTITUTE(SUBSTITUTE(SUBSTITUTE(SUBSTITUTE(SUBSTITUTE(SUBSTITUTE(SUBSTITUTE(SUBSTITUTE(경동전체1!K428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8" s="30">
        <f>경동전체1!E428</f>
        <v>0</v>
      </c>
      <c r="D428" s="23"/>
      <c r="E428" s="23"/>
      <c r="F428" s="4">
        <f>경동전체1!J428</f>
        <v>0</v>
      </c>
      <c r="G428" s="23"/>
      <c r="H428" s="2">
        <f>경동전체1!H428</f>
        <v>0</v>
      </c>
      <c r="I428" s="2" t="str">
        <f>경동전체1!I428&amp;""</f>
        <v/>
      </c>
      <c r="J428" s="2" t="s">
        <v>36</v>
      </c>
      <c r="K428" s="2" t="str">
        <f>IF(LEFT(경동전체1!G428,1)="","따사룸",경동전체1!G428)</f>
        <v>따사룸</v>
      </c>
      <c r="L428" s="4" t="str">
        <f t="shared" si="24"/>
        <v>1</v>
      </c>
      <c r="M428" s="1" t="str">
        <f>IF(LEFT(경동전체1!D428,1)="2","비닐",IF(LEFT(경동전체1!O428,1)="박","박스","비닐"))</f>
        <v>비닐</v>
      </c>
      <c r="N428" s="25">
        <v>1</v>
      </c>
      <c r="O428" s="25">
        <v>1</v>
      </c>
      <c r="P428" s="25">
        <v>1</v>
      </c>
      <c r="Q428" s="25">
        <v>1</v>
      </c>
      <c r="R428" s="1" t="str">
        <f t="shared" si="25"/>
        <v>50</v>
      </c>
      <c r="S428" s="1">
        <f>경동전체1!B428</f>
        <v>0</v>
      </c>
      <c r="T428" s="1" t="str">
        <f t="shared" si="26"/>
        <v>100</v>
      </c>
      <c r="U428" s="5" t="str">
        <f t="shared" si="27"/>
        <v>0</v>
      </c>
      <c r="V428" s="26">
        <v>0</v>
      </c>
      <c r="W428" s="26">
        <v>0</v>
      </c>
      <c r="X428" s="2" t="str">
        <f>SUBSTITUTE(SUBSTITUTE(SUBSTITUTE(SUBSTITUTE(SUBSTITUTE(SUBSTITUTE(SUBSTITUTE(SUBSTITUTE(SUBSTITUTE(SUBSTITUTE(SUBSTITUTE(SUBSTITUTE(SUBSTITUTE(경동전체1!D428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9" spans="1:24" ht="20.25" customHeight="1" x14ac:dyDescent="0.3">
      <c r="A429" s="2">
        <f>경동전체1!A429</f>
        <v>0</v>
      </c>
      <c r="B429" s="13" t="str">
        <f>SUBSTITUTE(SUBSTITUTE(SUBSTITUTE(SUBSTITUTE(SUBSTITUTE(SUBSTITUTE(SUBSTITUTE(SUBSTITUTE(SUBSTITUTE(SUBSTITUTE(SUBSTITUTE(SUBSTITUTE(SUBSTITUTE(경동전체1!K429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9" s="30">
        <f>경동전체1!E429</f>
        <v>0</v>
      </c>
      <c r="D429" s="23"/>
      <c r="E429" s="23"/>
      <c r="F429" s="4">
        <f>경동전체1!J429</f>
        <v>0</v>
      </c>
      <c r="G429" s="23"/>
      <c r="H429" s="2">
        <f>경동전체1!H429</f>
        <v>0</v>
      </c>
      <c r="I429" s="2" t="str">
        <f>경동전체1!I429&amp;""</f>
        <v/>
      </c>
      <c r="J429" s="2" t="s">
        <v>36</v>
      </c>
      <c r="K429" s="2" t="str">
        <f>IF(LEFT(경동전체1!G429,1)="","따사룸",경동전체1!G429)</f>
        <v>따사룸</v>
      </c>
      <c r="L429" s="4" t="str">
        <f t="shared" si="24"/>
        <v>1</v>
      </c>
      <c r="M429" s="1" t="str">
        <f>IF(LEFT(경동전체1!D429,1)="2","비닐",IF(LEFT(경동전체1!O429,1)="박","박스","비닐"))</f>
        <v>비닐</v>
      </c>
      <c r="N429" s="25">
        <v>1</v>
      </c>
      <c r="O429" s="25">
        <v>1</v>
      </c>
      <c r="P429" s="25">
        <v>1</v>
      </c>
      <c r="Q429" s="25">
        <v>1</v>
      </c>
      <c r="R429" s="1" t="str">
        <f t="shared" si="25"/>
        <v>50</v>
      </c>
      <c r="S429" s="1">
        <f>경동전체1!B429</f>
        <v>0</v>
      </c>
      <c r="T429" s="1" t="str">
        <f t="shared" si="26"/>
        <v>100</v>
      </c>
      <c r="U429" s="5" t="str">
        <f t="shared" si="27"/>
        <v>0</v>
      </c>
      <c r="V429" s="26">
        <v>0</v>
      </c>
      <c r="W429" s="26">
        <v>0</v>
      </c>
      <c r="X429" s="2" t="str">
        <f>SUBSTITUTE(SUBSTITUTE(SUBSTITUTE(SUBSTITUTE(SUBSTITUTE(SUBSTITUTE(SUBSTITUTE(SUBSTITUTE(SUBSTITUTE(SUBSTITUTE(SUBSTITUTE(SUBSTITUTE(SUBSTITUTE(경동전체1!D429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0" spans="1:24" ht="20.25" customHeight="1" x14ac:dyDescent="0.3">
      <c r="A430" s="2">
        <f>경동전체1!A430</f>
        <v>0</v>
      </c>
      <c r="B430" s="13" t="str">
        <f>SUBSTITUTE(SUBSTITUTE(SUBSTITUTE(SUBSTITUTE(SUBSTITUTE(SUBSTITUTE(SUBSTITUTE(SUBSTITUTE(SUBSTITUTE(SUBSTITUTE(SUBSTITUTE(SUBSTITUTE(SUBSTITUTE(경동전체1!K430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0" s="30">
        <f>경동전체1!E430</f>
        <v>0</v>
      </c>
      <c r="D430" s="23"/>
      <c r="E430" s="23"/>
      <c r="F430" s="4">
        <f>경동전체1!J430</f>
        <v>0</v>
      </c>
      <c r="G430" s="23"/>
      <c r="H430" s="2">
        <f>경동전체1!H430</f>
        <v>0</v>
      </c>
      <c r="I430" s="2" t="str">
        <f>경동전체1!I430&amp;""</f>
        <v/>
      </c>
      <c r="J430" s="2" t="s">
        <v>36</v>
      </c>
      <c r="K430" s="2" t="str">
        <f>IF(LEFT(경동전체1!G430,1)="","따사룸",경동전체1!G430)</f>
        <v>따사룸</v>
      </c>
      <c r="L430" s="4" t="str">
        <f t="shared" si="24"/>
        <v>1</v>
      </c>
      <c r="M430" s="1" t="str">
        <f>IF(LEFT(경동전체1!D430,1)="2","비닐",IF(LEFT(경동전체1!O430,1)="박","박스","비닐"))</f>
        <v>비닐</v>
      </c>
      <c r="N430" s="25">
        <v>1</v>
      </c>
      <c r="O430" s="25">
        <v>1</v>
      </c>
      <c r="P430" s="25">
        <v>1</v>
      </c>
      <c r="Q430" s="25">
        <v>1</v>
      </c>
      <c r="R430" s="1" t="str">
        <f t="shared" si="25"/>
        <v>50</v>
      </c>
      <c r="S430" s="1">
        <f>경동전체1!B430</f>
        <v>0</v>
      </c>
      <c r="T430" s="1" t="str">
        <f t="shared" si="26"/>
        <v>100</v>
      </c>
      <c r="U430" s="5" t="str">
        <f t="shared" si="27"/>
        <v>0</v>
      </c>
      <c r="V430" s="26">
        <v>0</v>
      </c>
      <c r="W430" s="26">
        <v>0</v>
      </c>
      <c r="X430" s="2" t="str">
        <f>SUBSTITUTE(SUBSTITUTE(SUBSTITUTE(SUBSTITUTE(SUBSTITUTE(SUBSTITUTE(SUBSTITUTE(SUBSTITUTE(SUBSTITUTE(SUBSTITUTE(SUBSTITUTE(SUBSTITUTE(SUBSTITUTE(경동전체1!D430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1" spans="1:24" ht="20.25" customHeight="1" x14ac:dyDescent="0.3">
      <c r="A431" s="2">
        <f>경동전체1!A431</f>
        <v>0</v>
      </c>
      <c r="B431" s="13" t="str">
        <f>SUBSTITUTE(SUBSTITUTE(SUBSTITUTE(SUBSTITUTE(SUBSTITUTE(SUBSTITUTE(SUBSTITUTE(SUBSTITUTE(SUBSTITUTE(SUBSTITUTE(SUBSTITUTE(SUBSTITUTE(SUBSTITUTE(경동전체1!K431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1" s="30">
        <f>경동전체1!E431</f>
        <v>0</v>
      </c>
      <c r="D431" s="23"/>
      <c r="E431" s="23"/>
      <c r="F431" s="4">
        <f>경동전체1!J431</f>
        <v>0</v>
      </c>
      <c r="G431" s="23"/>
      <c r="H431" s="2">
        <f>경동전체1!H431</f>
        <v>0</v>
      </c>
      <c r="I431" s="2" t="str">
        <f>경동전체1!I431&amp;""</f>
        <v/>
      </c>
      <c r="J431" s="2" t="s">
        <v>36</v>
      </c>
      <c r="K431" s="2" t="str">
        <f>IF(LEFT(경동전체1!G431,1)="","따사룸",경동전체1!G431)</f>
        <v>따사룸</v>
      </c>
      <c r="L431" s="4" t="str">
        <f t="shared" si="24"/>
        <v>1</v>
      </c>
      <c r="M431" s="1" t="str">
        <f>IF(LEFT(경동전체1!D431,1)="2","비닐",IF(LEFT(경동전체1!O431,1)="박","박스","비닐"))</f>
        <v>비닐</v>
      </c>
      <c r="N431" s="25">
        <v>1</v>
      </c>
      <c r="O431" s="25">
        <v>1</v>
      </c>
      <c r="P431" s="25">
        <v>1</v>
      </c>
      <c r="Q431" s="25">
        <v>1</v>
      </c>
      <c r="R431" s="1" t="str">
        <f t="shared" si="25"/>
        <v>50</v>
      </c>
      <c r="S431" s="1">
        <f>경동전체1!B431</f>
        <v>0</v>
      </c>
      <c r="T431" s="1" t="str">
        <f t="shared" si="26"/>
        <v>100</v>
      </c>
      <c r="U431" s="5" t="str">
        <f t="shared" si="27"/>
        <v>0</v>
      </c>
      <c r="V431" s="26">
        <v>0</v>
      </c>
      <c r="W431" s="26">
        <v>0</v>
      </c>
      <c r="X431" s="2" t="str">
        <f>SUBSTITUTE(SUBSTITUTE(SUBSTITUTE(SUBSTITUTE(SUBSTITUTE(SUBSTITUTE(SUBSTITUTE(SUBSTITUTE(SUBSTITUTE(SUBSTITUTE(SUBSTITUTE(SUBSTITUTE(SUBSTITUTE(경동전체1!D431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2" spans="1:24" ht="20.25" customHeight="1" x14ac:dyDescent="0.3">
      <c r="A432" s="2">
        <f>경동전체1!A432</f>
        <v>0</v>
      </c>
      <c r="B432" s="13" t="str">
        <f>SUBSTITUTE(SUBSTITUTE(SUBSTITUTE(SUBSTITUTE(SUBSTITUTE(SUBSTITUTE(SUBSTITUTE(SUBSTITUTE(SUBSTITUTE(SUBSTITUTE(SUBSTITUTE(SUBSTITUTE(SUBSTITUTE(경동전체1!K432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2" s="30">
        <f>경동전체1!E432</f>
        <v>0</v>
      </c>
      <c r="D432" s="23"/>
      <c r="E432" s="23"/>
      <c r="F432" s="4">
        <f>경동전체1!J432</f>
        <v>0</v>
      </c>
      <c r="G432" s="23"/>
      <c r="H432" s="2">
        <f>경동전체1!H432</f>
        <v>0</v>
      </c>
      <c r="I432" s="2" t="str">
        <f>경동전체1!I432&amp;""</f>
        <v/>
      </c>
      <c r="J432" s="2" t="s">
        <v>36</v>
      </c>
      <c r="K432" s="2" t="str">
        <f>IF(LEFT(경동전체1!G432,1)="","따사룸",경동전체1!G432)</f>
        <v>따사룸</v>
      </c>
      <c r="L432" s="4" t="str">
        <f t="shared" si="24"/>
        <v>1</v>
      </c>
      <c r="M432" s="1" t="str">
        <f>IF(LEFT(경동전체1!D432,1)="2","비닐",IF(LEFT(경동전체1!O432,1)="박","박스","비닐"))</f>
        <v>비닐</v>
      </c>
      <c r="N432" s="25">
        <v>1</v>
      </c>
      <c r="O432" s="25">
        <v>1</v>
      </c>
      <c r="P432" s="25">
        <v>1</v>
      </c>
      <c r="Q432" s="25">
        <v>1</v>
      </c>
      <c r="R432" s="1" t="str">
        <f t="shared" si="25"/>
        <v>50</v>
      </c>
      <c r="S432" s="1">
        <f>경동전체1!B432</f>
        <v>0</v>
      </c>
      <c r="T432" s="1" t="str">
        <f t="shared" si="26"/>
        <v>100</v>
      </c>
      <c r="U432" s="5" t="str">
        <f t="shared" si="27"/>
        <v>0</v>
      </c>
      <c r="V432" s="26">
        <v>0</v>
      </c>
      <c r="W432" s="26">
        <v>0</v>
      </c>
      <c r="X432" s="2" t="str">
        <f>SUBSTITUTE(SUBSTITUTE(SUBSTITUTE(SUBSTITUTE(SUBSTITUTE(SUBSTITUTE(SUBSTITUTE(SUBSTITUTE(SUBSTITUTE(SUBSTITUTE(SUBSTITUTE(SUBSTITUTE(SUBSTITUTE(경동전체1!D432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3" spans="1:24" ht="20.25" customHeight="1" x14ac:dyDescent="0.3">
      <c r="A433" s="2">
        <f>경동전체1!A433</f>
        <v>0</v>
      </c>
      <c r="B433" s="13" t="str">
        <f>SUBSTITUTE(SUBSTITUTE(SUBSTITUTE(SUBSTITUTE(SUBSTITUTE(SUBSTITUTE(SUBSTITUTE(SUBSTITUTE(SUBSTITUTE(SUBSTITUTE(SUBSTITUTE(SUBSTITUTE(SUBSTITUTE(경동전체1!K433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3" s="30">
        <f>경동전체1!E433</f>
        <v>0</v>
      </c>
      <c r="D433" s="23"/>
      <c r="E433" s="23"/>
      <c r="F433" s="4">
        <f>경동전체1!J433</f>
        <v>0</v>
      </c>
      <c r="G433" s="23"/>
      <c r="H433" s="2">
        <f>경동전체1!H433</f>
        <v>0</v>
      </c>
      <c r="I433" s="2" t="str">
        <f>경동전체1!I433&amp;""</f>
        <v/>
      </c>
      <c r="J433" s="2" t="s">
        <v>36</v>
      </c>
      <c r="K433" s="2" t="str">
        <f>IF(LEFT(경동전체1!G433,1)="","따사룸",경동전체1!G433)</f>
        <v>따사룸</v>
      </c>
      <c r="L433" s="4" t="str">
        <f t="shared" si="24"/>
        <v>1</v>
      </c>
      <c r="M433" s="1" t="str">
        <f>IF(LEFT(경동전체1!D433,1)="2","비닐",IF(LEFT(경동전체1!O433,1)="박","박스","비닐"))</f>
        <v>비닐</v>
      </c>
      <c r="N433" s="25">
        <v>1</v>
      </c>
      <c r="O433" s="25">
        <v>1</v>
      </c>
      <c r="P433" s="25">
        <v>1</v>
      </c>
      <c r="Q433" s="25">
        <v>1</v>
      </c>
      <c r="R433" s="1" t="str">
        <f t="shared" si="25"/>
        <v>50</v>
      </c>
      <c r="S433" s="1">
        <f>경동전체1!B433</f>
        <v>0</v>
      </c>
      <c r="T433" s="1" t="str">
        <f t="shared" si="26"/>
        <v>100</v>
      </c>
      <c r="U433" s="5" t="str">
        <f t="shared" si="27"/>
        <v>0</v>
      </c>
      <c r="V433" s="26">
        <v>0</v>
      </c>
      <c r="W433" s="26">
        <v>0</v>
      </c>
      <c r="X433" s="2" t="str">
        <f>SUBSTITUTE(SUBSTITUTE(SUBSTITUTE(SUBSTITUTE(SUBSTITUTE(SUBSTITUTE(SUBSTITUTE(SUBSTITUTE(SUBSTITUTE(SUBSTITUTE(SUBSTITUTE(SUBSTITUTE(SUBSTITUTE(경동전체1!D433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4" spans="1:24" ht="20.25" customHeight="1" x14ac:dyDescent="0.3">
      <c r="A434" s="2">
        <f>경동전체1!A434</f>
        <v>0</v>
      </c>
      <c r="B434" s="13" t="str">
        <f>SUBSTITUTE(SUBSTITUTE(SUBSTITUTE(SUBSTITUTE(SUBSTITUTE(SUBSTITUTE(SUBSTITUTE(SUBSTITUTE(SUBSTITUTE(SUBSTITUTE(SUBSTITUTE(SUBSTITUTE(SUBSTITUTE(경동전체1!K434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4" s="30">
        <f>경동전체1!E434</f>
        <v>0</v>
      </c>
      <c r="D434" s="23"/>
      <c r="E434" s="23"/>
      <c r="F434" s="4">
        <f>경동전체1!J434</f>
        <v>0</v>
      </c>
      <c r="G434" s="23"/>
      <c r="H434" s="2">
        <f>경동전체1!H434</f>
        <v>0</v>
      </c>
      <c r="I434" s="2" t="str">
        <f>경동전체1!I434&amp;""</f>
        <v/>
      </c>
      <c r="J434" s="2" t="s">
        <v>36</v>
      </c>
      <c r="K434" s="2" t="str">
        <f>IF(LEFT(경동전체1!G434,1)="","따사룸",경동전체1!G434)</f>
        <v>따사룸</v>
      </c>
      <c r="L434" s="4" t="str">
        <f t="shared" si="24"/>
        <v>1</v>
      </c>
      <c r="M434" s="1" t="str">
        <f>IF(LEFT(경동전체1!D434,1)="2","비닐",IF(LEFT(경동전체1!O434,1)="박","박스","비닐"))</f>
        <v>비닐</v>
      </c>
      <c r="N434" s="25">
        <v>1</v>
      </c>
      <c r="O434" s="25">
        <v>1</v>
      </c>
      <c r="P434" s="25">
        <v>1</v>
      </c>
      <c r="Q434" s="25">
        <v>1</v>
      </c>
      <c r="R434" s="1" t="str">
        <f t="shared" si="25"/>
        <v>50</v>
      </c>
      <c r="S434" s="1">
        <f>경동전체1!B434</f>
        <v>0</v>
      </c>
      <c r="T434" s="1" t="str">
        <f t="shared" si="26"/>
        <v>100</v>
      </c>
      <c r="U434" s="5" t="str">
        <f t="shared" si="27"/>
        <v>0</v>
      </c>
      <c r="V434" s="26">
        <v>0</v>
      </c>
      <c r="W434" s="26">
        <v>0</v>
      </c>
      <c r="X434" s="2" t="str">
        <f>SUBSTITUTE(SUBSTITUTE(SUBSTITUTE(SUBSTITUTE(SUBSTITUTE(SUBSTITUTE(SUBSTITUTE(SUBSTITUTE(SUBSTITUTE(SUBSTITUTE(SUBSTITUTE(SUBSTITUTE(SUBSTITUTE(경동전체1!D434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5" spans="1:24" ht="20.25" customHeight="1" x14ac:dyDescent="0.3">
      <c r="A435" s="2">
        <f>경동전체1!A435</f>
        <v>0</v>
      </c>
      <c r="B435" s="13" t="str">
        <f>SUBSTITUTE(SUBSTITUTE(SUBSTITUTE(SUBSTITUTE(SUBSTITUTE(SUBSTITUTE(SUBSTITUTE(SUBSTITUTE(SUBSTITUTE(SUBSTITUTE(SUBSTITUTE(SUBSTITUTE(SUBSTITUTE(경동전체1!K435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5" s="30">
        <f>경동전체1!E435</f>
        <v>0</v>
      </c>
      <c r="D435" s="23"/>
      <c r="E435" s="23"/>
      <c r="F435" s="4">
        <f>경동전체1!J435</f>
        <v>0</v>
      </c>
      <c r="G435" s="23"/>
      <c r="H435" s="2">
        <f>경동전체1!H435</f>
        <v>0</v>
      </c>
      <c r="I435" s="2" t="str">
        <f>경동전체1!I435&amp;""</f>
        <v/>
      </c>
      <c r="J435" s="2" t="s">
        <v>36</v>
      </c>
      <c r="K435" s="2" t="str">
        <f>IF(LEFT(경동전체1!G435,1)="","따사룸",경동전체1!G435)</f>
        <v>따사룸</v>
      </c>
      <c r="L435" s="4" t="str">
        <f t="shared" si="24"/>
        <v>1</v>
      </c>
      <c r="M435" s="1" t="str">
        <f>IF(LEFT(경동전체1!D435,1)="2","비닐",IF(LEFT(경동전체1!O435,1)="박","박스","비닐"))</f>
        <v>비닐</v>
      </c>
      <c r="N435" s="25">
        <v>1</v>
      </c>
      <c r="O435" s="25">
        <v>1</v>
      </c>
      <c r="P435" s="25">
        <v>1</v>
      </c>
      <c r="Q435" s="25">
        <v>1</v>
      </c>
      <c r="R435" s="1" t="str">
        <f t="shared" si="25"/>
        <v>50</v>
      </c>
      <c r="S435" s="1">
        <f>경동전체1!B435</f>
        <v>0</v>
      </c>
      <c r="T435" s="1" t="str">
        <f t="shared" si="26"/>
        <v>100</v>
      </c>
      <c r="U435" s="5" t="str">
        <f t="shared" si="27"/>
        <v>0</v>
      </c>
      <c r="V435" s="26">
        <v>0</v>
      </c>
      <c r="W435" s="26">
        <v>0</v>
      </c>
      <c r="X435" s="2" t="str">
        <f>SUBSTITUTE(SUBSTITUTE(SUBSTITUTE(SUBSTITUTE(SUBSTITUTE(SUBSTITUTE(SUBSTITUTE(SUBSTITUTE(SUBSTITUTE(SUBSTITUTE(SUBSTITUTE(SUBSTITUTE(SUBSTITUTE(경동전체1!D435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6" spans="1:24" ht="20.25" customHeight="1" x14ac:dyDescent="0.3">
      <c r="A436" s="2">
        <f>경동전체1!A436</f>
        <v>0</v>
      </c>
      <c r="B436" s="13" t="str">
        <f>SUBSTITUTE(SUBSTITUTE(SUBSTITUTE(SUBSTITUTE(SUBSTITUTE(SUBSTITUTE(SUBSTITUTE(SUBSTITUTE(SUBSTITUTE(SUBSTITUTE(SUBSTITUTE(SUBSTITUTE(SUBSTITUTE(경동전체1!K436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6" s="30">
        <f>경동전체1!E436</f>
        <v>0</v>
      </c>
      <c r="D436" s="23"/>
      <c r="E436" s="23"/>
      <c r="F436" s="4">
        <f>경동전체1!J436</f>
        <v>0</v>
      </c>
      <c r="G436" s="23"/>
      <c r="H436" s="2">
        <f>경동전체1!H436</f>
        <v>0</v>
      </c>
      <c r="I436" s="2" t="str">
        <f>경동전체1!I436&amp;""</f>
        <v/>
      </c>
      <c r="J436" s="2" t="s">
        <v>36</v>
      </c>
      <c r="K436" s="2" t="str">
        <f>IF(LEFT(경동전체1!G436,1)="","따사룸",경동전체1!G436)</f>
        <v>따사룸</v>
      </c>
      <c r="L436" s="4" t="str">
        <f t="shared" si="24"/>
        <v>1</v>
      </c>
      <c r="M436" s="1" t="str">
        <f>IF(LEFT(경동전체1!D436,1)="2","비닐",IF(LEFT(경동전체1!O436,1)="박","박스","비닐"))</f>
        <v>비닐</v>
      </c>
      <c r="N436" s="25">
        <v>1</v>
      </c>
      <c r="O436" s="25">
        <v>1</v>
      </c>
      <c r="P436" s="25">
        <v>1</v>
      </c>
      <c r="Q436" s="25">
        <v>1</v>
      </c>
      <c r="R436" s="1" t="str">
        <f t="shared" si="25"/>
        <v>50</v>
      </c>
      <c r="S436" s="1">
        <f>경동전체1!B436</f>
        <v>0</v>
      </c>
      <c r="T436" s="1" t="str">
        <f t="shared" si="26"/>
        <v>100</v>
      </c>
      <c r="U436" s="5" t="str">
        <f t="shared" si="27"/>
        <v>0</v>
      </c>
      <c r="V436" s="26">
        <v>0</v>
      </c>
      <c r="W436" s="26">
        <v>0</v>
      </c>
      <c r="X436" s="2" t="str">
        <f>SUBSTITUTE(SUBSTITUTE(SUBSTITUTE(SUBSTITUTE(SUBSTITUTE(SUBSTITUTE(SUBSTITUTE(SUBSTITUTE(SUBSTITUTE(SUBSTITUTE(SUBSTITUTE(SUBSTITUTE(SUBSTITUTE(경동전체1!D436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7" spans="1:24" ht="20.25" customHeight="1" x14ac:dyDescent="0.3">
      <c r="A437" s="2">
        <f>경동전체1!A437</f>
        <v>0</v>
      </c>
      <c r="B437" s="13" t="str">
        <f>SUBSTITUTE(SUBSTITUTE(SUBSTITUTE(SUBSTITUTE(SUBSTITUTE(SUBSTITUTE(SUBSTITUTE(SUBSTITUTE(SUBSTITUTE(SUBSTITUTE(SUBSTITUTE(SUBSTITUTE(SUBSTITUTE(경동전체1!K437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7" s="30">
        <f>경동전체1!E437</f>
        <v>0</v>
      </c>
      <c r="D437" s="23"/>
      <c r="E437" s="23"/>
      <c r="F437" s="4">
        <f>경동전체1!J437</f>
        <v>0</v>
      </c>
      <c r="G437" s="23"/>
      <c r="H437" s="2">
        <f>경동전체1!H437</f>
        <v>0</v>
      </c>
      <c r="I437" s="2" t="str">
        <f>경동전체1!I437&amp;""</f>
        <v/>
      </c>
      <c r="J437" s="2" t="s">
        <v>36</v>
      </c>
      <c r="K437" s="2" t="str">
        <f>IF(LEFT(경동전체1!G437,1)="","따사룸",경동전체1!G437)</f>
        <v>따사룸</v>
      </c>
      <c r="L437" s="4" t="str">
        <f t="shared" si="24"/>
        <v>1</v>
      </c>
      <c r="M437" s="1" t="str">
        <f>IF(LEFT(경동전체1!D437,1)="2","비닐",IF(LEFT(경동전체1!O437,1)="박","박스","비닐"))</f>
        <v>비닐</v>
      </c>
      <c r="N437" s="25">
        <v>1</v>
      </c>
      <c r="O437" s="25">
        <v>1</v>
      </c>
      <c r="P437" s="25">
        <v>1</v>
      </c>
      <c r="Q437" s="25">
        <v>1</v>
      </c>
      <c r="R437" s="1" t="str">
        <f t="shared" si="25"/>
        <v>50</v>
      </c>
      <c r="S437" s="1">
        <f>경동전체1!B437</f>
        <v>0</v>
      </c>
      <c r="T437" s="1" t="str">
        <f t="shared" si="26"/>
        <v>100</v>
      </c>
      <c r="U437" s="5" t="str">
        <f t="shared" si="27"/>
        <v>0</v>
      </c>
      <c r="V437" s="26">
        <v>0</v>
      </c>
      <c r="W437" s="26">
        <v>0</v>
      </c>
      <c r="X437" s="2" t="str">
        <f>SUBSTITUTE(SUBSTITUTE(SUBSTITUTE(SUBSTITUTE(SUBSTITUTE(SUBSTITUTE(SUBSTITUTE(SUBSTITUTE(SUBSTITUTE(SUBSTITUTE(SUBSTITUTE(SUBSTITUTE(SUBSTITUTE(경동전체1!D437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8" spans="1:24" ht="20.25" customHeight="1" x14ac:dyDescent="0.3">
      <c r="A438" s="2">
        <f>경동전체1!A438</f>
        <v>0</v>
      </c>
      <c r="B438" s="13" t="str">
        <f>SUBSTITUTE(SUBSTITUTE(SUBSTITUTE(SUBSTITUTE(SUBSTITUTE(SUBSTITUTE(SUBSTITUTE(SUBSTITUTE(SUBSTITUTE(SUBSTITUTE(SUBSTITUTE(SUBSTITUTE(SUBSTITUTE(경동전체1!K438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8" s="30">
        <f>경동전체1!E438</f>
        <v>0</v>
      </c>
      <c r="D438" s="23"/>
      <c r="E438" s="23"/>
      <c r="F438" s="4">
        <f>경동전체1!J438</f>
        <v>0</v>
      </c>
      <c r="G438" s="23"/>
      <c r="H438" s="2">
        <f>경동전체1!H438</f>
        <v>0</v>
      </c>
      <c r="I438" s="2" t="str">
        <f>경동전체1!I438&amp;""</f>
        <v/>
      </c>
      <c r="J438" s="2" t="s">
        <v>36</v>
      </c>
      <c r="K438" s="2" t="str">
        <f>IF(LEFT(경동전체1!G438,1)="","따사룸",경동전체1!G438)</f>
        <v>따사룸</v>
      </c>
      <c r="L438" s="4" t="str">
        <f t="shared" si="24"/>
        <v>1</v>
      </c>
      <c r="M438" s="1" t="str">
        <f>IF(LEFT(경동전체1!D438,1)="2","비닐",IF(LEFT(경동전체1!O438,1)="박","박스","비닐"))</f>
        <v>비닐</v>
      </c>
      <c r="N438" s="25">
        <v>1</v>
      </c>
      <c r="O438" s="25">
        <v>1</v>
      </c>
      <c r="P438" s="25">
        <v>1</v>
      </c>
      <c r="Q438" s="25">
        <v>1</v>
      </c>
      <c r="R438" s="1" t="str">
        <f t="shared" si="25"/>
        <v>50</v>
      </c>
      <c r="S438" s="1">
        <f>경동전체1!B438</f>
        <v>0</v>
      </c>
      <c r="T438" s="1" t="str">
        <f t="shared" si="26"/>
        <v>100</v>
      </c>
      <c r="U438" s="5" t="str">
        <f t="shared" si="27"/>
        <v>0</v>
      </c>
      <c r="V438" s="26">
        <v>0</v>
      </c>
      <c r="W438" s="26">
        <v>0</v>
      </c>
      <c r="X438" s="2" t="str">
        <f>SUBSTITUTE(SUBSTITUTE(SUBSTITUTE(SUBSTITUTE(SUBSTITUTE(SUBSTITUTE(SUBSTITUTE(SUBSTITUTE(SUBSTITUTE(SUBSTITUTE(SUBSTITUTE(SUBSTITUTE(SUBSTITUTE(경동전체1!D438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9" spans="1:24" ht="20.25" customHeight="1" x14ac:dyDescent="0.3">
      <c r="A439" s="2">
        <f>경동전체1!A439</f>
        <v>0</v>
      </c>
      <c r="B439" s="13" t="str">
        <f>SUBSTITUTE(SUBSTITUTE(SUBSTITUTE(SUBSTITUTE(SUBSTITUTE(SUBSTITUTE(SUBSTITUTE(SUBSTITUTE(SUBSTITUTE(SUBSTITUTE(SUBSTITUTE(SUBSTITUTE(SUBSTITUTE(경동전체1!K439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9" s="30">
        <f>경동전체1!E439</f>
        <v>0</v>
      </c>
      <c r="D439" s="23"/>
      <c r="E439" s="23"/>
      <c r="F439" s="4">
        <f>경동전체1!J439</f>
        <v>0</v>
      </c>
      <c r="G439" s="23"/>
      <c r="H439" s="2">
        <f>경동전체1!H439</f>
        <v>0</v>
      </c>
      <c r="I439" s="2" t="str">
        <f>경동전체1!I439&amp;""</f>
        <v/>
      </c>
      <c r="J439" s="2" t="s">
        <v>36</v>
      </c>
      <c r="K439" s="2" t="str">
        <f>IF(LEFT(경동전체1!G439,1)="","따사룸",경동전체1!G439)</f>
        <v>따사룸</v>
      </c>
      <c r="L439" s="4" t="str">
        <f t="shared" si="24"/>
        <v>1</v>
      </c>
      <c r="M439" s="1" t="str">
        <f>IF(LEFT(경동전체1!D439,1)="2","비닐",IF(LEFT(경동전체1!O439,1)="박","박스","비닐"))</f>
        <v>비닐</v>
      </c>
      <c r="N439" s="25">
        <v>1</v>
      </c>
      <c r="O439" s="25">
        <v>1</v>
      </c>
      <c r="P439" s="25">
        <v>1</v>
      </c>
      <c r="Q439" s="25">
        <v>1</v>
      </c>
      <c r="R439" s="1" t="str">
        <f t="shared" si="25"/>
        <v>50</v>
      </c>
      <c r="S439" s="1">
        <f>경동전체1!B439</f>
        <v>0</v>
      </c>
      <c r="T439" s="1" t="str">
        <f t="shared" si="26"/>
        <v>100</v>
      </c>
      <c r="U439" s="5" t="str">
        <f t="shared" si="27"/>
        <v>0</v>
      </c>
      <c r="V439" s="26">
        <v>0</v>
      </c>
      <c r="W439" s="26">
        <v>0</v>
      </c>
      <c r="X439" s="2" t="str">
        <f>SUBSTITUTE(SUBSTITUTE(SUBSTITUTE(SUBSTITUTE(SUBSTITUTE(SUBSTITUTE(SUBSTITUTE(SUBSTITUTE(SUBSTITUTE(SUBSTITUTE(SUBSTITUTE(SUBSTITUTE(SUBSTITUTE(경동전체1!D439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0" spans="1:24" ht="20.25" customHeight="1" x14ac:dyDescent="0.3">
      <c r="A440" s="2">
        <f>경동전체1!A440</f>
        <v>0</v>
      </c>
      <c r="B440" s="13" t="str">
        <f>SUBSTITUTE(SUBSTITUTE(SUBSTITUTE(SUBSTITUTE(SUBSTITUTE(SUBSTITUTE(SUBSTITUTE(SUBSTITUTE(SUBSTITUTE(SUBSTITUTE(SUBSTITUTE(SUBSTITUTE(SUBSTITUTE(경동전체1!K440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0" s="30">
        <f>경동전체1!E440</f>
        <v>0</v>
      </c>
      <c r="D440" s="23"/>
      <c r="E440" s="23"/>
      <c r="F440" s="4">
        <f>경동전체1!J440</f>
        <v>0</v>
      </c>
      <c r="G440" s="23"/>
      <c r="H440" s="2">
        <f>경동전체1!H440</f>
        <v>0</v>
      </c>
      <c r="I440" s="2" t="str">
        <f>경동전체1!I440&amp;""</f>
        <v/>
      </c>
      <c r="J440" s="2" t="s">
        <v>36</v>
      </c>
      <c r="K440" s="2" t="str">
        <f>IF(LEFT(경동전체1!G440,1)="","따사룸",경동전체1!G440)</f>
        <v>따사룸</v>
      </c>
      <c r="L440" s="4" t="str">
        <f t="shared" si="24"/>
        <v>1</v>
      </c>
      <c r="M440" s="1" t="str">
        <f>IF(LEFT(경동전체1!D440,1)="2","비닐",IF(LEFT(경동전체1!O440,1)="박","박스","비닐"))</f>
        <v>비닐</v>
      </c>
      <c r="N440" s="25">
        <v>1</v>
      </c>
      <c r="O440" s="25">
        <v>1</v>
      </c>
      <c r="P440" s="25">
        <v>1</v>
      </c>
      <c r="Q440" s="25">
        <v>1</v>
      </c>
      <c r="R440" s="1" t="str">
        <f t="shared" si="25"/>
        <v>50</v>
      </c>
      <c r="S440" s="1">
        <f>경동전체1!B440</f>
        <v>0</v>
      </c>
      <c r="T440" s="1" t="str">
        <f t="shared" si="26"/>
        <v>100</v>
      </c>
      <c r="U440" s="5" t="str">
        <f t="shared" si="27"/>
        <v>0</v>
      </c>
      <c r="V440" s="26">
        <v>0</v>
      </c>
      <c r="W440" s="26">
        <v>0</v>
      </c>
      <c r="X440" s="2" t="str">
        <f>SUBSTITUTE(SUBSTITUTE(SUBSTITUTE(SUBSTITUTE(SUBSTITUTE(SUBSTITUTE(SUBSTITUTE(SUBSTITUTE(SUBSTITUTE(SUBSTITUTE(SUBSTITUTE(SUBSTITUTE(SUBSTITUTE(경동전체1!D440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1" spans="1:24" ht="20.25" customHeight="1" x14ac:dyDescent="0.3">
      <c r="A441" s="2">
        <f>경동전체1!A441</f>
        <v>0</v>
      </c>
      <c r="B441" s="13" t="str">
        <f>SUBSTITUTE(SUBSTITUTE(SUBSTITUTE(SUBSTITUTE(SUBSTITUTE(SUBSTITUTE(SUBSTITUTE(SUBSTITUTE(SUBSTITUTE(SUBSTITUTE(SUBSTITUTE(SUBSTITUTE(SUBSTITUTE(경동전체1!K441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1" s="30">
        <f>경동전체1!E441</f>
        <v>0</v>
      </c>
      <c r="D441" s="23"/>
      <c r="E441" s="23"/>
      <c r="F441" s="4">
        <f>경동전체1!J441</f>
        <v>0</v>
      </c>
      <c r="G441" s="23"/>
      <c r="H441" s="2">
        <f>경동전체1!H441</f>
        <v>0</v>
      </c>
      <c r="I441" s="2" t="str">
        <f>경동전체1!I441&amp;""</f>
        <v/>
      </c>
      <c r="J441" s="2" t="s">
        <v>36</v>
      </c>
      <c r="K441" s="2" t="str">
        <f>IF(LEFT(경동전체1!G441,1)="","따사룸",경동전체1!G441)</f>
        <v>따사룸</v>
      </c>
      <c r="L441" s="4" t="str">
        <f t="shared" si="24"/>
        <v>1</v>
      </c>
      <c r="M441" s="1" t="str">
        <f>IF(LEFT(경동전체1!D441,1)="2","비닐",IF(LEFT(경동전체1!O441,1)="박","박스","비닐"))</f>
        <v>비닐</v>
      </c>
      <c r="N441" s="25">
        <v>1</v>
      </c>
      <c r="O441" s="25">
        <v>1</v>
      </c>
      <c r="P441" s="25">
        <v>1</v>
      </c>
      <c r="Q441" s="25">
        <v>1</v>
      </c>
      <c r="R441" s="1" t="str">
        <f t="shared" si="25"/>
        <v>50</v>
      </c>
      <c r="S441" s="1">
        <f>경동전체1!B441</f>
        <v>0</v>
      </c>
      <c r="T441" s="1" t="str">
        <f t="shared" si="26"/>
        <v>100</v>
      </c>
      <c r="U441" s="5" t="str">
        <f t="shared" si="27"/>
        <v>0</v>
      </c>
      <c r="V441" s="26">
        <v>0</v>
      </c>
      <c r="W441" s="26">
        <v>0</v>
      </c>
      <c r="X441" s="2" t="str">
        <f>SUBSTITUTE(SUBSTITUTE(SUBSTITUTE(SUBSTITUTE(SUBSTITUTE(SUBSTITUTE(SUBSTITUTE(SUBSTITUTE(SUBSTITUTE(SUBSTITUTE(SUBSTITUTE(SUBSTITUTE(SUBSTITUTE(경동전체1!D441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2" spans="1:24" ht="20.25" customHeight="1" x14ac:dyDescent="0.3">
      <c r="A442" s="2">
        <f>경동전체1!A442</f>
        <v>0</v>
      </c>
      <c r="B442" s="13" t="str">
        <f>SUBSTITUTE(SUBSTITUTE(SUBSTITUTE(SUBSTITUTE(SUBSTITUTE(SUBSTITUTE(SUBSTITUTE(SUBSTITUTE(SUBSTITUTE(SUBSTITUTE(SUBSTITUTE(SUBSTITUTE(SUBSTITUTE(경동전체1!K442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2" s="30">
        <f>경동전체1!E442</f>
        <v>0</v>
      </c>
      <c r="D442" s="23"/>
      <c r="E442" s="23"/>
      <c r="F442" s="4">
        <f>경동전체1!J442</f>
        <v>0</v>
      </c>
      <c r="G442" s="23"/>
      <c r="H442" s="2">
        <f>경동전체1!H442</f>
        <v>0</v>
      </c>
      <c r="I442" s="2" t="str">
        <f>경동전체1!I442&amp;""</f>
        <v/>
      </c>
      <c r="J442" s="2" t="s">
        <v>36</v>
      </c>
      <c r="K442" s="2" t="str">
        <f>IF(LEFT(경동전체1!G442,1)="","따사룸",경동전체1!G442)</f>
        <v>따사룸</v>
      </c>
      <c r="L442" s="4" t="str">
        <f t="shared" si="24"/>
        <v>1</v>
      </c>
      <c r="M442" s="1" t="str">
        <f>IF(LEFT(경동전체1!D442,1)="2","비닐",IF(LEFT(경동전체1!O442,1)="박","박스","비닐"))</f>
        <v>비닐</v>
      </c>
      <c r="N442" s="25">
        <v>1</v>
      </c>
      <c r="O442" s="25">
        <v>1</v>
      </c>
      <c r="P442" s="25">
        <v>1</v>
      </c>
      <c r="Q442" s="25">
        <v>1</v>
      </c>
      <c r="R442" s="1" t="str">
        <f t="shared" si="25"/>
        <v>50</v>
      </c>
      <c r="S442" s="1">
        <f>경동전체1!B442</f>
        <v>0</v>
      </c>
      <c r="T442" s="1" t="str">
        <f t="shared" si="26"/>
        <v>100</v>
      </c>
      <c r="U442" s="5" t="str">
        <f t="shared" si="27"/>
        <v>0</v>
      </c>
      <c r="V442" s="26">
        <v>0</v>
      </c>
      <c r="W442" s="26">
        <v>0</v>
      </c>
      <c r="X442" s="2" t="str">
        <f>SUBSTITUTE(SUBSTITUTE(SUBSTITUTE(SUBSTITUTE(SUBSTITUTE(SUBSTITUTE(SUBSTITUTE(SUBSTITUTE(SUBSTITUTE(SUBSTITUTE(SUBSTITUTE(SUBSTITUTE(SUBSTITUTE(경동전체1!D442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3" spans="1:24" ht="20.25" customHeight="1" x14ac:dyDescent="0.3">
      <c r="A443" s="2">
        <f>경동전체1!A443</f>
        <v>0</v>
      </c>
      <c r="B443" s="13" t="str">
        <f>SUBSTITUTE(SUBSTITUTE(SUBSTITUTE(SUBSTITUTE(SUBSTITUTE(SUBSTITUTE(SUBSTITUTE(SUBSTITUTE(SUBSTITUTE(SUBSTITUTE(SUBSTITUTE(SUBSTITUTE(SUBSTITUTE(경동전체1!K443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3" s="30">
        <f>경동전체1!E443</f>
        <v>0</v>
      </c>
      <c r="D443" s="23"/>
      <c r="E443" s="23"/>
      <c r="F443" s="4">
        <f>경동전체1!J443</f>
        <v>0</v>
      </c>
      <c r="G443" s="23"/>
      <c r="H443" s="2">
        <f>경동전체1!H443</f>
        <v>0</v>
      </c>
      <c r="I443" s="2" t="str">
        <f>경동전체1!I443&amp;""</f>
        <v/>
      </c>
      <c r="J443" s="2" t="s">
        <v>36</v>
      </c>
      <c r="K443" s="2" t="str">
        <f>IF(LEFT(경동전체1!G443,1)="","따사룸",경동전체1!G443)</f>
        <v>따사룸</v>
      </c>
      <c r="L443" s="4" t="str">
        <f t="shared" si="24"/>
        <v>1</v>
      </c>
      <c r="M443" s="1" t="str">
        <f>IF(LEFT(경동전체1!D443,1)="2","비닐",IF(LEFT(경동전체1!O443,1)="박","박스","비닐"))</f>
        <v>비닐</v>
      </c>
      <c r="N443" s="25">
        <v>1</v>
      </c>
      <c r="O443" s="25">
        <v>1</v>
      </c>
      <c r="P443" s="25">
        <v>1</v>
      </c>
      <c r="Q443" s="25">
        <v>1</v>
      </c>
      <c r="R443" s="1" t="str">
        <f t="shared" si="25"/>
        <v>50</v>
      </c>
      <c r="S443" s="1">
        <f>경동전체1!B443</f>
        <v>0</v>
      </c>
      <c r="T443" s="1" t="str">
        <f t="shared" si="26"/>
        <v>100</v>
      </c>
      <c r="U443" s="5" t="str">
        <f t="shared" si="27"/>
        <v>0</v>
      </c>
      <c r="V443" s="26">
        <v>0</v>
      </c>
      <c r="W443" s="26">
        <v>0</v>
      </c>
      <c r="X443" s="2" t="str">
        <f>SUBSTITUTE(SUBSTITUTE(SUBSTITUTE(SUBSTITUTE(SUBSTITUTE(SUBSTITUTE(SUBSTITUTE(SUBSTITUTE(SUBSTITUTE(SUBSTITUTE(SUBSTITUTE(SUBSTITUTE(SUBSTITUTE(경동전체1!D443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4" spans="1:24" ht="20.25" customHeight="1" x14ac:dyDescent="0.3">
      <c r="A444" s="2">
        <f>경동전체1!A444</f>
        <v>0</v>
      </c>
      <c r="B444" s="13" t="str">
        <f>SUBSTITUTE(SUBSTITUTE(SUBSTITUTE(SUBSTITUTE(SUBSTITUTE(SUBSTITUTE(SUBSTITUTE(SUBSTITUTE(SUBSTITUTE(SUBSTITUTE(SUBSTITUTE(SUBSTITUTE(SUBSTITUTE(경동전체1!K444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4" s="30">
        <f>경동전체1!E444</f>
        <v>0</v>
      </c>
      <c r="D444" s="23"/>
      <c r="E444" s="23"/>
      <c r="F444" s="4">
        <f>경동전체1!J444</f>
        <v>0</v>
      </c>
      <c r="G444" s="23"/>
      <c r="H444" s="2">
        <f>경동전체1!H444</f>
        <v>0</v>
      </c>
      <c r="I444" s="2" t="str">
        <f>경동전체1!I444&amp;""</f>
        <v/>
      </c>
      <c r="J444" s="2" t="s">
        <v>36</v>
      </c>
      <c r="K444" s="2" t="str">
        <f>IF(LEFT(경동전체1!G444,1)="","따사룸",경동전체1!G444)</f>
        <v>따사룸</v>
      </c>
      <c r="L444" s="4" t="str">
        <f t="shared" si="24"/>
        <v>1</v>
      </c>
      <c r="M444" s="1" t="str">
        <f>IF(LEFT(경동전체1!D444,1)="2","비닐",IF(LEFT(경동전체1!O444,1)="박","박스","비닐"))</f>
        <v>비닐</v>
      </c>
      <c r="N444" s="25">
        <v>1</v>
      </c>
      <c r="O444" s="25">
        <v>1</v>
      </c>
      <c r="P444" s="25">
        <v>1</v>
      </c>
      <c r="Q444" s="25">
        <v>1</v>
      </c>
      <c r="R444" s="1" t="str">
        <f t="shared" si="25"/>
        <v>50</v>
      </c>
      <c r="S444" s="1">
        <f>경동전체1!B444</f>
        <v>0</v>
      </c>
      <c r="T444" s="1" t="str">
        <f t="shared" si="26"/>
        <v>100</v>
      </c>
      <c r="U444" s="5" t="str">
        <f t="shared" si="27"/>
        <v>0</v>
      </c>
      <c r="V444" s="26">
        <v>0</v>
      </c>
      <c r="W444" s="26">
        <v>0</v>
      </c>
      <c r="X444" s="2" t="str">
        <f>SUBSTITUTE(SUBSTITUTE(SUBSTITUTE(SUBSTITUTE(SUBSTITUTE(SUBSTITUTE(SUBSTITUTE(SUBSTITUTE(SUBSTITUTE(SUBSTITUTE(SUBSTITUTE(SUBSTITUTE(SUBSTITUTE(경동전체1!D444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5" spans="1:24" ht="20.25" customHeight="1" x14ac:dyDescent="0.3">
      <c r="A445" s="2">
        <f>경동전체1!A445</f>
        <v>0</v>
      </c>
      <c r="B445" s="13" t="str">
        <f>SUBSTITUTE(SUBSTITUTE(SUBSTITUTE(SUBSTITUTE(SUBSTITUTE(SUBSTITUTE(SUBSTITUTE(SUBSTITUTE(SUBSTITUTE(SUBSTITUTE(SUBSTITUTE(SUBSTITUTE(SUBSTITUTE(경동전체1!K445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5" s="30">
        <f>경동전체1!E445</f>
        <v>0</v>
      </c>
      <c r="D445" s="23"/>
      <c r="E445" s="23"/>
      <c r="F445" s="4">
        <f>경동전체1!J445</f>
        <v>0</v>
      </c>
      <c r="G445" s="23"/>
      <c r="H445" s="2">
        <f>경동전체1!H445</f>
        <v>0</v>
      </c>
      <c r="I445" s="2" t="str">
        <f>경동전체1!I445&amp;""</f>
        <v/>
      </c>
      <c r="J445" s="2" t="s">
        <v>36</v>
      </c>
      <c r="K445" s="2" t="str">
        <f>IF(LEFT(경동전체1!G445,1)="","따사룸",경동전체1!G445)</f>
        <v>따사룸</v>
      </c>
      <c r="L445" s="4" t="str">
        <f t="shared" si="24"/>
        <v>1</v>
      </c>
      <c r="M445" s="1" t="str">
        <f>IF(LEFT(경동전체1!D445,1)="2","비닐",IF(LEFT(경동전체1!O445,1)="박","박스","비닐"))</f>
        <v>비닐</v>
      </c>
      <c r="N445" s="25">
        <v>1</v>
      </c>
      <c r="O445" s="25">
        <v>1</v>
      </c>
      <c r="P445" s="25">
        <v>1</v>
      </c>
      <c r="Q445" s="25">
        <v>1</v>
      </c>
      <c r="R445" s="1" t="str">
        <f t="shared" si="25"/>
        <v>50</v>
      </c>
      <c r="S445" s="1">
        <f>경동전체1!B445</f>
        <v>0</v>
      </c>
      <c r="T445" s="1" t="str">
        <f t="shared" si="26"/>
        <v>100</v>
      </c>
      <c r="U445" s="5" t="str">
        <f t="shared" si="27"/>
        <v>0</v>
      </c>
      <c r="V445" s="26">
        <v>0</v>
      </c>
      <c r="W445" s="26">
        <v>0</v>
      </c>
      <c r="X445" s="2" t="str">
        <f>SUBSTITUTE(SUBSTITUTE(SUBSTITUTE(SUBSTITUTE(SUBSTITUTE(SUBSTITUTE(SUBSTITUTE(SUBSTITUTE(SUBSTITUTE(SUBSTITUTE(SUBSTITUTE(SUBSTITUTE(SUBSTITUTE(경동전체1!D445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6" spans="1:24" ht="20.25" customHeight="1" x14ac:dyDescent="0.3">
      <c r="A446" s="2">
        <f>경동전체1!A446</f>
        <v>0</v>
      </c>
      <c r="B446" s="13" t="str">
        <f>SUBSTITUTE(SUBSTITUTE(SUBSTITUTE(SUBSTITUTE(SUBSTITUTE(SUBSTITUTE(SUBSTITUTE(SUBSTITUTE(SUBSTITUTE(SUBSTITUTE(SUBSTITUTE(SUBSTITUTE(SUBSTITUTE(경동전체1!K446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6" s="30">
        <f>경동전체1!E446</f>
        <v>0</v>
      </c>
      <c r="D446" s="23"/>
      <c r="E446" s="23"/>
      <c r="F446" s="4">
        <f>경동전체1!J446</f>
        <v>0</v>
      </c>
      <c r="G446" s="23"/>
      <c r="H446" s="2">
        <f>경동전체1!H446</f>
        <v>0</v>
      </c>
      <c r="I446" s="2" t="str">
        <f>경동전체1!I446&amp;""</f>
        <v/>
      </c>
      <c r="J446" s="2" t="s">
        <v>36</v>
      </c>
      <c r="K446" s="2" t="str">
        <f>IF(LEFT(경동전체1!G446,1)="","따사룸",경동전체1!G446)</f>
        <v>따사룸</v>
      </c>
      <c r="L446" s="4" t="str">
        <f t="shared" si="24"/>
        <v>1</v>
      </c>
      <c r="M446" s="1" t="str">
        <f>IF(LEFT(경동전체1!D446,1)="2","비닐",IF(LEFT(경동전체1!O446,1)="박","박스","비닐"))</f>
        <v>비닐</v>
      </c>
      <c r="N446" s="25">
        <v>1</v>
      </c>
      <c r="O446" s="25">
        <v>1</v>
      </c>
      <c r="P446" s="25">
        <v>1</v>
      </c>
      <c r="Q446" s="25">
        <v>1</v>
      </c>
      <c r="R446" s="1" t="str">
        <f t="shared" si="25"/>
        <v>50</v>
      </c>
      <c r="S446" s="1">
        <f>경동전체1!B446</f>
        <v>0</v>
      </c>
      <c r="T446" s="1" t="str">
        <f t="shared" si="26"/>
        <v>100</v>
      </c>
      <c r="U446" s="5" t="str">
        <f t="shared" si="27"/>
        <v>0</v>
      </c>
      <c r="V446" s="26">
        <v>0</v>
      </c>
      <c r="W446" s="26">
        <v>0</v>
      </c>
      <c r="X446" s="2" t="str">
        <f>SUBSTITUTE(SUBSTITUTE(SUBSTITUTE(SUBSTITUTE(SUBSTITUTE(SUBSTITUTE(SUBSTITUTE(SUBSTITUTE(SUBSTITUTE(SUBSTITUTE(SUBSTITUTE(SUBSTITUTE(SUBSTITUTE(경동전체1!D446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7" spans="1:24" ht="20.25" customHeight="1" x14ac:dyDescent="0.3">
      <c r="A447" s="2">
        <f>경동전체1!A447</f>
        <v>0</v>
      </c>
      <c r="B447" s="13" t="str">
        <f>SUBSTITUTE(SUBSTITUTE(SUBSTITUTE(SUBSTITUTE(SUBSTITUTE(SUBSTITUTE(SUBSTITUTE(SUBSTITUTE(SUBSTITUTE(SUBSTITUTE(SUBSTITUTE(SUBSTITUTE(SUBSTITUTE(경동전체1!K447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7" s="30">
        <f>경동전체1!E447</f>
        <v>0</v>
      </c>
      <c r="D447" s="23"/>
      <c r="E447" s="23"/>
      <c r="F447" s="4">
        <f>경동전체1!J447</f>
        <v>0</v>
      </c>
      <c r="G447" s="23"/>
      <c r="H447" s="2">
        <f>경동전체1!H447</f>
        <v>0</v>
      </c>
      <c r="I447" s="2" t="str">
        <f>경동전체1!I447&amp;""</f>
        <v/>
      </c>
      <c r="J447" s="2" t="s">
        <v>36</v>
      </c>
      <c r="K447" s="2" t="str">
        <f>IF(LEFT(경동전체1!G447,1)="","따사룸",경동전체1!G447)</f>
        <v>따사룸</v>
      </c>
      <c r="L447" s="4" t="str">
        <f t="shared" si="24"/>
        <v>1</v>
      </c>
      <c r="M447" s="1" t="str">
        <f>IF(LEFT(경동전체1!D447,1)="2","비닐",IF(LEFT(경동전체1!O447,1)="박","박스","비닐"))</f>
        <v>비닐</v>
      </c>
      <c r="N447" s="25">
        <v>1</v>
      </c>
      <c r="O447" s="25">
        <v>1</v>
      </c>
      <c r="P447" s="25">
        <v>1</v>
      </c>
      <c r="Q447" s="25">
        <v>1</v>
      </c>
      <c r="R447" s="1" t="str">
        <f t="shared" si="25"/>
        <v>50</v>
      </c>
      <c r="S447" s="1">
        <f>경동전체1!B447</f>
        <v>0</v>
      </c>
      <c r="T447" s="1" t="str">
        <f t="shared" si="26"/>
        <v>100</v>
      </c>
      <c r="U447" s="5" t="str">
        <f t="shared" si="27"/>
        <v>0</v>
      </c>
      <c r="V447" s="26">
        <v>0</v>
      </c>
      <c r="W447" s="26">
        <v>0</v>
      </c>
      <c r="X447" s="2" t="str">
        <f>SUBSTITUTE(SUBSTITUTE(SUBSTITUTE(SUBSTITUTE(SUBSTITUTE(SUBSTITUTE(SUBSTITUTE(SUBSTITUTE(SUBSTITUTE(SUBSTITUTE(SUBSTITUTE(SUBSTITUTE(SUBSTITUTE(경동전체1!D447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8" spans="1:24" ht="20.25" customHeight="1" x14ac:dyDescent="0.3">
      <c r="A448" s="2">
        <f>경동전체1!A448</f>
        <v>0</v>
      </c>
      <c r="B448" s="13" t="str">
        <f>SUBSTITUTE(SUBSTITUTE(SUBSTITUTE(SUBSTITUTE(SUBSTITUTE(SUBSTITUTE(SUBSTITUTE(SUBSTITUTE(SUBSTITUTE(SUBSTITUTE(SUBSTITUTE(SUBSTITUTE(SUBSTITUTE(경동전체1!K448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8" s="30">
        <f>경동전체1!E448</f>
        <v>0</v>
      </c>
      <c r="D448" s="23"/>
      <c r="E448" s="23"/>
      <c r="F448" s="4">
        <f>경동전체1!J448</f>
        <v>0</v>
      </c>
      <c r="G448" s="23"/>
      <c r="H448" s="2">
        <f>경동전체1!H448</f>
        <v>0</v>
      </c>
      <c r="I448" s="2" t="str">
        <f>경동전체1!I448&amp;""</f>
        <v/>
      </c>
      <c r="J448" s="2" t="s">
        <v>36</v>
      </c>
      <c r="K448" s="2" t="str">
        <f>IF(LEFT(경동전체1!G448,1)="","따사룸",경동전체1!G448)</f>
        <v>따사룸</v>
      </c>
      <c r="L448" s="4" t="str">
        <f t="shared" si="24"/>
        <v>1</v>
      </c>
      <c r="M448" s="1" t="str">
        <f>IF(LEFT(경동전체1!D448,1)="2","비닐",IF(LEFT(경동전체1!O448,1)="박","박스","비닐"))</f>
        <v>비닐</v>
      </c>
      <c r="N448" s="25">
        <v>1</v>
      </c>
      <c r="O448" s="25">
        <v>1</v>
      </c>
      <c r="P448" s="25">
        <v>1</v>
      </c>
      <c r="Q448" s="25">
        <v>1</v>
      </c>
      <c r="R448" s="1" t="str">
        <f t="shared" si="25"/>
        <v>50</v>
      </c>
      <c r="S448" s="1">
        <f>경동전체1!B448</f>
        <v>0</v>
      </c>
      <c r="T448" s="1" t="str">
        <f t="shared" si="26"/>
        <v>100</v>
      </c>
      <c r="U448" s="5" t="str">
        <f t="shared" si="27"/>
        <v>0</v>
      </c>
      <c r="V448" s="26">
        <v>0</v>
      </c>
      <c r="W448" s="26">
        <v>0</v>
      </c>
      <c r="X448" s="2" t="str">
        <f>SUBSTITUTE(SUBSTITUTE(SUBSTITUTE(SUBSTITUTE(SUBSTITUTE(SUBSTITUTE(SUBSTITUTE(SUBSTITUTE(SUBSTITUTE(SUBSTITUTE(SUBSTITUTE(SUBSTITUTE(SUBSTITUTE(경동전체1!D448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9" spans="1:24" ht="20.25" customHeight="1" x14ac:dyDescent="0.3">
      <c r="A449" s="2">
        <f>경동전체1!A449</f>
        <v>0</v>
      </c>
      <c r="B449" s="13" t="str">
        <f>SUBSTITUTE(SUBSTITUTE(SUBSTITUTE(SUBSTITUTE(SUBSTITUTE(SUBSTITUTE(SUBSTITUTE(SUBSTITUTE(SUBSTITUTE(SUBSTITUTE(SUBSTITUTE(SUBSTITUTE(SUBSTITUTE(경동전체1!K449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9" s="30">
        <f>경동전체1!E449</f>
        <v>0</v>
      </c>
      <c r="D449" s="23"/>
      <c r="E449" s="23"/>
      <c r="F449" s="4">
        <f>경동전체1!J449</f>
        <v>0</v>
      </c>
      <c r="G449" s="23"/>
      <c r="H449" s="2">
        <f>경동전체1!H449</f>
        <v>0</v>
      </c>
      <c r="I449" s="2" t="str">
        <f>경동전체1!I449&amp;""</f>
        <v/>
      </c>
      <c r="J449" s="2" t="s">
        <v>36</v>
      </c>
      <c r="K449" s="2" t="str">
        <f>IF(LEFT(경동전체1!G449,1)="","따사룸",경동전체1!G449)</f>
        <v>따사룸</v>
      </c>
      <c r="L449" s="4" t="str">
        <f t="shared" si="24"/>
        <v>1</v>
      </c>
      <c r="M449" s="1" t="str">
        <f>IF(LEFT(경동전체1!D449,1)="2","비닐",IF(LEFT(경동전체1!O449,1)="박","박스","비닐"))</f>
        <v>비닐</v>
      </c>
      <c r="N449" s="25">
        <v>1</v>
      </c>
      <c r="O449" s="25">
        <v>1</v>
      </c>
      <c r="P449" s="25">
        <v>1</v>
      </c>
      <c r="Q449" s="25">
        <v>1</v>
      </c>
      <c r="R449" s="1" t="str">
        <f t="shared" si="25"/>
        <v>50</v>
      </c>
      <c r="S449" s="1">
        <f>경동전체1!B449</f>
        <v>0</v>
      </c>
      <c r="T449" s="1" t="str">
        <f t="shared" si="26"/>
        <v>100</v>
      </c>
      <c r="U449" s="5" t="str">
        <f t="shared" si="27"/>
        <v>0</v>
      </c>
      <c r="V449" s="26">
        <v>0</v>
      </c>
      <c r="W449" s="26">
        <v>0</v>
      </c>
      <c r="X449" s="2" t="str">
        <f>SUBSTITUTE(SUBSTITUTE(SUBSTITUTE(SUBSTITUTE(SUBSTITUTE(SUBSTITUTE(SUBSTITUTE(SUBSTITUTE(SUBSTITUTE(SUBSTITUTE(SUBSTITUTE(SUBSTITUTE(SUBSTITUTE(경동전체1!D449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0" spans="1:24" ht="20.25" customHeight="1" x14ac:dyDescent="0.3">
      <c r="A450" s="2">
        <f>경동전체1!A450</f>
        <v>0</v>
      </c>
      <c r="B450" s="13" t="str">
        <f>SUBSTITUTE(SUBSTITUTE(SUBSTITUTE(SUBSTITUTE(SUBSTITUTE(SUBSTITUTE(SUBSTITUTE(SUBSTITUTE(SUBSTITUTE(SUBSTITUTE(SUBSTITUTE(SUBSTITUTE(SUBSTITUTE(경동전체1!K450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0" s="30">
        <f>경동전체1!E450</f>
        <v>0</v>
      </c>
      <c r="D450" s="23"/>
      <c r="E450" s="23"/>
      <c r="F450" s="4">
        <f>경동전체1!J450</f>
        <v>0</v>
      </c>
      <c r="G450" s="23"/>
      <c r="H450" s="2">
        <f>경동전체1!H450</f>
        <v>0</v>
      </c>
      <c r="I450" s="2" t="str">
        <f>경동전체1!I450&amp;""</f>
        <v/>
      </c>
      <c r="J450" s="2" t="s">
        <v>36</v>
      </c>
      <c r="K450" s="2" t="str">
        <f>IF(LEFT(경동전체1!G450,1)="","따사룸",경동전체1!G450)</f>
        <v>따사룸</v>
      </c>
      <c r="L450" s="4" t="str">
        <f t="shared" si="24"/>
        <v>1</v>
      </c>
      <c r="M450" s="1" t="str">
        <f>IF(LEFT(경동전체1!D450,1)="2","비닐",IF(LEFT(경동전체1!O450,1)="박","박스","비닐"))</f>
        <v>비닐</v>
      </c>
      <c r="N450" s="25">
        <v>1</v>
      </c>
      <c r="O450" s="25">
        <v>1</v>
      </c>
      <c r="P450" s="25">
        <v>1</v>
      </c>
      <c r="Q450" s="25">
        <v>1</v>
      </c>
      <c r="R450" s="1" t="str">
        <f t="shared" si="25"/>
        <v>50</v>
      </c>
      <c r="S450" s="1">
        <f>경동전체1!B450</f>
        <v>0</v>
      </c>
      <c r="T450" s="1" t="str">
        <f t="shared" si="26"/>
        <v>100</v>
      </c>
      <c r="U450" s="5" t="str">
        <f t="shared" si="27"/>
        <v>0</v>
      </c>
      <c r="V450" s="26">
        <v>0</v>
      </c>
      <c r="W450" s="26">
        <v>0</v>
      </c>
      <c r="X450" s="2" t="str">
        <f>SUBSTITUTE(SUBSTITUTE(SUBSTITUTE(SUBSTITUTE(SUBSTITUTE(SUBSTITUTE(SUBSTITUTE(SUBSTITUTE(SUBSTITUTE(SUBSTITUTE(SUBSTITUTE(SUBSTITUTE(SUBSTITUTE(경동전체1!D450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1" spans="1:24" ht="20.25" customHeight="1" x14ac:dyDescent="0.3">
      <c r="A451" s="2">
        <f>경동전체1!A451</f>
        <v>0</v>
      </c>
      <c r="B451" s="13" t="str">
        <f>SUBSTITUTE(SUBSTITUTE(SUBSTITUTE(SUBSTITUTE(SUBSTITUTE(SUBSTITUTE(SUBSTITUTE(SUBSTITUTE(SUBSTITUTE(SUBSTITUTE(SUBSTITUTE(SUBSTITUTE(SUBSTITUTE(경동전체1!K451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1" s="30">
        <f>경동전체1!E451</f>
        <v>0</v>
      </c>
      <c r="D451" s="23"/>
      <c r="E451" s="23"/>
      <c r="F451" s="4">
        <f>경동전체1!J451</f>
        <v>0</v>
      </c>
      <c r="G451" s="23"/>
      <c r="H451" s="2">
        <f>경동전체1!H451</f>
        <v>0</v>
      </c>
      <c r="I451" s="2" t="str">
        <f>경동전체1!I451&amp;""</f>
        <v/>
      </c>
      <c r="J451" s="2" t="s">
        <v>36</v>
      </c>
      <c r="K451" s="2" t="str">
        <f>IF(LEFT(경동전체1!G451,1)="","따사룸",경동전체1!G451)</f>
        <v>따사룸</v>
      </c>
      <c r="L451" s="4" t="str">
        <f t="shared" ref="L451:L514" si="28">"1"</f>
        <v>1</v>
      </c>
      <c r="M451" s="1" t="str">
        <f>IF(LEFT(경동전체1!D451,1)="2","비닐",IF(LEFT(경동전체1!O451,1)="박","박스","비닐"))</f>
        <v>비닐</v>
      </c>
      <c r="N451" s="25">
        <v>1</v>
      </c>
      <c r="O451" s="25">
        <v>1</v>
      </c>
      <c r="P451" s="25">
        <v>1</v>
      </c>
      <c r="Q451" s="25">
        <v>1</v>
      </c>
      <c r="R451" s="1" t="str">
        <f t="shared" ref="R451:R514" si="29">"50"</f>
        <v>50</v>
      </c>
      <c r="S451" s="1">
        <f>경동전체1!B451</f>
        <v>0</v>
      </c>
      <c r="T451" s="1" t="str">
        <f t="shared" ref="T451:T514" si="30">"100"</f>
        <v>100</v>
      </c>
      <c r="U451" s="5" t="str">
        <f t="shared" ref="U451:U514" si="31">"0"</f>
        <v>0</v>
      </c>
      <c r="V451" s="26">
        <v>0</v>
      </c>
      <c r="W451" s="26">
        <v>0</v>
      </c>
      <c r="X451" s="2" t="str">
        <f>SUBSTITUTE(SUBSTITUTE(SUBSTITUTE(SUBSTITUTE(SUBSTITUTE(SUBSTITUTE(SUBSTITUTE(SUBSTITUTE(SUBSTITUTE(SUBSTITUTE(SUBSTITUTE(SUBSTITUTE(SUBSTITUTE(경동전체1!D451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2" spans="1:24" ht="20.25" customHeight="1" x14ac:dyDescent="0.3">
      <c r="A452" s="2">
        <f>경동전체1!A452</f>
        <v>0</v>
      </c>
      <c r="B452" s="13" t="str">
        <f>SUBSTITUTE(SUBSTITUTE(SUBSTITUTE(SUBSTITUTE(SUBSTITUTE(SUBSTITUTE(SUBSTITUTE(SUBSTITUTE(SUBSTITUTE(SUBSTITUTE(SUBSTITUTE(SUBSTITUTE(SUBSTITUTE(경동전체1!K452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2" s="30">
        <f>경동전체1!E452</f>
        <v>0</v>
      </c>
      <c r="D452" s="23"/>
      <c r="E452" s="23"/>
      <c r="F452" s="4">
        <f>경동전체1!J452</f>
        <v>0</v>
      </c>
      <c r="G452" s="23"/>
      <c r="H452" s="2">
        <f>경동전체1!H452</f>
        <v>0</v>
      </c>
      <c r="I452" s="2" t="str">
        <f>경동전체1!I452&amp;""</f>
        <v/>
      </c>
      <c r="J452" s="2" t="s">
        <v>36</v>
      </c>
      <c r="K452" s="2" t="str">
        <f>IF(LEFT(경동전체1!G452,1)="","따사룸",경동전체1!G452)</f>
        <v>따사룸</v>
      </c>
      <c r="L452" s="4" t="str">
        <f t="shared" si="28"/>
        <v>1</v>
      </c>
      <c r="M452" s="1" t="str">
        <f>IF(LEFT(경동전체1!D452,1)="2","비닐",IF(LEFT(경동전체1!O452,1)="박","박스","비닐"))</f>
        <v>비닐</v>
      </c>
      <c r="N452" s="25">
        <v>1</v>
      </c>
      <c r="O452" s="25">
        <v>1</v>
      </c>
      <c r="P452" s="25">
        <v>1</v>
      </c>
      <c r="Q452" s="25">
        <v>1</v>
      </c>
      <c r="R452" s="1" t="str">
        <f t="shared" si="29"/>
        <v>50</v>
      </c>
      <c r="S452" s="1">
        <f>경동전체1!B452</f>
        <v>0</v>
      </c>
      <c r="T452" s="1" t="str">
        <f t="shared" si="30"/>
        <v>100</v>
      </c>
      <c r="U452" s="5" t="str">
        <f t="shared" si="31"/>
        <v>0</v>
      </c>
      <c r="V452" s="26">
        <v>0</v>
      </c>
      <c r="W452" s="26">
        <v>0</v>
      </c>
      <c r="X452" s="2" t="str">
        <f>SUBSTITUTE(SUBSTITUTE(SUBSTITUTE(SUBSTITUTE(SUBSTITUTE(SUBSTITUTE(SUBSTITUTE(SUBSTITUTE(SUBSTITUTE(SUBSTITUTE(SUBSTITUTE(SUBSTITUTE(SUBSTITUTE(경동전체1!D452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3" spans="1:24" ht="20.25" customHeight="1" x14ac:dyDescent="0.3">
      <c r="A453" s="2">
        <f>경동전체1!A453</f>
        <v>0</v>
      </c>
      <c r="B453" s="13" t="str">
        <f>SUBSTITUTE(SUBSTITUTE(SUBSTITUTE(SUBSTITUTE(SUBSTITUTE(SUBSTITUTE(SUBSTITUTE(SUBSTITUTE(SUBSTITUTE(SUBSTITUTE(SUBSTITUTE(SUBSTITUTE(SUBSTITUTE(경동전체1!K453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3" s="30">
        <f>경동전체1!E453</f>
        <v>0</v>
      </c>
      <c r="D453" s="23"/>
      <c r="E453" s="23"/>
      <c r="F453" s="4">
        <f>경동전체1!J453</f>
        <v>0</v>
      </c>
      <c r="G453" s="23"/>
      <c r="H453" s="2">
        <f>경동전체1!H453</f>
        <v>0</v>
      </c>
      <c r="I453" s="2" t="str">
        <f>경동전체1!I453&amp;""</f>
        <v/>
      </c>
      <c r="J453" s="2" t="s">
        <v>36</v>
      </c>
      <c r="K453" s="2" t="str">
        <f>IF(LEFT(경동전체1!G453,1)="","따사룸",경동전체1!G453)</f>
        <v>따사룸</v>
      </c>
      <c r="L453" s="4" t="str">
        <f t="shared" si="28"/>
        <v>1</v>
      </c>
      <c r="M453" s="1" t="str">
        <f>IF(LEFT(경동전체1!D453,1)="2","비닐",IF(LEFT(경동전체1!O453,1)="박","박스","비닐"))</f>
        <v>비닐</v>
      </c>
      <c r="N453" s="25">
        <v>1</v>
      </c>
      <c r="O453" s="25">
        <v>1</v>
      </c>
      <c r="P453" s="25">
        <v>1</v>
      </c>
      <c r="Q453" s="25">
        <v>1</v>
      </c>
      <c r="R453" s="1" t="str">
        <f t="shared" si="29"/>
        <v>50</v>
      </c>
      <c r="S453" s="1">
        <f>경동전체1!B453</f>
        <v>0</v>
      </c>
      <c r="T453" s="1" t="str">
        <f t="shared" si="30"/>
        <v>100</v>
      </c>
      <c r="U453" s="5" t="str">
        <f t="shared" si="31"/>
        <v>0</v>
      </c>
      <c r="V453" s="26">
        <v>0</v>
      </c>
      <c r="W453" s="26">
        <v>0</v>
      </c>
      <c r="X453" s="2" t="str">
        <f>SUBSTITUTE(SUBSTITUTE(SUBSTITUTE(SUBSTITUTE(SUBSTITUTE(SUBSTITUTE(SUBSTITUTE(SUBSTITUTE(SUBSTITUTE(SUBSTITUTE(SUBSTITUTE(SUBSTITUTE(SUBSTITUTE(경동전체1!D453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4" spans="1:24" ht="20.25" customHeight="1" x14ac:dyDescent="0.3">
      <c r="A454" s="2">
        <f>경동전체1!A454</f>
        <v>0</v>
      </c>
      <c r="B454" s="13" t="str">
        <f>SUBSTITUTE(SUBSTITUTE(SUBSTITUTE(SUBSTITUTE(SUBSTITUTE(SUBSTITUTE(SUBSTITUTE(SUBSTITUTE(SUBSTITUTE(SUBSTITUTE(SUBSTITUTE(SUBSTITUTE(SUBSTITUTE(경동전체1!K454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4" s="30">
        <f>경동전체1!E454</f>
        <v>0</v>
      </c>
      <c r="D454" s="23"/>
      <c r="E454" s="23"/>
      <c r="F454" s="4">
        <f>경동전체1!J454</f>
        <v>0</v>
      </c>
      <c r="G454" s="23"/>
      <c r="H454" s="2">
        <f>경동전체1!H454</f>
        <v>0</v>
      </c>
      <c r="I454" s="2" t="str">
        <f>경동전체1!I454&amp;""</f>
        <v/>
      </c>
      <c r="J454" s="2" t="s">
        <v>36</v>
      </c>
      <c r="K454" s="2" t="str">
        <f>IF(LEFT(경동전체1!G454,1)="","따사룸",경동전체1!G454)</f>
        <v>따사룸</v>
      </c>
      <c r="L454" s="4" t="str">
        <f t="shared" si="28"/>
        <v>1</v>
      </c>
      <c r="M454" s="1" t="str">
        <f>IF(LEFT(경동전체1!D454,1)="2","비닐",IF(LEFT(경동전체1!O454,1)="박","박스","비닐"))</f>
        <v>비닐</v>
      </c>
      <c r="N454" s="25">
        <v>1</v>
      </c>
      <c r="O454" s="25">
        <v>1</v>
      </c>
      <c r="P454" s="25">
        <v>1</v>
      </c>
      <c r="Q454" s="25">
        <v>1</v>
      </c>
      <c r="R454" s="1" t="str">
        <f t="shared" si="29"/>
        <v>50</v>
      </c>
      <c r="S454" s="1">
        <f>경동전체1!B454</f>
        <v>0</v>
      </c>
      <c r="T454" s="1" t="str">
        <f t="shared" si="30"/>
        <v>100</v>
      </c>
      <c r="U454" s="5" t="str">
        <f t="shared" si="31"/>
        <v>0</v>
      </c>
      <c r="V454" s="26">
        <v>0</v>
      </c>
      <c r="W454" s="26">
        <v>0</v>
      </c>
      <c r="X454" s="2" t="str">
        <f>SUBSTITUTE(SUBSTITUTE(SUBSTITUTE(SUBSTITUTE(SUBSTITUTE(SUBSTITUTE(SUBSTITUTE(SUBSTITUTE(SUBSTITUTE(SUBSTITUTE(SUBSTITUTE(SUBSTITUTE(SUBSTITUTE(경동전체1!D454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5" spans="1:24" ht="20.25" customHeight="1" x14ac:dyDescent="0.3">
      <c r="A455" s="2">
        <f>경동전체1!A455</f>
        <v>0</v>
      </c>
      <c r="B455" s="13" t="str">
        <f>SUBSTITUTE(SUBSTITUTE(SUBSTITUTE(SUBSTITUTE(SUBSTITUTE(SUBSTITUTE(SUBSTITUTE(SUBSTITUTE(SUBSTITUTE(SUBSTITUTE(SUBSTITUTE(SUBSTITUTE(SUBSTITUTE(경동전체1!K455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5" s="30">
        <f>경동전체1!E455</f>
        <v>0</v>
      </c>
      <c r="D455" s="23"/>
      <c r="E455" s="23"/>
      <c r="F455" s="4">
        <f>경동전체1!J455</f>
        <v>0</v>
      </c>
      <c r="G455" s="23"/>
      <c r="H455" s="2">
        <f>경동전체1!H455</f>
        <v>0</v>
      </c>
      <c r="I455" s="2" t="str">
        <f>경동전체1!I455&amp;""</f>
        <v/>
      </c>
      <c r="J455" s="2" t="s">
        <v>36</v>
      </c>
      <c r="K455" s="2" t="str">
        <f>IF(LEFT(경동전체1!G455,1)="","따사룸",경동전체1!G455)</f>
        <v>따사룸</v>
      </c>
      <c r="L455" s="4" t="str">
        <f t="shared" si="28"/>
        <v>1</v>
      </c>
      <c r="M455" s="1" t="str">
        <f>IF(LEFT(경동전체1!D455,1)="2","비닐",IF(LEFT(경동전체1!O455,1)="박","박스","비닐"))</f>
        <v>비닐</v>
      </c>
      <c r="N455" s="25">
        <v>1</v>
      </c>
      <c r="O455" s="25">
        <v>1</v>
      </c>
      <c r="P455" s="25">
        <v>1</v>
      </c>
      <c r="Q455" s="25">
        <v>1</v>
      </c>
      <c r="R455" s="1" t="str">
        <f t="shared" si="29"/>
        <v>50</v>
      </c>
      <c r="S455" s="1">
        <f>경동전체1!B455</f>
        <v>0</v>
      </c>
      <c r="T455" s="1" t="str">
        <f t="shared" si="30"/>
        <v>100</v>
      </c>
      <c r="U455" s="5" t="str">
        <f t="shared" si="31"/>
        <v>0</v>
      </c>
      <c r="V455" s="26">
        <v>0</v>
      </c>
      <c r="W455" s="26">
        <v>0</v>
      </c>
      <c r="X455" s="2" t="str">
        <f>SUBSTITUTE(SUBSTITUTE(SUBSTITUTE(SUBSTITUTE(SUBSTITUTE(SUBSTITUTE(SUBSTITUTE(SUBSTITUTE(SUBSTITUTE(SUBSTITUTE(SUBSTITUTE(SUBSTITUTE(SUBSTITUTE(경동전체1!D455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6" spans="1:24" ht="20.25" customHeight="1" x14ac:dyDescent="0.3">
      <c r="A456" s="2">
        <f>경동전체1!A456</f>
        <v>0</v>
      </c>
      <c r="B456" s="13" t="str">
        <f>SUBSTITUTE(SUBSTITUTE(SUBSTITUTE(SUBSTITUTE(SUBSTITUTE(SUBSTITUTE(SUBSTITUTE(SUBSTITUTE(SUBSTITUTE(SUBSTITUTE(SUBSTITUTE(SUBSTITUTE(SUBSTITUTE(경동전체1!K456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6" s="30">
        <f>경동전체1!E456</f>
        <v>0</v>
      </c>
      <c r="D456" s="23"/>
      <c r="E456" s="23"/>
      <c r="F456" s="4">
        <f>경동전체1!J456</f>
        <v>0</v>
      </c>
      <c r="G456" s="23"/>
      <c r="H456" s="2">
        <f>경동전체1!H456</f>
        <v>0</v>
      </c>
      <c r="I456" s="2" t="str">
        <f>경동전체1!I456&amp;""</f>
        <v/>
      </c>
      <c r="J456" s="2" t="s">
        <v>36</v>
      </c>
      <c r="K456" s="2" t="str">
        <f>IF(LEFT(경동전체1!G456,1)="","따사룸",경동전체1!G456)</f>
        <v>따사룸</v>
      </c>
      <c r="L456" s="4" t="str">
        <f t="shared" si="28"/>
        <v>1</v>
      </c>
      <c r="M456" s="1" t="str">
        <f>IF(LEFT(경동전체1!D456,1)="2","비닐",IF(LEFT(경동전체1!O456,1)="박","박스","비닐"))</f>
        <v>비닐</v>
      </c>
      <c r="N456" s="25">
        <v>1</v>
      </c>
      <c r="O456" s="25">
        <v>1</v>
      </c>
      <c r="P456" s="25">
        <v>1</v>
      </c>
      <c r="Q456" s="25">
        <v>1</v>
      </c>
      <c r="R456" s="1" t="str">
        <f t="shared" si="29"/>
        <v>50</v>
      </c>
      <c r="S456" s="1">
        <f>경동전체1!B456</f>
        <v>0</v>
      </c>
      <c r="T456" s="1" t="str">
        <f t="shared" si="30"/>
        <v>100</v>
      </c>
      <c r="U456" s="5" t="str">
        <f t="shared" si="31"/>
        <v>0</v>
      </c>
      <c r="V456" s="26">
        <v>0</v>
      </c>
      <c r="W456" s="26">
        <v>0</v>
      </c>
      <c r="X456" s="2" t="str">
        <f>SUBSTITUTE(SUBSTITUTE(SUBSTITUTE(SUBSTITUTE(SUBSTITUTE(SUBSTITUTE(SUBSTITUTE(SUBSTITUTE(SUBSTITUTE(SUBSTITUTE(SUBSTITUTE(SUBSTITUTE(SUBSTITUTE(경동전체1!D456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7" spans="1:24" ht="20.25" customHeight="1" x14ac:dyDescent="0.3">
      <c r="A457" s="2">
        <f>경동전체1!A457</f>
        <v>0</v>
      </c>
      <c r="B457" s="13" t="str">
        <f>SUBSTITUTE(SUBSTITUTE(SUBSTITUTE(SUBSTITUTE(SUBSTITUTE(SUBSTITUTE(SUBSTITUTE(SUBSTITUTE(SUBSTITUTE(SUBSTITUTE(SUBSTITUTE(SUBSTITUTE(SUBSTITUTE(경동전체1!K457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7" s="30">
        <f>경동전체1!E457</f>
        <v>0</v>
      </c>
      <c r="D457" s="23"/>
      <c r="E457" s="23"/>
      <c r="F457" s="4">
        <f>경동전체1!J457</f>
        <v>0</v>
      </c>
      <c r="G457" s="23"/>
      <c r="H457" s="2">
        <f>경동전체1!H457</f>
        <v>0</v>
      </c>
      <c r="I457" s="2" t="str">
        <f>경동전체1!I457&amp;""</f>
        <v/>
      </c>
      <c r="J457" s="2" t="s">
        <v>36</v>
      </c>
      <c r="K457" s="2" t="str">
        <f>IF(LEFT(경동전체1!G457,1)="","따사룸",경동전체1!G457)</f>
        <v>따사룸</v>
      </c>
      <c r="L457" s="4" t="str">
        <f t="shared" si="28"/>
        <v>1</v>
      </c>
      <c r="M457" s="1" t="str">
        <f>IF(LEFT(경동전체1!D457,1)="2","비닐",IF(LEFT(경동전체1!O457,1)="박","박스","비닐"))</f>
        <v>비닐</v>
      </c>
      <c r="N457" s="25">
        <v>1</v>
      </c>
      <c r="O457" s="25">
        <v>1</v>
      </c>
      <c r="P457" s="25">
        <v>1</v>
      </c>
      <c r="Q457" s="25">
        <v>1</v>
      </c>
      <c r="R457" s="1" t="str">
        <f t="shared" si="29"/>
        <v>50</v>
      </c>
      <c r="S457" s="1">
        <f>경동전체1!B457</f>
        <v>0</v>
      </c>
      <c r="T457" s="1" t="str">
        <f t="shared" si="30"/>
        <v>100</v>
      </c>
      <c r="U457" s="5" t="str">
        <f t="shared" si="31"/>
        <v>0</v>
      </c>
      <c r="V457" s="26">
        <v>0</v>
      </c>
      <c r="W457" s="26">
        <v>0</v>
      </c>
      <c r="X457" s="2" t="str">
        <f>SUBSTITUTE(SUBSTITUTE(SUBSTITUTE(SUBSTITUTE(SUBSTITUTE(SUBSTITUTE(SUBSTITUTE(SUBSTITUTE(SUBSTITUTE(SUBSTITUTE(SUBSTITUTE(SUBSTITUTE(SUBSTITUTE(경동전체1!D457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8" spans="1:24" ht="20.25" customHeight="1" x14ac:dyDescent="0.3">
      <c r="A458" s="2">
        <f>경동전체1!A458</f>
        <v>0</v>
      </c>
      <c r="B458" s="13" t="str">
        <f>SUBSTITUTE(SUBSTITUTE(SUBSTITUTE(SUBSTITUTE(SUBSTITUTE(SUBSTITUTE(SUBSTITUTE(SUBSTITUTE(SUBSTITUTE(SUBSTITUTE(SUBSTITUTE(SUBSTITUTE(SUBSTITUTE(경동전체1!K458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8" s="30">
        <f>경동전체1!E458</f>
        <v>0</v>
      </c>
      <c r="D458" s="23"/>
      <c r="E458" s="23"/>
      <c r="F458" s="4">
        <f>경동전체1!J458</f>
        <v>0</v>
      </c>
      <c r="G458" s="23"/>
      <c r="H458" s="2">
        <f>경동전체1!H458</f>
        <v>0</v>
      </c>
      <c r="I458" s="2" t="str">
        <f>경동전체1!I458&amp;""</f>
        <v/>
      </c>
      <c r="J458" s="2" t="s">
        <v>36</v>
      </c>
      <c r="K458" s="2" t="str">
        <f>IF(LEFT(경동전체1!G458,1)="","따사룸",경동전체1!G458)</f>
        <v>따사룸</v>
      </c>
      <c r="L458" s="4" t="str">
        <f t="shared" si="28"/>
        <v>1</v>
      </c>
      <c r="M458" s="1" t="str">
        <f>IF(LEFT(경동전체1!D458,1)="2","비닐",IF(LEFT(경동전체1!O458,1)="박","박스","비닐"))</f>
        <v>비닐</v>
      </c>
      <c r="N458" s="25">
        <v>1</v>
      </c>
      <c r="O458" s="25">
        <v>1</v>
      </c>
      <c r="P458" s="25">
        <v>1</v>
      </c>
      <c r="Q458" s="25">
        <v>1</v>
      </c>
      <c r="R458" s="1" t="str">
        <f t="shared" si="29"/>
        <v>50</v>
      </c>
      <c r="S458" s="1">
        <f>경동전체1!B458</f>
        <v>0</v>
      </c>
      <c r="T458" s="1" t="str">
        <f t="shared" si="30"/>
        <v>100</v>
      </c>
      <c r="U458" s="5" t="str">
        <f t="shared" si="31"/>
        <v>0</v>
      </c>
      <c r="V458" s="26">
        <v>0</v>
      </c>
      <c r="W458" s="26">
        <v>0</v>
      </c>
      <c r="X458" s="2" t="str">
        <f>SUBSTITUTE(SUBSTITUTE(SUBSTITUTE(SUBSTITUTE(SUBSTITUTE(SUBSTITUTE(SUBSTITUTE(SUBSTITUTE(SUBSTITUTE(SUBSTITUTE(SUBSTITUTE(SUBSTITUTE(SUBSTITUTE(경동전체1!D458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9" spans="1:24" ht="20.25" customHeight="1" x14ac:dyDescent="0.3">
      <c r="A459" s="2">
        <f>경동전체1!A459</f>
        <v>0</v>
      </c>
      <c r="B459" s="13" t="str">
        <f>SUBSTITUTE(SUBSTITUTE(SUBSTITUTE(SUBSTITUTE(SUBSTITUTE(SUBSTITUTE(SUBSTITUTE(SUBSTITUTE(SUBSTITUTE(SUBSTITUTE(SUBSTITUTE(SUBSTITUTE(SUBSTITUTE(경동전체1!K459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9" s="30">
        <f>경동전체1!E459</f>
        <v>0</v>
      </c>
      <c r="D459" s="23"/>
      <c r="E459" s="23"/>
      <c r="F459" s="4">
        <f>경동전체1!J459</f>
        <v>0</v>
      </c>
      <c r="G459" s="23"/>
      <c r="H459" s="2">
        <f>경동전체1!H459</f>
        <v>0</v>
      </c>
      <c r="I459" s="2" t="str">
        <f>경동전체1!I459&amp;""</f>
        <v/>
      </c>
      <c r="J459" s="2" t="s">
        <v>36</v>
      </c>
      <c r="K459" s="2" t="str">
        <f>IF(LEFT(경동전체1!G459,1)="","따사룸",경동전체1!G459)</f>
        <v>따사룸</v>
      </c>
      <c r="L459" s="4" t="str">
        <f t="shared" si="28"/>
        <v>1</v>
      </c>
      <c r="M459" s="1" t="str">
        <f>IF(LEFT(경동전체1!D459,1)="2","비닐",IF(LEFT(경동전체1!O459,1)="박","박스","비닐"))</f>
        <v>비닐</v>
      </c>
      <c r="N459" s="25">
        <v>1</v>
      </c>
      <c r="O459" s="25">
        <v>1</v>
      </c>
      <c r="P459" s="25">
        <v>1</v>
      </c>
      <c r="Q459" s="25">
        <v>1</v>
      </c>
      <c r="R459" s="1" t="str">
        <f t="shared" si="29"/>
        <v>50</v>
      </c>
      <c r="S459" s="1">
        <f>경동전체1!B459</f>
        <v>0</v>
      </c>
      <c r="T459" s="1" t="str">
        <f t="shared" si="30"/>
        <v>100</v>
      </c>
      <c r="U459" s="5" t="str">
        <f t="shared" si="31"/>
        <v>0</v>
      </c>
      <c r="V459" s="26">
        <v>0</v>
      </c>
      <c r="W459" s="26">
        <v>0</v>
      </c>
      <c r="X459" s="2" t="str">
        <f>SUBSTITUTE(SUBSTITUTE(SUBSTITUTE(SUBSTITUTE(SUBSTITUTE(SUBSTITUTE(SUBSTITUTE(SUBSTITUTE(SUBSTITUTE(SUBSTITUTE(SUBSTITUTE(SUBSTITUTE(SUBSTITUTE(경동전체1!D459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0" spans="1:24" ht="20.25" customHeight="1" x14ac:dyDescent="0.3">
      <c r="A460" s="2">
        <f>경동전체1!A460</f>
        <v>0</v>
      </c>
      <c r="B460" s="13" t="str">
        <f>SUBSTITUTE(SUBSTITUTE(SUBSTITUTE(SUBSTITUTE(SUBSTITUTE(SUBSTITUTE(SUBSTITUTE(SUBSTITUTE(SUBSTITUTE(SUBSTITUTE(SUBSTITUTE(SUBSTITUTE(SUBSTITUTE(경동전체1!K460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0" s="30">
        <f>경동전체1!E460</f>
        <v>0</v>
      </c>
      <c r="D460" s="23"/>
      <c r="E460" s="23"/>
      <c r="F460" s="4">
        <f>경동전체1!J460</f>
        <v>0</v>
      </c>
      <c r="G460" s="23"/>
      <c r="H460" s="2">
        <f>경동전체1!H460</f>
        <v>0</v>
      </c>
      <c r="I460" s="2" t="str">
        <f>경동전체1!I460&amp;""</f>
        <v/>
      </c>
      <c r="J460" s="2" t="s">
        <v>36</v>
      </c>
      <c r="K460" s="2" t="str">
        <f>IF(LEFT(경동전체1!G460,1)="","따사룸",경동전체1!G460)</f>
        <v>따사룸</v>
      </c>
      <c r="L460" s="4" t="str">
        <f t="shared" si="28"/>
        <v>1</v>
      </c>
      <c r="M460" s="1" t="str">
        <f>IF(LEFT(경동전체1!D460,1)="2","비닐",IF(LEFT(경동전체1!O460,1)="박","박스","비닐"))</f>
        <v>비닐</v>
      </c>
      <c r="N460" s="25">
        <v>1</v>
      </c>
      <c r="O460" s="25">
        <v>1</v>
      </c>
      <c r="P460" s="25">
        <v>1</v>
      </c>
      <c r="Q460" s="25">
        <v>1</v>
      </c>
      <c r="R460" s="1" t="str">
        <f t="shared" si="29"/>
        <v>50</v>
      </c>
      <c r="S460" s="1">
        <f>경동전체1!B460</f>
        <v>0</v>
      </c>
      <c r="T460" s="1" t="str">
        <f t="shared" si="30"/>
        <v>100</v>
      </c>
      <c r="U460" s="5" t="str">
        <f t="shared" si="31"/>
        <v>0</v>
      </c>
      <c r="V460" s="26">
        <v>0</v>
      </c>
      <c r="W460" s="26">
        <v>0</v>
      </c>
      <c r="X460" s="2" t="str">
        <f>SUBSTITUTE(SUBSTITUTE(SUBSTITUTE(SUBSTITUTE(SUBSTITUTE(SUBSTITUTE(SUBSTITUTE(SUBSTITUTE(SUBSTITUTE(SUBSTITUTE(SUBSTITUTE(SUBSTITUTE(SUBSTITUTE(경동전체1!D460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1" spans="1:24" ht="20.25" customHeight="1" x14ac:dyDescent="0.3">
      <c r="A461" s="2">
        <f>경동전체1!A461</f>
        <v>0</v>
      </c>
      <c r="B461" s="13" t="str">
        <f>SUBSTITUTE(SUBSTITUTE(SUBSTITUTE(SUBSTITUTE(SUBSTITUTE(SUBSTITUTE(SUBSTITUTE(SUBSTITUTE(SUBSTITUTE(SUBSTITUTE(SUBSTITUTE(SUBSTITUTE(SUBSTITUTE(경동전체1!K461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1" s="30">
        <f>경동전체1!E461</f>
        <v>0</v>
      </c>
      <c r="D461" s="23"/>
      <c r="E461" s="23"/>
      <c r="F461" s="4">
        <f>경동전체1!J461</f>
        <v>0</v>
      </c>
      <c r="G461" s="23"/>
      <c r="H461" s="2">
        <f>경동전체1!H461</f>
        <v>0</v>
      </c>
      <c r="I461" s="2" t="str">
        <f>경동전체1!I461&amp;""</f>
        <v/>
      </c>
      <c r="J461" s="2" t="s">
        <v>36</v>
      </c>
      <c r="K461" s="2" t="str">
        <f>IF(LEFT(경동전체1!G461,1)="","따사룸",경동전체1!G461)</f>
        <v>따사룸</v>
      </c>
      <c r="L461" s="4" t="str">
        <f t="shared" si="28"/>
        <v>1</v>
      </c>
      <c r="M461" s="1" t="str">
        <f>IF(LEFT(경동전체1!D461,1)="2","비닐",IF(LEFT(경동전체1!O461,1)="박","박스","비닐"))</f>
        <v>비닐</v>
      </c>
      <c r="N461" s="25">
        <v>1</v>
      </c>
      <c r="O461" s="25">
        <v>1</v>
      </c>
      <c r="P461" s="25">
        <v>1</v>
      </c>
      <c r="Q461" s="25">
        <v>1</v>
      </c>
      <c r="R461" s="1" t="str">
        <f t="shared" si="29"/>
        <v>50</v>
      </c>
      <c r="S461" s="1">
        <f>경동전체1!B461</f>
        <v>0</v>
      </c>
      <c r="T461" s="1" t="str">
        <f t="shared" si="30"/>
        <v>100</v>
      </c>
      <c r="U461" s="5" t="str">
        <f t="shared" si="31"/>
        <v>0</v>
      </c>
      <c r="V461" s="26">
        <v>0</v>
      </c>
      <c r="W461" s="26">
        <v>0</v>
      </c>
      <c r="X461" s="2" t="str">
        <f>SUBSTITUTE(SUBSTITUTE(SUBSTITUTE(SUBSTITUTE(SUBSTITUTE(SUBSTITUTE(SUBSTITUTE(SUBSTITUTE(SUBSTITUTE(SUBSTITUTE(SUBSTITUTE(SUBSTITUTE(SUBSTITUTE(경동전체1!D461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2" spans="1:24" ht="20.25" customHeight="1" x14ac:dyDescent="0.3">
      <c r="A462" s="2">
        <f>경동전체1!A462</f>
        <v>0</v>
      </c>
      <c r="B462" s="13" t="str">
        <f>SUBSTITUTE(SUBSTITUTE(SUBSTITUTE(SUBSTITUTE(SUBSTITUTE(SUBSTITUTE(SUBSTITUTE(SUBSTITUTE(SUBSTITUTE(SUBSTITUTE(SUBSTITUTE(SUBSTITUTE(SUBSTITUTE(경동전체1!K462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2" s="30">
        <f>경동전체1!E462</f>
        <v>0</v>
      </c>
      <c r="D462" s="23"/>
      <c r="E462" s="23"/>
      <c r="F462" s="4">
        <f>경동전체1!J462</f>
        <v>0</v>
      </c>
      <c r="G462" s="23"/>
      <c r="H462" s="2">
        <f>경동전체1!H462</f>
        <v>0</v>
      </c>
      <c r="I462" s="2" t="str">
        <f>경동전체1!I462&amp;""</f>
        <v/>
      </c>
      <c r="J462" s="2" t="s">
        <v>36</v>
      </c>
      <c r="K462" s="2" t="str">
        <f>IF(LEFT(경동전체1!G462,1)="","따사룸",경동전체1!G462)</f>
        <v>따사룸</v>
      </c>
      <c r="L462" s="4" t="str">
        <f t="shared" si="28"/>
        <v>1</v>
      </c>
      <c r="M462" s="1" t="str">
        <f>IF(LEFT(경동전체1!D462,1)="2","비닐",IF(LEFT(경동전체1!O462,1)="박","박스","비닐"))</f>
        <v>비닐</v>
      </c>
      <c r="N462" s="25">
        <v>1</v>
      </c>
      <c r="O462" s="25">
        <v>1</v>
      </c>
      <c r="P462" s="25">
        <v>1</v>
      </c>
      <c r="Q462" s="25">
        <v>1</v>
      </c>
      <c r="R462" s="1" t="str">
        <f t="shared" si="29"/>
        <v>50</v>
      </c>
      <c r="S462" s="1">
        <f>경동전체1!B462</f>
        <v>0</v>
      </c>
      <c r="T462" s="1" t="str">
        <f t="shared" si="30"/>
        <v>100</v>
      </c>
      <c r="U462" s="5" t="str">
        <f t="shared" si="31"/>
        <v>0</v>
      </c>
      <c r="V462" s="26">
        <v>0</v>
      </c>
      <c r="W462" s="26">
        <v>0</v>
      </c>
      <c r="X462" s="2" t="str">
        <f>SUBSTITUTE(SUBSTITUTE(SUBSTITUTE(SUBSTITUTE(SUBSTITUTE(SUBSTITUTE(SUBSTITUTE(SUBSTITUTE(SUBSTITUTE(SUBSTITUTE(SUBSTITUTE(SUBSTITUTE(SUBSTITUTE(경동전체1!D462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3" spans="1:24" ht="20.25" customHeight="1" x14ac:dyDescent="0.3">
      <c r="A463" s="2">
        <f>경동전체1!A463</f>
        <v>0</v>
      </c>
      <c r="B463" s="13" t="str">
        <f>SUBSTITUTE(SUBSTITUTE(SUBSTITUTE(SUBSTITUTE(SUBSTITUTE(SUBSTITUTE(SUBSTITUTE(SUBSTITUTE(SUBSTITUTE(SUBSTITUTE(SUBSTITUTE(SUBSTITUTE(SUBSTITUTE(경동전체1!K463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3" s="30">
        <f>경동전체1!E463</f>
        <v>0</v>
      </c>
      <c r="D463" s="23"/>
      <c r="E463" s="23"/>
      <c r="F463" s="4">
        <f>경동전체1!J463</f>
        <v>0</v>
      </c>
      <c r="G463" s="23"/>
      <c r="H463" s="2">
        <f>경동전체1!H463</f>
        <v>0</v>
      </c>
      <c r="I463" s="2" t="str">
        <f>경동전체1!I463&amp;""</f>
        <v/>
      </c>
      <c r="J463" s="2" t="s">
        <v>36</v>
      </c>
      <c r="K463" s="2" t="str">
        <f>IF(LEFT(경동전체1!G463,1)="","따사룸",경동전체1!G463)</f>
        <v>따사룸</v>
      </c>
      <c r="L463" s="4" t="str">
        <f t="shared" si="28"/>
        <v>1</v>
      </c>
      <c r="M463" s="1" t="str">
        <f>IF(LEFT(경동전체1!D463,1)="2","비닐",IF(LEFT(경동전체1!O463,1)="박","박스","비닐"))</f>
        <v>비닐</v>
      </c>
      <c r="N463" s="25">
        <v>1</v>
      </c>
      <c r="O463" s="25">
        <v>1</v>
      </c>
      <c r="P463" s="25">
        <v>1</v>
      </c>
      <c r="Q463" s="25">
        <v>1</v>
      </c>
      <c r="R463" s="1" t="str">
        <f t="shared" si="29"/>
        <v>50</v>
      </c>
      <c r="S463" s="1">
        <f>경동전체1!B463</f>
        <v>0</v>
      </c>
      <c r="T463" s="1" t="str">
        <f t="shared" si="30"/>
        <v>100</v>
      </c>
      <c r="U463" s="5" t="str">
        <f t="shared" si="31"/>
        <v>0</v>
      </c>
      <c r="V463" s="26">
        <v>0</v>
      </c>
      <c r="W463" s="26">
        <v>0</v>
      </c>
      <c r="X463" s="2" t="str">
        <f>SUBSTITUTE(SUBSTITUTE(SUBSTITUTE(SUBSTITUTE(SUBSTITUTE(SUBSTITUTE(SUBSTITUTE(SUBSTITUTE(SUBSTITUTE(SUBSTITUTE(SUBSTITUTE(SUBSTITUTE(SUBSTITUTE(경동전체1!D463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4" spans="1:24" ht="20.25" customHeight="1" x14ac:dyDescent="0.3">
      <c r="A464" s="2">
        <f>경동전체1!A464</f>
        <v>0</v>
      </c>
      <c r="B464" s="13" t="str">
        <f>SUBSTITUTE(SUBSTITUTE(SUBSTITUTE(SUBSTITUTE(SUBSTITUTE(SUBSTITUTE(SUBSTITUTE(SUBSTITUTE(SUBSTITUTE(SUBSTITUTE(SUBSTITUTE(SUBSTITUTE(SUBSTITUTE(경동전체1!K464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4" s="30">
        <f>경동전체1!E464</f>
        <v>0</v>
      </c>
      <c r="D464" s="23"/>
      <c r="E464" s="23"/>
      <c r="F464" s="4">
        <f>경동전체1!J464</f>
        <v>0</v>
      </c>
      <c r="G464" s="23"/>
      <c r="H464" s="2">
        <f>경동전체1!H464</f>
        <v>0</v>
      </c>
      <c r="I464" s="2" t="str">
        <f>경동전체1!I464&amp;""</f>
        <v/>
      </c>
      <c r="J464" s="2" t="s">
        <v>36</v>
      </c>
      <c r="K464" s="2" t="str">
        <f>IF(LEFT(경동전체1!G464,1)="","따사룸",경동전체1!G464)</f>
        <v>따사룸</v>
      </c>
      <c r="L464" s="4" t="str">
        <f t="shared" si="28"/>
        <v>1</v>
      </c>
      <c r="M464" s="1" t="str">
        <f>IF(LEFT(경동전체1!D464,1)="2","비닐",IF(LEFT(경동전체1!O464,1)="박","박스","비닐"))</f>
        <v>비닐</v>
      </c>
      <c r="N464" s="25">
        <v>1</v>
      </c>
      <c r="O464" s="25">
        <v>1</v>
      </c>
      <c r="P464" s="25">
        <v>1</v>
      </c>
      <c r="Q464" s="25">
        <v>1</v>
      </c>
      <c r="R464" s="1" t="str">
        <f t="shared" si="29"/>
        <v>50</v>
      </c>
      <c r="S464" s="1">
        <f>경동전체1!B464</f>
        <v>0</v>
      </c>
      <c r="T464" s="1" t="str">
        <f t="shared" si="30"/>
        <v>100</v>
      </c>
      <c r="U464" s="5" t="str">
        <f t="shared" si="31"/>
        <v>0</v>
      </c>
      <c r="V464" s="26">
        <v>0</v>
      </c>
      <c r="W464" s="26">
        <v>0</v>
      </c>
      <c r="X464" s="2" t="str">
        <f>SUBSTITUTE(SUBSTITUTE(SUBSTITUTE(SUBSTITUTE(SUBSTITUTE(SUBSTITUTE(SUBSTITUTE(SUBSTITUTE(SUBSTITUTE(SUBSTITUTE(SUBSTITUTE(SUBSTITUTE(SUBSTITUTE(경동전체1!D464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5" spans="1:24" ht="20.25" customHeight="1" x14ac:dyDescent="0.3">
      <c r="A465" s="2">
        <f>경동전체1!A465</f>
        <v>0</v>
      </c>
      <c r="B465" s="13" t="str">
        <f>SUBSTITUTE(SUBSTITUTE(SUBSTITUTE(SUBSTITUTE(SUBSTITUTE(SUBSTITUTE(SUBSTITUTE(SUBSTITUTE(SUBSTITUTE(SUBSTITUTE(SUBSTITUTE(SUBSTITUTE(SUBSTITUTE(경동전체1!K465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5" s="30">
        <f>경동전체1!E465</f>
        <v>0</v>
      </c>
      <c r="D465" s="23"/>
      <c r="E465" s="23"/>
      <c r="F465" s="4">
        <f>경동전체1!J465</f>
        <v>0</v>
      </c>
      <c r="G465" s="23"/>
      <c r="H465" s="2">
        <f>경동전체1!H465</f>
        <v>0</v>
      </c>
      <c r="I465" s="2" t="str">
        <f>경동전체1!I465&amp;""</f>
        <v/>
      </c>
      <c r="J465" s="2" t="s">
        <v>36</v>
      </c>
      <c r="K465" s="2" t="str">
        <f>IF(LEFT(경동전체1!G465,1)="","따사룸",경동전체1!G465)</f>
        <v>따사룸</v>
      </c>
      <c r="L465" s="4" t="str">
        <f t="shared" si="28"/>
        <v>1</v>
      </c>
      <c r="M465" s="1" t="str">
        <f>IF(LEFT(경동전체1!D465,1)="2","비닐",IF(LEFT(경동전체1!O465,1)="박","박스","비닐"))</f>
        <v>비닐</v>
      </c>
      <c r="N465" s="25">
        <v>1</v>
      </c>
      <c r="O465" s="25">
        <v>1</v>
      </c>
      <c r="P465" s="25">
        <v>1</v>
      </c>
      <c r="Q465" s="25">
        <v>1</v>
      </c>
      <c r="R465" s="1" t="str">
        <f t="shared" si="29"/>
        <v>50</v>
      </c>
      <c r="S465" s="1">
        <f>경동전체1!B465</f>
        <v>0</v>
      </c>
      <c r="T465" s="1" t="str">
        <f t="shared" si="30"/>
        <v>100</v>
      </c>
      <c r="U465" s="5" t="str">
        <f t="shared" si="31"/>
        <v>0</v>
      </c>
      <c r="V465" s="26">
        <v>0</v>
      </c>
      <c r="W465" s="26">
        <v>0</v>
      </c>
      <c r="X465" s="2" t="str">
        <f>SUBSTITUTE(SUBSTITUTE(SUBSTITUTE(SUBSTITUTE(SUBSTITUTE(SUBSTITUTE(SUBSTITUTE(SUBSTITUTE(SUBSTITUTE(SUBSTITUTE(SUBSTITUTE(SUBSTITUTE(SUBSTITUTE(경동전체1!D465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6" spans="1:24" ht="20.25" customHeight="1" x14ac:dyDescent="0.3">
      <c r="A466" s="2">
        <f>경동전체1!A466</f>
        <v>0</v>
      </c>
      <c r="B466" s="13" t="str">
        <f>SUBSTITUTE(SUBSTITUTE(SUBSTITUTE(SUBSTITUTE(SUBSTITUTE(SUBSTITUTE(SUBSTITUTE(SUBSTITUTE(SUBSTITUTE(SUBSTITUTE(SUBSTITUTE(SUBSTITUTE(SUBSTITUTE(경동전체1!K466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6" s="30">
        <f>경동전체1!E466</f>
        <v>0</v>
      </c>
      <c r="D466" s="23"/>
      <c r="E466" s="23"/>
      <c r="F466" s="4">
        <f>경동전체1!J466</f>
        <v>0</v>
      </c>
      <c r="G466" s="23"/>
      <c r="H466" s="2">
        <f>경동전체1!H466</f>
        <v>0</v>
      </c>
      <c r="I466" s="2" t="str">
        <f>경동전체1!I466&amp;""</f>
        <v/>
      </c>
      <c r="J466" s="2" t="s">
        <v>36</v>
      </c>
      <c r="K466" s="2" t="str">
        <f>IF(LEFT(경동전체1!G466,1)="","따사룸",경동전체1!G466)</f>
        <v>따사룸</v>
      </c>
      <c r="L466" s="4" t="str">
        <f t="shared" si="28"/>
        <v>1</v>
      </c>
      <c r="M466" s="1" t="str">
        <f>IF(LEFT(경동전체1!D466,1)="2","비닐",IF(LEFT(경동전체1!O466,1)="박","박스","비닐"))</f>
        <v>비닐</v>
      </c>
      <c r="N466" s="25">
        <v>1</v>
      </c>
      <c r="O466" s="25">
        <v>1</v>
      </c>
      <c r="P466" s="25">
        <v>1</v>
      </c>
      <c r="Q466" s="25">
        <v>1</v>
      </c>
      <c r="R466" s="1" t="str">
        <f t="shared" si="29"/>
        <v>50</v>
      </c>
      <c r="S466" s="1">
        <f>경동전체1!B466</f>
        <v>0</v>
      </c>
      <c r="T466" s="1" t="str">
        <f t="shared" si="30"/>
        <v>100</v>
      </c>
      <c r="U466" s="5" t="str">
        <f t="shared" si="31"/>
        <v>0</v>
      </c>
      <c r="V466" s="26">
        <v>0</v>
      </c>
      <c r="W466" s="26">
        <v>0</v>
      </c>
      <c r="X466" s="2" t="str">
        <f>SUBSTITUTE(SUBSTITUTE(SUBSTITUTE(SUBSTITUTE(SUBSTITUTE(SUBSTITUTE(SUBSTITUTE(SUBSTITUTE(SUBSTITUTE(SUBSTITUTE(SUBSTITUTE(SUBSTITUTE(SUBSTITUTE(경동전체1!D466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7" spans="1:24" ht="20.25" customHeight="1" x14ac:dyDescent="0.3">
      <c r="A467" s="2">
        <f>경동전체1!A467</f>
        <v>0</v>
      </c>
      <c r="B467" s="13" t="str">
        <f>SUBSTITUTE(SUBSTITUTE(SUBSTITUTE(SUBSTITUTE(SUBSTITUTE(SUBSTITUTE(SUBSTITUTE(SUBSTITUTE(SUBSTITUTE(SUBSTITUTE(SUBSTITUTE(SUBSTITUTE(SUBSTITUTE(경동전체1!K467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7" s="30">
        <f>경동전체1!E467</f>
        <v>0</v>
      </c>
      <c r="D467" s="23"/>
      <c r="E467" s="23"/>
      <c r="F467" s="4">
        <f>경동전체1!J467</f>
        <v>0</v>
      </c>
      <c r="G467" s="23"/>
      <c r="H467" s="2">
        <f>경동전체1!H467</f>
        <v>0</v>
      </c>
      <c r="I467" s="2" t="str">
        <f>경동전체1!I467&amp;""</f>
        <v/>
      </c>
      <c r="J467" s="2" t="s">
        <v>36</v>
      </c>
      <c r="K467" s="2" t="str">
        <f>IF(LEFT(경동전체1!G467,1)="","따사룸",경동전체1!G467)</f>
        <v>따사룸</v>
      </c>
      <c r="L467" s="4" t="str">
        <f t="shared" si="28"/>
        <v>1</v>
      </c>
      <c r="M467" s="1" t="str">
        <f>IF(LEFT(경동전체1!D467,1)="2","비닐",IF(LEFT(경동전체1!O467,1)="박","박스","비닐"))</f>
        <v>비닐</v>
      </c>
      <c r="N467" s="25">
        <v>1</v>
      </c>
      <c r="O467" s="25">
        <v>1</v>
      </c>
      <c r="P467" s="25">
        <v>1</v>
      </c>
      <c r="Q467" s="25">
        <v>1</v>
      </c>
      <c r="R467" s="1" t="str">
        <f t="shared" si="29"/>
        <v>50</v>
      </c>
      <c r="S467" s="1">
        <f>경동전체1!B467</f>
        <v>0</v>
      </c>
      <c r="T467" s="1" t="str">
        <f t="shared" si="30"/>
        <v>100</v>
      </c>
      <c r="U467" s="5" t="str">
        <f t="shared" si="31"/>
        <v>0</v>
      </c>
      <c r="V467" s="26">
        <v>0</v>
      </c>
      <c r="W467" s="26">
        <v>0</v>
      </c>
      <c r="X467" s="2" t="str">
        <f>SUBSTITUTE(SUBSTITUTE(SUBSTITUTE(SUBSTITUTE(SUBSTITUTE(SUBSTITUTE(SUBSTITUTE(SUBSTITUTE(SUBSTITUTE(SUBSTITUTE(SUBSTITUTE(SUBSTITUTE(SUBSTITUTE(경동전체1!D467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8" spans="1:24" ht="20.25" customHeight="1" x14ac:dyDescent="0.3">
      <c r="A468" s="2">
        <f>경동전체1!A468</f>
        <v>0</v>
      </c>
      <c r="B468" s="13" t="str">
        <f>SUBSTITUTE(SUBSTITUTE(SUBSTITUTE(SUBSTITUTE(SUBSTITUTE(SUBSTITUTE(SUBSTITUTE(SUBSTITUTE(SUBSTITUTE(SUBSTITUTE(SUBSTITUTE(SUBSTITUTE(SUBSTITUTE(경동전체1!K468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8" s="30">
        <f>경동전체1!E468</f>
        <v>0</v>
      </c>
      <c r="D468" s="23"/>
      <c r="E468" s="23"/>
      <c r="F468" s="4">
        <f>경동전체1!J468</f>
        <v>0</v>
      </c>
      <c r="G468" s="23"/>
      <c r="H468" s="2">
        <f>경동전체1!H468</f>
        <v>0</v>
      </c>
      <c r="I468" s="2" t="str">
        <f>경동전체1!I468&amp;""</f>
        <v/>
      </c>
      <c r="J468" s="2" t="s">
        <v>36</v>
      </c>
      <c r="K468" s="2" t="str">
        <f>IF(LEFT(경동전체1!G468,1)="","따사룸",경동전체1!G468)</f>
        <v>따사룸</v>
      </c>
      <c r="L468" s="4" t="str">
        <f t="shared" si="28"/>
        <v>1</v>
      </c>
      <c r="M468" s="1" t="str">
        <f>IF(LEFT(경동전체1!D468,1)="2","비닐",IF(LEFT(경동전체1!O468,1)="박","박스","비닐"))</f>
        <v>비닐</v>
      </c>
      <c r="N468" s="25">
        <v>1</v>
      </c>
      <c r="O468" s="25">
        <v>1</v>
      </c>
      <c r="P468" s="25">
        <v>1</v>
      </c>
      <c r="Q468" s="25">
        <v>1</v>
      </c>
      <c r="R468" s="1" t="str">
        <f t="shared" si="29"/>
        <v>50</v>
      </c>
      <c r="S468" s="1">
        <f>경동전체1!B468</f>
        <v>0</v>
      </c>
      <c r="T468" s="1" t="str">
        <f t="shared" si="30"/>
        <v>100</v>
      </c>
      <c r="U468" s="5" t="str">
        <f t="shared" si="31"/>
        <v>0</v>
      </c>
      <c r="V468" s="26">
        <v>0</v>
      </c>
      <c r="W468" s="26">
        <v>0</v>
      </c>
      <c r="X468" s="2" t="str">
        <f>SUBSTITUTE(SUBSTITUTE(SUBSTITUTE(SUBSTITUTE(SUBSTITUTE(SUBSTITUTE(SUBSTITUTE(SUBSTITUTE(SUBSTITUTE(SUBSTITUTE(SUBSTITUTE(SUBSTITUTE(SUBSTITUTE(경동전체1!D468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9" spans="1:24" ht="20.25" customHeight="1" x14ac:dyDescent="0.3">
      <c r="A469" s="2">
        <f>경동전체1!A469</f>
        <v>0</v>
      </c>
      <c r="B469" s="13" t="str">
        <f>SUBSTITUTE(SUBSTITUTE(SUBSTITUTE(SUBSTITUTE(SUBSTITUTE(SUBSTITUTE(SUBSTITUTE(SUBSTITUTE(SUBSTITUTE(SUBSTITUTE(SUBSTITUTE(SUBSTITUTE(SUBSTITUTE(경동전체1!K469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9" s="30">
        <f>경동전체1!E469</f>
        <v>0</v>
      </c>
      <c r="D469" s="23"/>
      <c r="E469" s="23"/>
      <c r="F469" s="4">
        <f>경동전체1!J469</f>
        <v>0</v>
      </c>
      <c r="G469" s="23"/>
      <c r="H469" s="2">
        <f>경동전체1!H469</f>
        <v>0</v>
      </c>
      <c r="I469" s="2" t="str">
        <f>경동전체1!I469&amp;""</f>
        <v/>
      </c>
      <c r="J469" s="2" t="s">
        <v>36</v>
      </c>
      <c r="K469" s="2" t="str">
        <f>IF(LEFT(경동전체1!G469,1)="","따사룸",경동전체1!G469)</f>
        <v>따사룸</v>
      </c>
      <c r="L469" s="4" t="str">
        <f t="shared" si="28"/>
        <v>1</v>
      </c>
      <c r="M469" s="1" t="str">
        <f>IF(LEFT(경동전체1!D469,1)="2","비닐",IF(LEFT(경동전체1!O469,1)="박","박스","비닐"))</f>
        <v>비닐</v>
      </c>
      <c r="N469" s="25">
        <v>1</v>
      </c>
      <c r="O469" s="25">
        <v>1</v>
      </c>
      <c r="P469" s="25">
        <v>1</v>
      </c>
      <c r="Q469" s="25">
        <v>1</v>
      </c>
      <c r="R469" s="1" t="str">
        <f t="shared" si="29"/>
        <v>50</v>
      </c>
      <c r="S469" s="1">
        <f>경동전체1!B469</f>
        <v>0</v>
      </c>
      <c r="T469" s="1" t="str">
        <f t="shared" si="30"/>
        <v>100</v>
      </c>
      <c r="U469" s="5" t="str">
        <f t="shared" si="31"/>
        <v>0</v>
      </c>
      <c r="V469" s="26">
        <v>0</v>
      </c>
      <c r="W469" s="26">
        <v>0</v>
      </c>
      <c r="X469" s="2" t="str">
        <f>SUBSTITUTE(SUBSTITUTE(SUBSTITUTE(SUBSTITUTE(SUBSTITUTE(SUBSTITUTE(SUBSTITUTE(SUBSTITUTE(SUBSTITUTE(SUBSTITUTE(SUBSTITUTE(SUBSTITUTE(SUBSTITUTE(경동전체1!D469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0" spans="1:24" ht="20.25" customHeight="1" x14ac:dyDescent="0.3">
      <c r="A470" s="2">
        <f>경동전체1!A470</f>
        <v>0</v>
      </c>
      <c r="B470" s="13" t="str">
        <f>SUBSTITUTE(SUBSTITUTE(SUBSTITUTE(SUBSTITUTE(SUBSTITUTE(SUBSTITUTE(SUBSTITUTE(SUBSTITUTE(SUBSTITUTE(SUBSTITUTE(SUBSTITUTE(SUBSTITUTE(SUBSTITUTE(경동전체1!K470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0" s="30">
        <f>경동전체1!E470</f>
        <v>0</v>
      </c>
      <c r="D470" s="23"/>
      <c r="E470" s="23"/>
      <c r="F470" s="4">
        <f>경동전체1!J470</f>
        <v>0</v>
      </c>
      <c r="G470" s="23"/>
      <c r="H470" s="2">
        <f>경동전체1!H470</f>
        <v>0</v>
      </c>
      <c r="I470" s="2" t="str">
        <f>경동전체1!I470&amp;""</f>
        <v/>
      </c>
      <c r="J470" s="2" t="s">
        <v>36</v>
      </c>
      <c r="K470" s="2" t="str">
        <f>IF(LEFT(경동전체1!G470,1)="","따사룸",경동전체1!G470)</f>
        <v>따사룸</v>
      </c>
      <c r="L470" s="4" t="str">
        <f t="shared" si="28"/>
        <v>1</v>
      </c>
      <c r="M470" s="1" t="str">
        <f>IF(LEFT(경동전체1!D470,1)="2","비닐",IF(LEFT(경동전체1!O470,1)="박","박스","비닐"))</f>
        <v>비닐</v>
      </c>
      <c r="N470" s="25">
        <v>1</v>
      </c>
      <c r="O470" s="25">
        <v>1</v>
      </c>
      <c r="P470" s="25">
        <v>1</v>
      </c>
      <c r="Q470" s="25">
        <v>1</v>
      </c>
      <c r="R470" s="1" t="str">
        <f t="shared" si="29"/>
        <v>50</v>
      </c>
      <c r="S470" s="1">
        <f>경동전체1!B470</f>
        <v>0</v>
      </c>
      <c r="T470" s="1" t="str">
        <f t="shared" si="30"/>
        <v>100</v>
      </c>
      <c r="U470" s="5" t="str">
        <f t="shared" si="31"/>
        <v>0</v>
      </c>
      <c r="V470" s="26">
        <v>0</v>
      </c>
      <c r="W470" s="26">
        <v>0</v>
      </c>
      <c r="X470" s="2" t="str">
        <f>SUBSTITUTE(SUBSTITUTE(SUBSTITUTE(SUBSTITUTE(SUBSTITUTE(SUBSTITUTE(SUBSTITUTE(SUBSTITUTE(SUBSTITUTE(SUBSTITUTE(SUBSTITUTE(SUBSTITUTE(SUBSTITUTE(경동전체1!D470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1" spans="1:24" ht="20.25" customHeight="1" x14ac:dyDescent="0.3">
      <c r="A471" s="2">
        <f>경동전체1!A471</f>
        <v>0</v>
      </c>
      <c r="B471" s="13" t="str">
        <f>SUBSTITUTE(SUBSTITUTE(SUBSTITUTE(SUBSTITUTE(SUBSTITUTE(SUBSTITUTE(SUBSTITUTE(SUBSTITUTE(SUBSTITUTE(SUBSTITUTE(SUBSTITUTE(SUBSTITUTE(SUBSTITUTE(경동전체1!K471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1" s="30">
        <f>경동전체1!E471</f>
        <v>0</v>
      </c>
      <c r="D471" s="23"/>
      <c r="E471" s="23"/>
      <c r="F471" s="4">
        <f>경동전체1!J471</f>
        <v>0</v>
      </c>
      <c r="G471" s="23"/>
      <c r="H471" s="2">
        <f>경동전체1!H471</f>
        <v>0</v>
      </c>
      <c r="I471" s="2" t="str">
        <f>경동전체1!I471&amp;""</f>
        <v/>
      </c>
      <c r="J471" s="2" t="s">
        <v>36</v>
      </c>
      <c r="K471" s="2" t="str">
        <f>IF(LEFT(경동전체1!G471,1)="","따사룸",경동전체1!G471)</f>
        <v>따사룸</v>
      </c>
      <c r="L471" s="4" t="str">
        <f t="shared" si="28"/>
        <v>1</v>
      </c>
      <c r="M471" s="1" t="str">
        <f>IF(LEFT(경동전체1!D471,1)="2","비닐",IF(LEFT(경동전체1!O471,1)="박","박스","비닐"))</f>
        <v>비닐</v>
      </c>
      <c r="N471" s="25">
        <v>1</v>
      </c>
      <c r="O471" s="25">
        <v>1</v>
      </c>
      <c r="P471" s="25">
        <v>1</v>
      </c>
      <c r="Q471" s="25">
        <v>1</v>
      </c>
      <c r="R471" s="1" t="str">
        <f t="shared" si="29"/>
        <v>50</v>
      </c>
      <c r="S471" s="1">
        <f>경동전체1!B471</f>
        <v>0</v>
      </c>
      <c r="T471" s="1" t="str">
        <f t="shared" si="30"/>
        <v>100</v>
      </c>
      <c r="U471" s="5" t="str">
        <f t="shared" si="31"/>
        <v>0</v>
      </c>
      <c r="V471" s="26">
        <v>0</v>
      </c>
      <c r="W471" s="26">
        <v>0</v>
      </c>
      <c r="X471" s="2" t="str">
        <f>SUBSTITUTE(SUBSTITUTE(SUBSTITUTE(SUBSTITUTE(SUBSTITUTE(SUBSTITUTE(SUBSTITUTE(SUBSTITUTE(SUBSTITUTE(SUBSTITUTE(SUBSTITUTE(SUBSTITUTE(SUBSTITUTE(경동전체1!D471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2" spans="1:24" ht="20.25" customHeight="1" x14ac:dyDescent="0.3">
      <c r="A472" s="2">
        <f>경동전체1!A472</f>
        <v>0</v>
      </c>
      <c r="B472" s="13" t="str">
        <f>SUBSTITUTE(SUBSTITUTE(SUBSTITUTE(SUBSTITUTE(SUBSTITUTE(SUBSTITUTE(SUBSTITUTE(SUBSTITUTE(SUBSTITUTE(SUBSTITUTE(SUBSTITUTE(SUBSTITUTE(SUBSTITUTE(경동전체1!K472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2" s="30">
        <f>경동전체1!E472</f>
        <v>0</v>
      </c>
      <c r="D472" s="23"/>
      <c r="E472" s="23"/>
      <c r="F472" s="4">
        <f>경동전체1!J472</f>
        <v>0</v>
      </c>
      <c r="G472" s="23"/>
      <c r="H472" s="2">
        <f>경동전체1!H472</f>
        <v>0</v>
      </c>
      <c r="I472" s="2" t="str">
        <f>경동전체1!I472&amp;""</f>
        <v/>
      </c>
      <c r="J472" s="2" t="s">
        <v>36</v>
      </c>
      <c r="K472" s="2" t="str">
        <f>IF(LEFT(경동전체1!G472,1)="","따사룸",경동전체1!G472)</f>
        <v>따사룸</v>
      </c>
      <c r="L472" s="4" t="str">
        <f t="shared" si="28"/>
        <v>1</v>
      </c>
      <c r="M472" s="1" t="str">
        <f>IF(LEFT(경동전체1!D472,1)="2","비닐",IF(LEFT(경동전체1!O472,1)="박","박스","비닐"))</f>
        <v>비닐</v>
      </c>
      <c r="N472" s="25">
        <v>1</v>
      </c>
      <c r="O472" s="25">
        <v>1</v>
      </c>
      <c r="P472" s="25">
        <v>1</v>
      </c>
      <c r="Q472" s="25">
        <v>1</v>
      </c>
      <c r="R472" s="1" t="str">
        <f t="shared" si="29"/>
        <v>50</v>
      </c>
      <c r="S472" s="1">
        <f>경동전체1!B472</f>
        <v>0</v>
      </c>
      <c r="T472" s="1" t="str">
        <f t="shared" si="30"/>
        <v>100</v>
      </c>
      <c r="U472" s="5" t="str">
        <f t="shared" si="31"/>
        <v>0</v>
      </c>
      <c r="V472" s="26">
        <v>0</v>
      </c>
      <c r="W472" s="26">
        <v>0</v>
      </c>
      <c r="X472" s="2" t="str">
        <f>SUBSTITUTE(SUBSTITUTE(SUBSTITUTE(SUBSTITUTE(SUBSTITUTE(SUBSTITUTE(SUBSTITUTE(SUBSTITUTE(SUBSTITUTE(SUBSTITUTE(SUBSTITUTE(SUBSTITUTE(SUBSTITUTE(경동전체1!D472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3" spans="1:24" ht="20.25" customHeight="1" x14ac:dyDescent="0.3">
      <c r="A473" s="2">
        <f>경동전체1!A473</f>
        <v>0</v>
      </c>
      <c r="B473" s="13" t="str">
        <f>SUBSTITUTE(SUBSTITUTE(SUBSTITUTE(SUBSTITUTE(SUBSTITUTE(SUBSTITUTE(SUBSTITUTE(SUBSTITUTE(SUBSTITUTE(SUBSTITUTE(SUBSTITUTE(SUBSTITUTE(SUBSTITUTE(경동전체1!K473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3" s="30">
        <f>경동전체1!E473</f>
        <v>0</v>
      </c>
      <c r="D473" s="23"/>
      <c r="E473" s="23"/>
      <c r="F473" s="4">
        <f>경동전체1!J473</f>
        <v>0</v>
      </c>
      <c r="G473" s="23"/>
      <c r="H473" s="2">
        <f>경동전체1!H473</f>
        <v>0</v>
      </c>
      <c r="I473" s="2" t="str">
        <f>경동전체1!I473&amp;""</f>
        <v/>
      </c>
      <c r="J473" s="2" t="s">
        <v>36</v>
      </c>
      <c r="K473" s="2" t="str">
        <f>IF(LEFT(경동전체1!G473,1)="","따사룸",경동전체1!G473)</f>
        <v>따사룸</v>
      </c>
      <c r="L473" s="4" t="str">
        <f t="shared" si="28"/>
        <v>1</v>
      </c>
      <c r="M473" s="1" t="str">
        <f>IF(LEFT(경동전체1!D473,1)="2","비닐",IF(LEFT(경동전체1!O473,1)="박","박스","비닐"))</f>
        <v>비닐</v>
      </c>
      <c r="N473" s="25">
        <v>1</v>
      </c>
      <c r="O473" s="25">
        <v>1</v>
      </c>
      <c r="P473" s="25">
        <v>1</v>
      </c>
      <c r="Q473" s="25">
        <v>1</v>
      </c>
      <c r="R473" s="1" t="str">
        <f t="shared" si="29"/>
        <v>50</v>
      </c>
      <c r="S473" s="1">
        <f>경동전체1!B473</f>
        <v>0</v>
      </c>
      <c r="T473" s="1" t="str">
        <f t="shared" si="30"/>
        <v>100</v>
      </c>
      <c r="U473" s="5" t="str">
        <f t="shared" si="31"/>
        <v>0</v>
      </c>
      <c r="V473" s="26">
        <v>0</v>
      </c>
      <c r="W473" s="26">
        <v>0</v>
      </c>
      <c r="X473" s="2" t="str">
        <f>SUBSTITUTE(SUBSTITUTE(SUBSTITUTE(SUBSTITUTE(SUBSTITUTE(SUBSTITUTE(SUBSTITUTE(SUBSTITUTE(SUBSTITUTE(SUBSTITUTE(SUBSTITUTE(SUBSTITUTE(SUBSTITUTE(경동전체1!D473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4" spans="1:24" ht="20.25" customHeight="1" x14ac:dyDescent="0.3">
      <c r="A474" s="2">
        <f>경동전체1!A474</f>
        <v>0</v>
      </c>
      <c r="B474" s="13" t="str">
        <f>SUBSTITUTE(SUBSTITUTE(SUBSTITUTE(SUBSTITUTE(SUBSTITUTE(SUBSTITUTE(SUBSTITUTE(SUBSTITUTE(SUBSTITUTE(SUBSTITUTE(SUBSTITUTE(SUBSTITUTE(SUBSTITUTE(경동전체1!K474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4" s="30">
        <f>경동전체1!E474</f>
        <v>0</v>
      </c>
      <c r="D474" s="23"/>
      <c r="E474" s="23"/>
      <c r="F474" s="4">
        <f>경동전체1!J474</f>
        <v>0</v>
      </c>
      <c r="G474" s="23"/>
      <c r="H474" s="2">
        <f>경동전체1!H474</f>
        <v>0</v>
      </c>
      <c r="I474" s="2" t="str">
        <f>경동전체1!I474&amp;""</f>
        <v/>
      </c>
      <c r="J474" s="2" t="s">
        <v>36</v>
      </c>
      <c r="K474" s="2" t="str">
        <f>IF(LEFT(경동전체1!G474,1)="","따사룸",경동전체1!G474)</f>
        <v>따사룸</v>
      </c>
      <c r="L474" s="4" t="str">
        <f t="shared" si="28"/>
        <v>1</v>
      </c>
      <c r="M474" s="1" t="str">
        <f>IF(LEFT(경동전체1!D474,1)="2","비닐",IF(LEFT(경동전체1!O474,1)="박","박스","비닐"))</f>
        <v>비닐</v>
      </c>
      <c r="N474" s="25">
        <v>1</v>
      </c>
      <c r="O474" s="25">
        <v>1</v>
      </c>
      <c r="P474" s="25">
        <v>1</v>
      </c>
      <c r="Q474" s="25">
        <v>1</v>
      </c>
      <c r="R474" s="1" t="str">
        <f t="shared" si="29"/>
        <v>50</v>
      </c>
      <c r="S474" s="1">
        <f>경동전체1!B474</f>
        <v>0</v>
      </c>
      <c r="T474" s="1" t="str">
        <f t="shared" si="30"/>
        <v>100</v>
      </c>
      <c r="U474" s="5" t="str">
        <f t="shared" si="31"/>
        <v>0</v>
      </c>
      <c r="V474" s="26">
        <v>0</v>
      </c>
      <c r="W474" s="26">
        <v>0</v>
      </c>
      <c r="X474" s="2" t="str">
        <f>SUBSTITUTE(SUBSTITUTE(SUBSTITUTE(SUBSTITUTE(SUBSTITUTE(SUBSTITUTE(SUBSTITUTE(SUBSTITUTE(SUBSTITUTE(SUBSTITUTE(SUBSTITUTE(SUBSTITUTE(SUBSTITUTE(경동전체1!D474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5" spans="1:24" ht="20.25" customHeight="1" x14ac:dyDescent="0.3">
      <c r="A475" s="2">
        <f>경동전체1!A475</f>
        <v>0</v>
      </c>
      <c r="B475" s="13" t="str">
        <f>SUBSTITUTE(SUBSTITUTE(SUBSTITUTE(SUBSTITUTE(SUBSTITUTE(SUBSTITUTE(SUBSTITUTE(SUBSTITUTE(SUBSTITUTE(SUBSTITUTE(SUBSTITUTE(SUBSTITUTE(SUBSTITUTE(경동전체1!K475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5" s="30">
        <f>경동전체1!E475</f>
        <v>0</v>
      </c>
      <c r="D475" s="23"/>
      <c r="E475" s="23"/>
      <c r="F475" s="4">
        <f>경동전체1!J475</f>
        <v>0</v>
      </c>
      <c r="G475" s="23"/>
      <c r="H475" s="2">
        <f>경동전체1!H475</f>
        <v>0</v>
      </c>
      <c r="I475" s="2" t="str">
        <f>경동전체1!I475&amp;""</f>
        <v/>
      </c>
      <c r="J475" s="2" t="s">
        <v>36</v>
      </c>
      <c r="K475" s="2" t="str">
        <f>IF(LEFT(경동전체1!G475,1)="","따사룸",경동전체1!G475)</f>
        <v>따사룸</v>
      </c>
      <c r="L475" s="4" t="str">
        <f t="shared" si="28"/>
        <v>1</v>
      </c>
      <c r="M475" s="1" t="str">
        <f>IF(LEFT(경동전체1!D475,1)="2","비닐",IF(LEFT(경동전체1!O475,1)="박","박스","비닐"))</f>
        <v>비닐</v>
      </c>
      <c r="N475" s="25">
        <v>1</v>
      </c>
      <c r="O475" s="25">
        <v>1</v>
      </c>
      <c r="P475" s="25">
        <v>1</v>
      </c>
      <c r="Q475" s="25">
        <v>1</v>
      </c>
      <c r="R475" s="1" t="str">
        <f t="shared" si="29"/>
        <v>50</v>
      </c>
      <c r="S475" s="1">
        <f>경동전체1!B475</f>
        <v>0</v>
      </c>
      <c r="T475" s="1" t="str">
        <f t="shared" si="30"/>
        <v>100</v>
      </c>
      <c r="U475" s="5" t="str">
        <f t="shared" si="31"/>
        <v>0</v>
      </c>
      <c r="V475" s="26">
        <v>0</v>
      </c>
      <c r="W475" s="26">
        <v>0</v>
      </c>
      <c r="X475" s="2" t="str">
        <f>SUBSTITUTE(SUBSTITUTE(SUBSTITUTE(SUBSTITUTE(SUBSTITUTE(SUBSTITUTE(SUBSTITUTE(SUBSTITUTE(SUBSTITUTE(SUBSTITUTE(SUBSTITUTE(SUBSTITUTE(SUBSTITUTE(경동전체1!D475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6" spans="1:24" ht="20.25" customHeight="1" x14ac:dyDescent="0.3">
      <c r="A476" s="2">
        <f>경동전체1!A476</f>
        <v>0</v>
      </c>
      <c r="B476" s="13" t="str">
        <f>SUBSTITUTE(SUBSTITUTE(SUBSTITUTE(SUBSTITUTE(SUBSTITUTE(SUBSTITUTE(SUBSTITUTE(SUBSTITUTE(SUBSTITUTE(SUBSTITUTE(SUBSTITUTE(SUBSTITUTE(SUBSTITUTE(경동전체1!K476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6" s="30">
        <f>경동전체1!E476</f>
        <v>0</v>
      </c>
      <c r="D476" s="23"/>
      <c r="E476" s="23"/>
      <c r="F476" s="4">
        <f>경동전체1!J476</f>
        <v>0</v>
      </c>
      <c r="G476" s="23"/>
      <c r="H476" s="2">
        <f>경동전체1!H476</f>
        <v>0</v>
      </c>
      <c r="I476" s="2" t="str">
        <f>경동전체1!I476&amp;""</f>
        <v/>
      </c>
      <c r="J476" s="2" t="s">
        <v>36</v>
      </c>
      <c r="K476" s="2" t="str">
        <f>IF(LEFT(경동전체1!G476,1)="","따사룸",경동전체1!G476)</f>
        <v>따사룸</v>
      </c>
      <c r="L476" s="4" t="str">
        <f t="shared" si="28"/>
        <v>1</v>
      </c>
      <c r="M476" s="1" t="str">
        <f>IF(LEFT(경동전체1!D476,1)="2","비닐",IF(LEFT(경동전체1!O476,1)="박","박스","비닐"))</f>
        <v>비닐</v>
      </c>
      <c r="N476" s="25">
        <v>1</v>
      </c>
      <c r="O476" s="25">
        <v>1</v>
      </c>
      <c r="P476" s="25">
        <v>1</v>
      </c>
      <c r="Q476" s="25">
        <v>1</v>
      </c>
      <c r="R476" s="1" t="str">
        <f t="shared" si="29"/>
        <v>50</v>
      </c>
      <c r="S476" s="1">
        <f>경동전체1!B476</f>
        <v>0</v>
      </c>
      <c r="T476" s="1" t="str">
        <f t="shared" si="30"/>
        <v>100</v>
      </c>
      <c r="U476" s="5" t="str">
        <f t="shared" si="31"/>
        <v>0</v>
      </c>
      <c r="V476" s="26">
        <v>0</v>
      </c>
      <c r="W476" s="26">
        <v>0</v>
      </c>
      <c r="X476" s="2" t="str">
        <f>SUBSTITUTE(SUBSTITUTE(SUBSTITUTE(SUBSTITUTE(SUBSTITUTE(SUBSTITUTE(SUBSTITUTE(SUBSTITUTE(SUBSTITUTE(SUBSTITUTE(SUBSTITUTE(SUBSTITUTE(SUBSTITUTE(경동전체1!D476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7" spans="1:24" ht="20.25" customHeight="1" x14ac:dyDescent="0.3">
      <c r="A477" s="2">
        <f>경동전체1!A477</f>
        <v>0</v>
      </c>
      <c r="B477" s="13" t="str">
        <f>SUBSTITUTE(SUBSTITUTE(SUBSTITUTE(SUBSTITUTE(SUBSTITUTE(SUBSTITUTE(SUBSTITUTE(SUBSTITUTE(SUBSTITUTE(SUBSTITUTE(SUBSTITUTE(SUBSTITUTE(SUBSTITUTE(경동전체1!K477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7" s="30">
        <f>경동전체1!E477</f>
        <v>0</v>
      </c>
      <c r="D477" s="23"/>
      <c r="E477" s="23"/>
      <c r="F477" s="4">
        <f>경동전체1!J477</f>
        <v>0</v>
      </c>
      <c r="G477" s="23"/>
      <c r="H477" s="2">
        <f>경동전체1!H477</f>
        <v>0</v>
      </c>
      <c r="I477" s="2" t="str">
        <f>경동전체1!I477&amp;""</f>
        <v/>
      </c>
      <c r="J477" s="2" t="s">
        <v>36</v>
      </c>
      <c r="K477" s="2" t="str">
        <f>IF(LEFT(경동전체1!G477,1)="","따사룸",경동전체1!G477)</f>
        <v>따사룸</v>
      </c>
      <c r="L477" s="4" t="str">
        <f t="shared" si="28"/>
        <v>1</v>
      </c>
      <c r="M477" s="1" t="str">
        <f>IF(LEFT(경동전체1!D477,1)="2","비닐",IF(LEFT(경동전체1!O477,1)="박","박스","비닐"))</f>
        <v>비닐</v>
      </c>
      <c r="N477" s="25">
        <v>1</v>
      </c>
      <c r="O477" s="25">
        <v>1</v>
      </c>
      <c r="P477" s="25">
        <v>1</v>
      </c>
      <c r="Q477" s="25">
        <v>1</v>
      </c>
      <c r="R477" s="1" t="str">
        <f t="shared" si="29"/>
        <v>50</v>
      </c>
      <c r="S477" s="1">
        <f>경동전체1!B477</f>
        <v>0</v>
      </c>
      <c r="T477" s="1" t="str">
        <f t="shared" si="30"/>
        <v>100</v>
      </c>
      <c r="U477" s="5" t="str">
        <f t="shared" si="31"/>
        <v>0</v>
      </c>
      <c r="V477" s="26">
        <v>0</v>
      </c>
      <c r="W477" s="26">
        <v>0</v>
      </c>
      <c r="X477" s="2" t="str">
        <f>SUBSTITUTE(SUBSTITUTE(SUBSTITUTE(SUBSTITUTE(SUBSTITUTE(SUBSTITUTE(SUBSTITUTE(SUBSTITUTE(SUBSTITUTE(SUBSTITUTE(SUBSTITUTE(SUBSTITUTE(SUBSTITUTE(경동전체1!D477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8" spans="1:24" ht="20.25" customHeight="1" x14ac:dyDescent="0.3">
      <c r="A478" s="2">
        <f>경동전체1!A478</f>
        <v>0</v>
      </c>
      <c r="B478" s="13" t="str">
        <f>SUBSTITUTE(SUBSTITUTE(SUBSTITUTE(SUBSTITUTE(SUBSTITUTE(SUBSTITUTE(SUBSTITUTE(SUBSTITUTE(SUBSTITUTE(SUBSTITUTE(SUBSTITUTE(SUBSTITUTE(SUBSTITUTE(경동전체1!K478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8" s="30">
        <f>경동전체1!E478</f>
        <v>0</v>
      </c>
      <c r="D478" s="23"/>
      <c r="E478" s="23"/>
      <c r="F478" s="4">
        <f>경동전체1!J478</f>
        <v>0</v>
      </c>
      <c r="G478" s="23"/>
      <c r="H478" s="2">
        <f>경동전체1!H478</f>
        <v>0</v>
      </c>
      <c r="I478" s="2" t="str">
        <f>경동전체1!I478&amp;""</f>
        <v/>
      </c>
      <c r="J478" s="2" t="s">
        <v>36</v>
      </c>
      <c r="K478" s="2" t="str">
        <f>IF(LEFT(경동전체1!G478,1)="","따사룸",경동전체1!G478)</f>
        <v>따사룸</v>
      </c>
      <c r="L478" s="4" t="str">
        <f t="shared" si="28"/>
        <v>1</v>
      </c>
      <c r="M478" s="1" t="str">
        <f>IF(LEFT(경동전체1!D478,1)="2","비닐",IF(LEFT(경동전체1!O478,1)="박","박스","비닐"))</f>
        <v>비닐</v>
      </c>
      <c r="N478" s="25">
        <v>1</v>
      </c>
      <c r="O478" s="25">
        <v>1</v>
      </c>
      <c r="P478" s="25">
        <v>1</v>
      </c>
      <c r="Q478" s="25">
        <v>1</v>
      </c>
      <c r="R478" s="1" t="str">
        <f t="shared" si="29"/>
        <v>50</v>
      </c>
      <c r="S478" s="1">
        <f>경동전체1!B478</f>
        <v>0</v>
      </c>
      <c r="T478" s="1" t="str">
        <f t="shared" si="30"/>
        <v>100</v>
      </c>
      <c r="U478" s="5" t="str">
        <f t="shared" si="31"/>
        <v>0</v>
      </c>
      <c r="V478" s="26">
        <v>0</v>
      </c>
      <c r="W478" s="26">
        <v>0</v>
      </c>
      <c r="X478" s="2" t="str">
        <f>SUBSTITUTE(SUBSTITUTE(SUBSTITUTE(SUBSTITUTE(SUBSTITUTE(SUBSTITUTE(SUBSTITUTE(SUBSTITUTE(SUBSTITUTE(SUBSTITUTE(SUBSTITUTE(SUBSTITUTE(SUBSTITUTE(경동전체1!D478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9" spans="1:24" ht="20.25" customHeight="1" x14ac:dyDescent="0.3">
      <c r="A479" s="2">
        <f>경동전체1!A479</f>
        <v>0</v>
      </c>
      <c r="B479" s="13" t="str">
        <f>SUBSTITUTE(SUBSTITUTE(SUBSTITUTE(SUBSTITUTE(SUBSTITUTE(SUBSTITUTE(SUBSTITUTE(SUBSTITUTE(SUBSTITUTE(SUBSTITUTE(SUBSTITUTE(SUBSTITUTE(SUBSTITUTE(경동전체1!K479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9" s="30">
        <f>경동전체1!E479</f>
        <v>0</v>
      </c>
      <c r="D479" s="23"/>
      <c r="E479" s="23"/>
      <c r="F479" s="4">
        <f>경동전체1!J479</f>
        <v>0</v>
      </c>
      <c r="G479" s="23"/>
      <c r="H479" s="2">
        <f>경동전체1!H479</f>
        <v>0</v>
      </c>
      <c r="I479" s="2" t="str">
        <f>경동전체1!I479&amp;""</f>
        <v/>
      </c>
      <c r="J479" s="2" t="s">
        <v>36</v>
      </c>
      <c r="K479" s="2" t="str">
        <f>IF(LEFT(경동전체1!G479,1)="","따사룸",경동전체1!G479)</f>
        <v>따사룸</v>
      </c>
      <c r="L479" s="4" t="str">
        <f t="shared" si="28"/>
        <v>1</v>
      </c>
      <c r="M479" s="1" t="str">
        <f>IF(LEFT(경동전체1!D479,1)="2","비닐",IF(LEFT(경동전체1!O479,1)="박","박스","비닐"))</f>
        <v>비닐</v>
      </c>
      <c r="N479" s="25">
        <v>1</v>
      </c>
      <c r="O479" s="25">
        <v>1</v>
      </c>
      <c r="P479" s="25">
        <v>1</v>
      </c>
      <c r="Q479" s="25">
        <v>1</v>
      </c>
      <c r="R479" s="1" t="str">
        <f t="shared" si="29"/>
        <v>50</v>
      </c>
      <c r="S479" s="1">
        <f>경동전체1!B479</f>
        <v>0</v>
      </c>
      <c r="T479" s="1" t="str">
        <f t="shared" si="30"/>
        <v>100</v>
      </c>
      <c r="U479" s="5" t="str">
        <f t="shared" si="31"/>
        <v>0</v>
      </c>
      <c r="V479" s="26">
        <v>0</v>
      </c>
      <c r="W479" s="26">
        <v>0</v>
      </c>
      <c r="X479" s="2" t="str">
        <f>SUBSTITUTE(SUBSTITUTE(SUBSTITUTE(SUBSTITUTE(SUBSTITUTE(SUBSTITUTE(SUBSTITUTE(SUBSTITUTE(SUBSTITUTE(SUBSTITUTE(SUBSTITUTE(SUBSTITUTE(SUBSTITUTE(경동전체1!D479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0" spans="1:24" ht="20.25" customHeight="1" x14ac:dyDescent="0.3">
      <c r="A480" s="2">
        <f>경동전체1!A480</f>
        <v>0</v>
      </c>
      <c r="B480" s="13" t="str">
        <f>SUBSTITUTE(SUBSTITUTE(SUBSTITUTE(SUBSTITUTE(SUBSTITUTE(SUBSTITUTE(SUBSTITUTE(SUBSTITUTE(SUBSTITUTE(SUBSTITUTE(SUBSTITUTE(SUBSTITUTE(SUBSTITUTE(경동전체1!K480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0" s="30">
        <f>경동전체1!E480</f>
        <v>0</v>
      </c>
      <c r="D480" s="23"/>
      <c r="E480" s="23"/>
      <c r="F480" s="4">
        <f>경동전체1!J480</f>
        <v>0</v>
      </c>
      <c r="G480" s="23"/>
      <c r="H480" s="2">
        <f>경동전체1!H480</f>
        <v>0</v>
      </c>
      <c r="I480" s="2" t="str">
        <f>경동전체1!I480&amp;""</f>
        <v/>
      </c>
      <c r="J480" s="2" t="s">
        <v>36</v>
      </c>
      <c r="K480" s="2" t="str">
        <f>IF(LEFT(경동전체1!G480,1)="","따사룸",경동전체1!G480)</f>
        <v>따사룸</v>
      </c>
      <c r="L480" s="4" t="str">
        <f t="shared" si="28"/>
        <v>1</v>
      </c>
      <c r="M480" s="1" t="str">
        <f>IF(LEFT(경동전체1!D480,1)="2","비닐",IF(LEFT(경동전체1!O480,1)="박","박스","비닐"))</f>
        <v>비닐</v>
      </c>
      <c r="N480" s="25">
        <v>1</v>
      </c>
      <c r="O480" s="25">
        <v>1</v>
      </c>
      <c r="P480" s="25">
        <v>1</v>
      </c>
      <c r="Q480" s="25">
        <v>1</v>
      </c>
      <c r="R480" s="1" t="str">
        <f t="shared" si="29"/>
        <v>50</v>
      </c>
      <c r="S480" s="1">
        <f>경동전체1!B480</f>
        <v>0</v>
      </c>
      <c r="T480" s="1" t="str">
        <f t="shared" si="30"/>
        <v>100</v>
      </c>
      <c r="U480" s="5" t="str">
        <f t="shared" si="31"/>
        <v>0</v>
      </c>
      <c r="V480" s="26">
        <v>0</v>
      </c>
      <c r="W480" s="26">
        <v>0</v>
      </c>
      <c r="X480" s="2" t="str">
        <f>SUBSTITUTE(SUBSTITUTE(SUBSTITUTE(SUBSTITUTE(SUBSTITUTE(SUBSTITUTE(SUBSTITUTE(SUBSTITUTE(SUBSTITUTE(SUBSTITUTE(SUBSTITUTE(SUBSTITUTE(SUBSTITUTE(경동전체1!D480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1" spans="1:24" ht="20.25" customHeight="1" x14ac:dyDescent="0.3">
      <c r="A481" s="2">
        <f>경동전체1!A481</f>
        <v>0</v>
      </c>
      <c r="B481" s="13" t="str">
        <f>SUBSTITUTE(SUBSTITUTE(SUBSTITUTE(SUBSTITUTE(SUBSTITUTE(SUBSTITUTE(SUBSTITUTE(SUBSTITUTE(SUBSTITUTE(SUBSTITUTE(SUBSTITUTE(SUBSTITUTE(SUBSTITUTE(경동전체1!K481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1" s="30">
        <f>경동전체1!E481</f>
        <v>0</v>
      </c>
      <c r="D481" s="23"/>
      <c r="E481" s="23"/>
      <c r="F481" s="4">
        <f>경동전체1!J481</f>
        <v>0</v>
      </c>
      <c r="G481" s="23"/>
      <c r="H481" s="2">
        <f>경동전체1!H481</f>
        <v>0</v>
      </c>
      <c r="I481" s="2" t="str">
        <f>경동전체1!I481&amp;""</f>
        <v/>
      </c>
      <c r="J481" s="2" t="s">
        <v>36</v>
      </c>
      <c r="K481" s="2" t="str">
        <f>IF(LEFT(경동전체1!G481,1)="","따사룸",경동전체1!G481)</f>
        <v>따사룸</v>
      </c>
      <c r="L481" s="4" t="str">
        <f t="shared" si="28"/>
        <v>1</v>
      </c>
      <c r="M481" s="1" t="str">
        <f>IF(LEFT(경동전체1!D481,1)="2","비닐",IF(LEFT(경동전체1!O481,1)="박","박스","비닐"))</f>
        <v>비닐</v>
      </c>
      <c r="N481" s="25">
        <v>1</v>
      </c>
      <c r="O481" s="25">
        <v>1</v>
      </c>
      <c r="P481" s="25">
        <v>1</v>
      </c>
      <c r="Q481" s="25">
        <v>1</v>
      </c>
      <c r="R481" s="1" t="str">
        <f t="shared" si="29"/>
        <v>50</v>
      </c>
      <c r="S481" s="1">
        <f>경동전체1!B481</f>
        <v>0</v>
      </c>
      <c r="T481" s="1" t="str">
        <f t="shared" si="30"/>
        <v>100</v>
      </c>
      <c r="U481" s="5" t="str">
        <f t="shared" si="31"/>
        <v>0</v>
      </c>
      <c r="V481" s="26">
        <v>0</v>
      </c>
      <c r="W481" s="26">
        <v>0</v>
      </c>
      <c r="X481" s="2" t="str">
        <f>SUBSTITUTE(SUBSTITUTE(SUBSTITUTE(SUBSTITUTE(SUBSTITUTE(SUBSTITUTE(SUBSTITUTE(SUBSTITUTE(SUBSTITUTE(SUBSTITUTE(SUBSTITUTE(SUBSTITUTE(SUBSTITUTE(경동전체1!D481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2" spans="1:24" ht="20.25" customHeight="1" x14ac:dyDescent="0.3">
      <c r="A482" s="2">
        <f>경동전체1!A482</f>
        <v>0</v>
      </c>
      <c r="B482" s="13" t="str">
        <f>SUBSTITUTE(SUBSTITUTE(SUBSTITUTE(SUBSTITUTE(SUBSTITUTE(SUBSTITUTE(SUBSTITUTE(SUBSTITUTE(SUBSTITUTE(SUBSTITUTE(SUBSTITUTE(SUBSTITUTE(SUBSTITUTE(경동전체1!K482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2" s="30">
        <f>경동전체1!E482</f>
        <v>0</v>
      </c>
      <c r="D482" s="23"/>
      <c r="E482" s="23"/>
      <c r="F482" s="4">
        <f>경동전체1!J482</f>
        <v>0</v>
      </c>
      <c r="G482" s="23"/>
      <c r="H482" s="2">
        <f>경동전체1!H482</f>
        <v>0</v>
      </c>
      <c r="I482" s="2" t="str">
        <f>경동전체1!I482&amp;""</f>
        <v/>
      </c>
      <c r="J482" s="2" t="s">
        <v>36</v>
      </c>
      <c r="K482" s="2" t="str">
        <f>IF(LEFT(경동전체1!G482,1)="","따사룸",경동전체1!G482)</f>
        <v>따사룸</v>
      </c>
      <c r="L482" s="4" t="str">
        <f t="shared" si="28"/>
        <v>1</v>
      </c>
      <c r="M482" s="1" t="str">
        <f>IF(LEFT(경동전체1!D482,1)="2","비닐",IF(LEFT(경동전체1!O482,1)="박","박스","비닐"))</f>
        <v>비닐</v>
      </c>
      <c r="N482" s="25">
        <v>1</v>
      </c>
      <c r="O482" s="25">
        <v>1</v>
      </c>
      <c r="P482" s="25">
        <v>1</v>
      </c>
      <c r="Q482" s="25">
        <v>1</v>
      </c>
      <c r="R482" s="1" t="str">
        <f t="shared" si="29"/>
        <v>50</v>
      </c>
      <c r="S482" s="1">
        <f>경동전체1!B482</f>
        <v>0</v>
      </c>
      <c r="T482" s="1" t="str">
        <f t="shared" si="30"/>
        <v>100</v>
      </c>
      <c r="U482" s="5" t="str">
        <f t="shared" si="31"/>
        <v>0</v>
      </c>
      <c r="V482" s="26">
        <v>0</v>
      </c>
      <c r="W482" s="26">
        <v>0</v>
      </c>
      <c r="X482" s="2" t="str">
        <f>SUBSTITUTE(SUBSTITUTE(SUBSTITUTE(SUBSTITUTE(SUBSTITUTE(SUBSTITUTE(SUBSTITUTE(SUBSTITUTE(SUBSTITUTE(SUBSTITUTE(SUBSTITUTE(SUBSTITUTE(SUBSTITUTE(경동전체1!D482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3" spans="1:24" ht="20.25" customHeight="1" x14ac:dyDescent="0.3">
      <c r="A483" s="2">
        <f>경동전체1!A483</f>
        <v>0</v>
      </c>
      <c r="B483" s="13" t="str">
        <f>SUBSTITUTE(SUBSTITUTE(SUBSTITUTE(SUBSTITUTE(SUBSTITUTE(SUBSTITUTE(SUBSTITUTE(SUBSTITUTE(SUBSTITUTE(SUBSTITUTE(SUBSTITUTE(SUBSTITUTE(SUBSTITUTE(경동전체1!K483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3" s="30">
        <f>경동전체1!E483</f>
        <v>0</v>
      </c>
      <c r="D483" s="23"/>
      <c r="E483" s="23"/>
      <c r="F483" s="4">
        <f>경동전체1!J483</f>
        <v>0</v>
      </c>
      <c r="G483" s="23"/>
      <c r="H483" s="2">
        <f>경동전체1!H483</f>
        <v>0</v>
      </c>
      <c r="I483" s="2" t="str">
        <f>경동전체1!I483&amp;""</f>
        <v/>
      </c>
      <c r="J483" s="2" t="s">
        <v>36</v>
      </c>
      <c r="K483" s="2" t="str">
        <f>IF(LEFT(경동전체1!G483,1)="","따사룸",경동전체1!G483)</f>
        <v>따사룸</v>
      </c>
      <c r="L483" s="4" t="str">
        <f t="shared" si="28"/>
        <v>1</v>
      </c>
      <c r="M483" s="1" t="str">
        <f>IF(LEFT(경동전체1!D483,1)="2","비닐",IF(LEFT(경동전체1!O483,1)="박","박스","비닐"))</f>
        <v>비닐</v>
      </c>
      <c r="N483" s="25">
        <v>1</v>
      </c>
      <c r="O483" s="25">
        <v>1</v>
      </c>
      <c r="P483" s="25">
        <v>1</v>
      </c>
      <c r="Q483" s="25">
        <v>1</v>
      </c>
      <c r="R483" s="1" t="str">
        <f t="shared" si="29"/>
        <v>50</v>
      </c>
      <c r="S483" s="1">
        <f>경동전체1!B483</f>
        <v>0</v>
      </c>
      <c r="T483" s="1" t="str">
        <f t="shared" si="30"/>
        <v>100</v>
      </c>
      <c r="U483" s="5" t="str">
        <f t="shared" si="31"/>
        <v>0</v>
      </c>
      <c r="V483" s="26">
        <v>0</v>
      </c>
      <c r="W483" s="26">
        <v>0</v>
      </c>
      <c r="X483" s="2" t="str">
        <f>SUBSTITUTE(SUBSTITUTE(SUBSTITUTE(SUBSTITUTE(SUBSTITUTE(SUBSTITUTE(SUBSTITUTE(SUBSTITUTE(SUBSTITUTE(SUBSTITUTE(SUBSTITUTE(SUBSTITUTE(SUBSTITUTE(경동전체1!D483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4" spans="1:24" ht="20.25" customHeight="1" x14ac:dyDescent="0.3">
      <c r="A484" s="2">
        <f>경동전체1!A484</f>
        <v>0</v>
      </c>
      <c r="B484" s="13" t="str">
        <f>SUBSTITUTE(SUBSTITUTE(SUBSTITUTE(SUBSTITUTE(SUBSTITUTE(SUBSTITUTE(SUBSTITUTE(SUBSTITUTE(SUBSTITUTE(SUBSTITUTE(SUBSTITUTE(SUBSTITUTE(SUBSTITUTE(경동전체1!K484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4" s="30">
        <f>경동전체1!E484</f>
        <v>0</v>
      </c>
      <c r="D484" s="23"/>
      <c r="E484" s="23"/>
      <c r="F484" s="4">
        <f>경동전체1!J484</f>
        <v>0</v>
      </c>
      <c r="G484" s="23"/>
      <c r="H484" s="2">
        <f>경동전체1!H484</f>
        <v>0</v>
      </c>
      <c r="I484" s="2" t="str">
        <f>경동전체1!I484&amp;""</f>
        <v/>
      </c>
      <c r="J484" s="2" t="s">
        <v>36</v>
      </c>
      <c r="K484" s="2" t="str">
        <f>IF(LEFT(경동전체1!G484,1)="","따사룸",경동전체1!G484)</f>
        <v>따사룸</v>
      </c>
      <c r="L484" s="4" t="str">
        <f t="shared" si="28"/>
        <v>1</v>
      </c>
      <c r="M484" s="1" t="str">
        <f>IF(LEFT(경동전체1!D484,1)="2","비닐",IF(LEFT(경동전체1!O484,1)="박","박스","비닐"))</f>
        <v>비닐</v>
      </c>
      <c r="N484" s="25">
        <v>1</v>
      </c>
      <c r="O484" s="25">
        <v>1</v>
      </c>
      <c r="P484" s="25">
        <v>1</v>
      </c>
      <c r="Q484" s="25">
        <v>1</v>
      </c>
      <c r="R484" s="1" t="str">
        <f t="shared" si="29"/>
        <v>50</v>
      </c>
      <c r="S484" s="1">
        <f>경동전체1!B484</f>
        <v>0</v>
      </c>
      <c r="T484" s="1" t="str">
        <f t="shared" si="30"/>
        <v>100</v>
      </c>
      <c r="U484" s="5" t="str">
        <f t="shared" si="31"/>
        <v>0</v>
      </c>
      <c r="V484" s="26">
        <v>0</v>
      </c>
      <c r="W484" s="26">
        <v>0</v>
      </c>
      <c r="X484" s="2" t="str">
        <f>SUBSTITUTE(SUBSTITUTE(SUBSTITUTE(SUBSTITUTE(SUBSTITUTE(SUBSTITUTE(SUBSTITUTE(SUBSTITUTE(SUBSTITUTE(SUBSTITUTE(SUBSTITUTE(SUBSTITUTE(SUBSTITUTE(경동전체1!D484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5" spans="1:24" ht="20.25" customHeight="1" x14ac:dyDescent="0.3">
      <c r="A485" s="2">
        <f>경동전체1!A485</f>
        <v>0</v>
      </c>
      <c r="B485" s="13" t="str">
        <f>SUBSTITUTE(SUBSTITUTE(SUBSTITUTE(SUBSTITUTE(SUBSTITUTE(SUBSTITUTE(SUBSTITUTE(SUBSTITUTE(SUBSTITUTE(SUBSTITUTE(SUBSTITUTE(SUBSTITUTE(SUBSTITUTE(경동전체1!K485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5" s="30">
        <f>경동전체1!E485</f>
        <v>0</v>
      </c>
      <c r="D485" s="23"/>
      <c r="E485" s="23"/>
      <c r="F485" s="4">
        <f>경동전체1!J485</f>
        <v>0</v>
      </c>
      <c r="G485" s="23"/>
      <c r="H485" s="2">
        <f>경동전체1!H485</f>
        <v>0</v>
      </c>
      <c r="I485" s="2" t="str">
        <f>경동전체1!I485&amp;""</f>
        <v/>
      </c>
      <c r="J485" s="2" t="s">
        <v>36</v>
      </c>
      <c r="K485" s="2" t="str">
        <f>IF(LEFT(경동전체1!G485,1)="","따사룸",경동전체1!G485)</f>
        <v>따사룸</v>
      </c>
      <c r="L485" s="4" t="str">
        <f t="shared" si="28"/>
        <v>1</v>
      </c>
      <c r="M485" s="1" t="str">
        <f>IF(LEFT(경동전체1!D485,1)="2","비닐",IF(LEFT(경동전체1!O485,1)="박","박스","비닐"))</f>
        <v>비닐</v>
      </c>
      <c r="N485" s="25">
        <v>1</v>
      </c>
      <c r="O485" s="25">
        <v>1</v>
      </c>
      <c r="P485" s="25">
        <v>1</v>
      </c>
      <c r="Q485" s="25">
        <v>1</v>
      </c>
      <c r="R485" s="1" t="str">
        <f t="shared" si="29"/>
        <v>50</v>
      </c>
      <c r="S485" s="1">
        <f>경동전체1!B485</f>
        <v>0</v>
      </c>
      <c r="T485" s="1" t="str">
        <f t="shared" si="30"/>
        <v>100</v>
      </c>
      <c r="U485" s="5" t="str">
        <f t="shared" si="31"/>
        <v>0</v>
      </c>
      <c r="V485" s="26">
        <v>0</v>
      </c>
      <c r="W485" s="26">
        <v>0</v>
      </c>
      <c r="X485" s="2" t="str">
        <f>SUBSTITUTE(SUBSTITUTE(SUBSTITUTE(SUBSTITUTE(SUBSTITUTE(SUBSTITUTE(SUBSTITUTE(SUBSTITUTE(SUBSTITUTE(SUBSTITUTE(SUBSTITUTE(SUBSTITUTE(SUBSTITUTE(경동전체1!D485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6" spans="1:24" ht="20.25" customHeight="1" x14ac:dyDescent="0.3">
      <c r="A486" s="2">
        <f>경동전체1!A486</f>
        <v>0</v>
      </c>
      <c r="B486" s="13" t="str">
        <f>SUBSTITUTE(SUBSTITUTE(SUBSTITUTE(SUBSTITUTE(SUBSTITUTE(SUBSTITUTE(SUBSTITUTE(SUBSTITUTE(SUBSTITUTE(SUBSTITUTE(SUBSTITUTE(SUBSTITUTE(SUBSTITUTE(경동전체1!K486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6" s="30">
        <f>경동전체1!E486</f>
        <v>0</v>
      </c>
      <c r="D486" s="23"/>
      <c r="E486" s="23"/>
      <c r="F486" s="4">
        <f>경동전체1!J486</f>
        <v>0</v>
      </c>
      <c r="G486" s="23"/>
      <c r="H486" s="2">
        <f>경동전체1!H486</f>
        <v>0</v>
      </c>
      <c r="I486" s="2" t="str">
        <f>경동전체1!I486&amp;""</f>
        <v/>
      </c>
      <c r="J486" s="2" t="s">
        <v>36</v>
      </c>
      <c r="K486" s="2" t="str">
        <f>IF(LEFT(경동전체1!G486,1)="","따사룸",경동전체1!G486)</f>
        <v>따사룸</v>
      </c>
      <c r="L486" s="4" t="str">
        <f t="shared" si="28"/>
        <v>1</v>
      </c>
      <c r="M486" s="1" t="str">
        <f>IF(LEFT(경동전체1!D486,1)="2","비닐",IF(LEFT(경동전체1!O486,1)="박","박스","비닐"))</f>
        <v>비닐</v>
      </c>
      <c r="N486" s="25">
        <v>1</v>
      </c>
      <c r="O486" s="25">
        <v>1</v>
      </c>
      <c r="P486" s="25">
        <v>1</v>
      </c>
      <c r="Q486" s="25">
        <v>1</v>
      </c>
      <c r="R486" s="1" t="str">
        <f t="shared" si="29"/>
        <v>50</v>
      </c>
      <c r="S486" s="1">
        <f>경동전체1!B486</f>
        <v>0</v>
      </c>
      <c r="T486" s="1" t="str">
        <f t="shared" si="30"/>
        <v>100</v>
      </c>
      <c r="U486" s="5" t="str">
        <f t="shared" si="31"/>
        <v>0</v>
      </c>
      <c r="V486" s="26">
        <v>0</v>
      </c>
      <c r="W486" s="26">
        <v>0</v>
      </c>
      <c r="X486" s="2" t="str">
        <f>SUBSTITUTE(SUBSTITUTE(SUBSTITUTE(SUBSTITUTE(SUBSTITUTE(SUBSTITUTE(SUBSTITUTE(SUBSTITUTE(SUBSTITUTE(SUBSTITUTE(SUBSTITUTE(SUBSTITUTE(SUBSTITUTE(경동전체1!D486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7" spans="1:24" ht="20.25" customHeight="1" x14ac:dyDescent="0.3">
      <c r="A487" s="2">
        <f>경동전체1!A487</f>
        <v>0</v>
      </c>
      <c r="B487" s="13" t="str">
        <f>SUBSTITUTE(SUBSTITUTE(SUBSTITUTE(SUBSTITUTE(SUBSTITUTE(SUBSTITUTE(SUBSTITUTE(SUBSTITUTE(SUBSTITUTE(SUBSTITUTE(SUBSTITUTE(SUBSTITUTE(SUBSTITUTE(경동전체1!K487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7" s="30">
        <f>경동전체1!E487</f>
        <v>0</v>
      </c>
      <c r="D487" s="23"/>
      <c r="E487" s="23"/>
      <c r="F487" s="4">
        <f>경동전체1!J487</f>
        <v>0</v>
      </c>
      <c r="G487" s="23"/>
      <c r="H487" s="2">
        <f>경동전체1!H487</f>
        <v>0</v>
      </c>
      <c r="I487" s="2" t="str">
        <f>경동전체1!I487&amp;""</f>
        <v/>
      </c>
      <c r="J487" s="2" t="s">
        <v>36</v>
      </c>
      <c r="K487" s="2" t="str">
        <f>IF(LEFT(경동전체1!G487,1)="","따사룸",경동전체1!G487)</f>
        <v>따사룸</v>
      </c>
      <c r="L487" s="4" t="str">
        <f t="shared" si="28"/>
        <v>1</v>
      </c>
      <c r="M487" s="1" t="str">
        <f>IF(LEFT(경동전체1!D487,1)="2","비닐",IF(LEFT(경동전체1!O487,1)="박","박스","비닐"))</f>
        <v>비닐</v>
      </c>
      <c r="N487" s="25">
        <v>1</v>
      </c>
      <c r="O487" s="25">
        <v>1</v>
      </c>
      <c r="P487" s="25">
        <v>1</v>
      </c>
      <c r="Q487" s="25">
        <v>1</v>
      </c>
      <c r="R487" s="1" t="str">
        <f t="shared" si="29"/>
        <v>50</v>
      </c>
      <c r="S487" s="1">
        <f>경동전체1!B487</f>
        <v>0</v>
      </c>
      <c r="T487" s="1" t="str">
        <f t="shared" si="30"/>
        <v>100</v>
      </c>
      <c r="U487" s="5" t="str">
        <f t="shared" si="31"/>
        <v>0</v>
      </c>
      <c r="V487" s="26">
        <v>0</v>
      </c>
      <c r="W487" s="26">
        <v>0</v>
      </c>
      <c r="X487" s="2" t="str">
        <f>SUBSTITUTE(SUBSTITUTE(SUBSTITUTE(SUBSTITUTE(SUBSTITUTE(SUBSTITUTE(SUBSTITUTE(SUBSTITUTE(SUBSTITUTE(SUBSTITUTE(SUBSTITUTE(SUBSTITUTE(SUBSTITUTE(경동전체1!D487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8" spans="1:24" ht="20.25" customHeight="1" x14ac:dyDescent="0.3">
      <c r="A488" s="2">
        <f>경동전체1!A488</f>
        <v>0</v>
      </c>
      <c r="B488" s="13" t="str">
        <f>SUBSTITUTE(SUBSTITUTE(SUBSTITUTE(SUBSTITUTE(SUBSTITUTE(SUBSTITUTE(SUBSTITUTE(SUBSTITUTE(SUBSTITUTE(SUBSTITUTE(SUBSTITUTE(SUBSTITUTE(SUBSTITUTE(경동전체1!K488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8" s="30">
        <f>경동전체1!E488</f>
        <v>0</v>
      </c>
      <c r="D488" s="23"/>
      <c r="E488" s="23"/>
      <c r="F488" s="4">
        <f>경동전체1!J488</f>
        <v>0</v>
      </c>
      <c r="G488" s="23"/>
      <c r="H488" s="2">
        <f>경동전체1!H488</f>
        <v>0</v>
      </c>
      <c r="I488" s="2" t="str">
        <f>경동전체1!I488&amp;""</f>
        <v/>
      </c>
      <c r="J488" s="2" t="s">
        <v>36</v>
      </c>
      <c r="K488" s="2" t="str">
        <f>IF(LEFT(경동전체1!G488,1)="","따사룸",경동전체1!G488)</f>
        <v>따사룸</v>
      </c>
      <c r="L488" s="4" t="str">
        <f t="shared" si="28"/>
        <v>1</v>
      </c>
      <c r="M488" s="1" t="str">
        <f>IF(LEFT(경동전체1!D488,1)="2","비닐",IF(LEFT(경동전체1!O488,1)="박","박스","비닐"))</f>
        <v>비닐</v>
      </c>
      <c r="N488" s="25">
        <v>1</v>
      </c>
      <c r="O488" s="25">
        <v>1</v>
      </c>
      <c r="P488" s="25">
        <v>1</v>
      </c>
      <c r="Q488" s="25">
        <v>1</v>
      </c>
      <c r="R488" s="1" t="str">
        <f t="shared" si="29"/>
        <v>50</v>
      </c>
      <c r="S488" s="1">
        <f>경동전체1!B488</f>
        <v>0</v>
      </c>
      <c r="T488" s="1" t="str">
        <f t="shared" si="30"/>
        <v>100</v>
      </c>
      <c r="U488" s="5" t="str">
        <f t="shared" si="31"/>
        <v>0</v>
      </c>
      <c r="V488" s="26">
        <v>0</v>
      </c>
      <c r="W488" s="26">
        <v>0</v>
      </c>
      <c r="X488" s="2" t="str">
        <f>SUBSTITUTE(SUBSTITUTE(SUBSTITUTE(SUBSTITUTE(SUBSTITUTE(SUBSTITUTE(SUBSTITUTE(SUBSTITUTE(SUBSTITUTE(SUBSTITUTE(SUBSTITUTE(SUBSTITUTE(SUBSTITUTE(경동전체1!D488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9" spans="1:24" ht="20.25" customHeight="1" x14ac:dyDescent="0.3">
      <c r="A489" s="2">
        <f>경동전체1!A489</f>
        <v>0</v>
      </c>
      <c r="B489" s="13" t="str">
        <f>SUBSTITUTE(SUBSTITUTE(SUBSTITUTE(SUBSTITUTE(SUBSTITUTE(SUBSTITUTE(SUBSTITUTE(SUBSTITUTE(SUBSTITUTE(SUBSTITUTE(SUBSTITUTE(SUBSTITUTE(SUBSTITUTE(경동전체1!K489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9" s="30">
        <f>경동전체1!E489</f>
        <v>0</v>
      </c>
      <c r="D489" s="23"/>
      <c r="E489" s="23"/>
      <c r="F489" s="4">
        <f>경동전체1!J489</f>
        <v>0</v>
      </c>
      <c r="G489" s="23"/>
      <c r="H489" s="2">
        <f>경동전체1!H489</f>
        <v>0</v>
      </c>
      <c r="I489" s="2" t="str">
        <f>경동전체1!I489&amp;""</f>
        <v/>
      </c>
      <c r="J489" s="2" t="s">
        <v>36</v>
      </c>
      <c r="K489" s="2" t="str">
        <f>IF(LEFT(경동전체1!G489,1)="","따사룸",경동전체1!G489)</f>
        <v>따사룸</v>
      </c>
      <c r="L489" s="4" t="str">
        <f t="shared" si="28"/>
        <v>1</v>
      </c>
      <c r="M489" s="1" t="str">
        <f>IF(LEFT(경동전체1!D489,1)="2","비닐",IF(LEFT(경동전체1!O489,1)="박","박스","비닐"))</f>
        <v>비닐</v>
      </c>
      <c r="N489" s="25">
        <v>1</v>
      </c>
      <c r="O489" s="25">
        <v>1</v>
      </c>
      <c r="P489" s="25">
        <v>1</v>
      </c>
      <c r="Q489" s="25">
        <v>1</v>
      </c>
      <c r="R489" s="1" t="str">
        <f t="shared" si="29"/>
        <v>50</v>
      </c>
      <c r="S489" s="1">
        <f>경동전체1!B489</f>
        <v>0</v>
      </c>
      <c r="T489" s="1" t="str">
        <f t="shared" si="30"/>
        <v>100</v>
      </c>
      <c r="U489" s="5" t="str">
        <f t="shared" si="31"/>
        <v>0</v>
      </c>
      <c r="V489" s="26">
        <v>0</v>
      </c>
      <c r="W489" s="26">
        <v>0</v>
      </c>
      <c r="X489" s="2" t="str">
        <f>SUBSTITUTE(SUBSTITUTE(SUBSTITUTE(SUBSTITUTE(SUBSTITUTE(SUBSTITUTE(SUBSTITUTE(SUBSTITUTE(SUBSTITUTE(SUBSTITUTE(SUBSTITUTE(SUBSTITUTE(SUBSTITUTE(경동전체1!D489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0" spans="1:24" ht="20.25" customHeight="1" x14ac:dyDescent="0.3">
      <c r="A490" s="2">
        <f>경동전체1!A490</f>
        <v>0</v>
      </c>
      <c r="B490" s="13" t="str">
        <f>SUBSTITUTE(SUBSTITUTE(SUBSTITUTE(SUBSTITUTE(SUBSTITUTE(SUBSTITUTE(SUBSTITUTE(SUBSTITUTE(SUBSTITUTE(SUBSTITUTE(SUBSTITUTE(SUBSTITUTE(SUBSTITUTE(경동전체1!K490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0" s="30">
        <f>경동전체1!E490</f>
        <v>0</v>
      </c>
      <c r="D490" s="23"/>
      <c r="E490" s="23"/>
      <c r="F490" s="4">
        <f>경동전체1!J490</f>
        <v>0</v>
      </c>
      <c r="G490" s="23"/>
      <c r="H490" s="2">
        <f>경동전체1!H490</f>
        <v>0</v>
      </c>
      <c r="I490" s="2" t="str">
        <f>경동전체1!I490&amp;""</f>
        <v/>
      </c>
      <c r="J490" s="2" t="s">
        <v>36</v>
      </c>
      <c r="K490" s="2" t="str">
        <f>IF(LEFT(경동전체1!G490,1)="","따사룸",경동전체1!G490)</f>
        <v>따사룸</v>
      </c>
      <c r="L490" s="4" t="str">
        <f t="shared" si="28"/>
        <v>1</v>
      </c>
      <c r="M490" s="1" t="str">
        <f>IF(LEFT(경동전체1!D490,1)="2","비닐",IF(LEFT(경동전체1!O490,1)="박","박스","비닐"))</f>
        <v>비닐</v>
      </c>
      <c r="N490" s="25">
        <v>1</v>
      </c>
      <c r="O490" s="25">
        <v>1</v>
      </c>
      <c r="P490" s="25">
        <v>1</v>
      </c>
      <c r="Q490" s="25">
        <v>1</v>
      </c>
      <c r="R490" s="1" t="str">
        <f t="shared" si="29"/>
        <v>50</v>
      </c>
      <c r="S490" s="1">
        <f>경동전체1!B490</f>
        <v>0</v>
      </c>
      <c r="T490" s="1" t="str">
        <f t="shared" si="30"/>
        <v>100</v>
      </c>
      <c r="U490" s="5" t="str">
        <f t="shared" si="31"/>
        <v>0</v>
      </c>
      <c r="V490" s="26">
        <v>0</v>
      </c>
      <c r="W490" s="26">
        <v>0</v>
      </c>
      <c r="X490" s="2" t="str">
        <f>SUBSTITUTE(SUBSTITUTE(SUBSTITUTE(SUBSTITUTE(SUBSTITUTE(SUBSTITUTE(SUBSTITUTE(SUBSTITUTE(SUBSTITUTE(SUBSTITUTE(SUBSTITUTE(SUBSTITUTE(SUBSTITUTE(경동전체1!D490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1" spans="1:24" ht="20.25" customHeight="1" x14ac:dyDescent="0.3">
      <c r="A491" s="2">
        <f>경동전체1!A491</f>
        <v>0</v>
      </c>
      <c r="B491" s="13" t="str">
        <f>SUBSTITUTE(SUBSTITUTE(SUBSTITUTE(SUBSTITUTE(SUBSTITUTE(SUBSTITUTE(SUBSTITUTE(SUBSTITUTE(SUBSTITUTE(SUBSTITUTE(SUBSTITUTE(SUBSTITUTE(SUBSTITUTE(경동전체1!K491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1" s="30">
        <f>경동전체1!E491</f>
        <v>0</v>
      </c>
      <c r="D491" s="23"/>
      <c r="E491" s="23"/>
      <c r="F491" s="4">
        <f>경동전체1!J491</f>
        <v>0</v>
      </c>
      <c r="G491" s="23"/>
      <c r="H491" s="2">
        <f>경동전체1!H491</f>
        <v>0</v>
      </c>
      <c r="I491" s="2" t="str">
        <f>경동전체1!I491&amp;""</f>
        <v/>
      </c>
      <c r="J491" s="2" t="s">
        <v>36</v>
      </c>
      <c r="K491" s="2" t="str">
        <f>IF(LEFT(경동전체1!G491,1)="","따사룸",경동전체1!G491)</f>
        <v>따사룸</v>
      </c>
      <c r="L491" s="4" t="str">
        <f t="shared" si="28"/>
        <v>1</v>
      </c>
      <c r="M491" s="1" t="str">
        <f>IF(LEFT(경동전체1!D491,1)="2","비닐",IF(LEFT(경동전체1!O491,1)="박","박스","비닐"))</f>
        <v>비닐</v>
      </c>
      <c r="N491" s="25">
        <v>1</v>
      </c>
      <c r="O491" s="25">
        <v>1</v>
      </c>
      <c r="P491" s="25">
        <v>1</v>
      </c>
      <c r="Q491" s="25">
        <v>1</v>
      </c>
      <c r="R491" s="1" t="str">
        <f t="shared" si="29"/>
        <v>50</v>
      </c>
      <c r="S491" s="1">
        <f>경동전체1!B491</f>
        <v>0</v>
      </c>
      <c r="T491" s="1" t="str">
        <f t="shared" si="30"/>
        <v>100</v>
      </c>
      <c r="U491" s="5" t="str">
        <f t="shared" si="31"/>
        <v>0</v>
      </c>
      <c r="V491" s="26">
        <v>0</v>
      </c>
      <c r="W491" s="26">
        <v>0</v>
      </c>
      <c r="X491" s="2" t="str">
        <f>SUBSTITUTE(SUBSTITUTE(SUBSTITUTE(SUBSTITUTE(SUBSTITUTE(SUBSTITUTE(SUBSTITUTE(SUBSTITUTE(SUBSTITUTE(SUBSTITUTE(SUBSTITUTE(SUBSTITUTE(SUBSTITUTE(경동전체1!D491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2" spans="1:24" ht="20.25" customHeight="1" x14ac:dyDescent="0.3">
      <c r="A492" s="2">
        <f>경동전체1!A492</f>
        <v>0</v>
      </c>
      <c r="B492" s="13" t="str">
        <f>SUBSTITUTE(SUBSTITUTE(SUBSTITUTE(SUBSTITUTE(SUBSTITUTE(SUBSTITUTE(SUBSTITUTE(SUBSTITUTE(SUBSTITUTE(SUBSTITUTE(SUBSTITUTE(SUBSTITUTE(SUBSTITUTE(경동전체1!K492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2" s="30">
        <f>경동전체1!E492</f>
        <v>0</v>
      </c>
      <c r="D492" s="23"/>
      <c r="E492" s="23"/>
      <c r="F492" s="4">
        <f>경동전체1!J492</f>
        <v>0</v>
      </c>
      <c r="G492" s="23"/>
      <c r="H492" s="2">
        <f>경동전체1!H492</f>
        <v>0</v>
      </c>
      <c r="I492" s="2" t="str">
        <f>경동전체1!I492&amp;""</f>
        <v/>
      </c>
      <c r="J492" s="2" t="s">
        <v>36</v>
      </c>
      <c r="K492" s="2" t="str">
        <f>IF(LEFT(경동전체1!G492,1)="","따사룸",경동전체1!G492)</f>
        <v>따사룸</v>
      </c>
      <c r="L492" s="4" t="str">
        <f t="shared" si="28"/>
        <v>1</v>
      </c>
      <c r="M492" s="1" t="str">
        <f>IF(LEFT(경동전체1!D492,1)="2","비닐",IF(LEFT(경동전체1!O492,1)="박","박스","비닐"))</f>
        <v>비닐</v>
      </c>
      <c r="N492" s="25">
        <v>1</v>
      </c>
      <c r="O492" s="25">
        <v>1</v>
      </c>
      <c r="P492" s="25">
        <v>1</v>
      </c>
      <c r="Q492" s="25">
        <v>1</v>
      </c>
      <c r="R492" s="1" t="str">
        <f t="shared" si="29"/>
        <v>50</v>
      </c>
      <c r="S492" s="1">
        <f>경동전체1!B492</f>
        <v>0</v>
      </c>
      <c r="T492" s="1" t="str">
        <f t="shared" si="30"/>
        <v>100</v>
      </c>
      <c r="U492" s="5" t="str">
        <f t="shared" si="31"/>
        <v>0</v>
      </c>
      <c r="V492" s="26">
        <v>0</v>
      </c>
      <c r="W492" s="26">
        <v>0</v>
      </c>
      <c r="X492" s="2" t="str">
        <f>SUBSTITUTE(SUBSTITUTE(SUBSTITUTE(SUBSTITUTE(SUBSTITUTE(SUBSTITUTE(SUBSTITUTE(SUBSTITUTE(SUBSTITUTE(SUBSTITUTE(SUBSTITUTE(SUBSTITUTE(SUBSTITUTE(경동전체1!D492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3" spans="1:24" ht="20.25" customHeight="1" x14ac:dyDescent="0.3">
      <c r="A493" s="2">
        <f>경동전체1!A493</f>
        <v>0</v>
      </c>
      <c r="B493" s="13" t="str">
        <f>SUBSTITUTE(SUBSTITUTE(SUBSTITUTE(SUBSTITUTE(SUBSTITUTE(SUBSTITUTE(SUBSTITUTE(SUBSTITUTE(SUBSTITUTE(SUBSTITUTE(SUBSTITUTE(SUBSTITUTE(SUBSTITUTE(경동전체1!K493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3" s="30">
        <f>경동전체1!E493</f>
        <v>0</v>
      </c>
      <c r="D493" s="23"/>
      <c r="E493" s="23"/>
      <c r="F493" s="4">
        <f>경동전체1!J493</f>
        <v>0</v>
      </c>
      <c r="G493" s="23"/>
      <c r="H493" s="2">
        <f>경동전체1!H493</f>
        <v>0</v>
      </c>
      <c r="I493" s="2" t="str">
        <f>경동전체1!I493&amp;""</f>
        <v/>
      </c>
      <c r="J493" s="2" t="s">
        <v>36</v>
      </c>
      <c r="K493" s="2" t="str">
        <f>IF(LEFT(경동전체1!G493,1)="","따사룸",경동전체1!G493)</f>
        <v>따사룸</v>
      </c>
      <c r="L493" s="4" t="str">
        <f t="shared" si="28"/>
        <v>1</v>
      </c>
      <c r="M493" s="1" t="str">
        <f>IF(LEFT(경동전체1!D493,1)="2","비닐",IF(LEFT(경동전체1!O493,1)="박","박스","비닐"))</f>
        <v>비닐</v>
      </c>
      <c r="N493" s="25">
        <v>1</v>
      </c>
      <c r="O493" s="25">
        <v>1</v>
      </c>
      <c r="P493" s="25">
        <v>1</v>
      </c>
      <c r="Q493" s="25">
        <v>1</v>
      </c>
      <c r="R493" s="1" t="str">
        <f t="shared" si="29"/>
        <v>50</v>
      </c>
      <c r="S493" s="1">
        <f>경동전체1!B493</f>
        <v>0</v>
      </c>
      <c r="T493" s="1" t="str">
        <f t="shared" si="30"/>
        <v>100</v>
      </c>
      <c r="U493" s="5" t="str">
        <f t="shared" si="31"/>
        <v>0</v>
      </c>
      <c r="V493" s="26">
        <v>0</v>
      </c>
      <c r="W493" s="26">
        <v>0</v>
      </c>
      <c r="X493" s="2" t="str">
        <f>SUBSTITUTE(SUBSTITUTE(SUBSTITUTE(SUBSTITUTE(SUBSTITUTE(SUBSTITUTE(SUBSTITUTE(SUBSTITUTE(SUBSTITUTE(SUBSTITUTE(SUBSTITUTE(SUBSTITUTE(SUBSTITUTE(경동전체1!D493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4" spans="1:24" ht="20.25" customHeight="1" x14ac:dyDescent="0.3">
      <c r="A494" s="2">
        <f>경동전체1!A494</f>
        <v>0</v>
      </c>
      <c r="B494" s="13" t="str">
        <f>SUBSTITUTE(SUBSTITUTE(SUBSTITUTE(SUBSTITUTE(SUBSTITUTE(SUBSTITUTE(SUBSTITUTE(SUBSTITUTE(SUBSTITUTE(SUBSTITUTE(SUBSTITUTE(SUBSTITUTE(SUBSTITUTE(경동전체1!K494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4" s="30">
        <f>경동전체1!E494</f>
        <v>0</v>
      </c>
      <c r="D494" s="23"/>
      <c r="E494" s="23"/>
      <c r="F494" s="4">
        <f>경동전체1!J494</f>
        <v>0</v>
      </c>
      <c r="G494" s="23"/>
      <c r="H494" s="2">
        <f>경동전체1!H494</f>
        <v>0</v>
      </c>
      <c r="I494" s="2" t="str">
        <f>경동전체1!I494&amp;""</f>
        <v/>
      </c>
      <c r="J494" s="2" t="s">
        <v>36</v>
      </c>
      <c r="K494" s="2" t="str">
        <f>IF(LEFT(경동전체1!G494,1)="","따사룸",경동전체1!G494)</f>
        <v>따사룸</v>
      </c>
      <c r="L494" s="4" t="str">
        <f t="shared" si="28"/>
        <v>1</v>
      </c>
      <c r="M494" s="1" t="str">
        <f>IF(LEFT(경동전체1!D494,1)="2","비닐",IF(LEFT(경동전체1!O494,1)="박","박스","비닐"))</f>
        <v>비닐</v>
      </c>
      <c r="N494" s="25">
        <v>1</v>
      </c>
      <c r="O494" s="25">
        <v>1</v>
      </c>
      <c r="P494" s="25">
        <v>1</v>
      </c>
      <c r="Q494" s="25">
        <v>1</v>
      </c>
      <c r="R494" s="1" t="str">
        <f t="shared" si="29"/>
        <v>50</v>
      </c>
      <c r="S494" s="1">
        <f>경동전체1!B494</f>
        <v>0</v>
      </c>
      <c r="T494" s="1" t="str">
        <f t="shared" si="30"/>
        <v>100</v>
      </c>
      <c r="U494" s="5" t="str">
        <f t="shared" si="31"/>
        <v>0</v>
      </c>
      <c r="V494" s="26">
        <v>0</v>
      </c>
      <c r="W494" s="26">
        <v>0</v>
      </c>
      <c r="X494" s="2" t="str">
        <f>SUBSTITUTE(SUBSTITUTE(SUBSTITUTE(SUBSTITUTE(SUBSTITUTE(SUBSTITUTE(SUBSTITUTE(SUBSTITUTE(SUBSTITUTE(SUBSTITUTE(SUBSTITUTE(SUBSTITUTE(SUBSTITUTE(경동전체1!D494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5" spans="1:24" ht="20.25" customHeight="1" x14ac:dyDescent="0.3">
      <c r="A495" s="2">
        <f>경동전체1!A495</f>
        <v>0</v>
      </c>
      <c r="B495" s="13" t="str">
        <f>SUBSTITUTE(SUBSTITUTE(SUBSTITUTE(SUBSTITUTE(SUBSTITUTE(SUBSTITUTE(SUBSTITUTE(SUBSTITUTE(SUBSTITUTE(SUBSTITUTE(SUBSTITUTE(SUBSTITUTE(SUBSTITUTE(경동전체1!K495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5" s="30">
        <f>경동전체1!E495</f>
        <v>0</v>
      </c>
      <c r="D495" s="23"/>
      <c r="E495" s="23"/>
      <c r="F495" s="4">
        <f>경동전체1!J495</f>
        <v>0</v>
      </c>
      <c r="G495" s="23"/>
      <c r="H495" s="2">
        <f>경동전체1!H495</f>
        <v>0</v>
      </c>
      <c r="I495" s="2" t="str">
        <f>경동전체1!I495&amp;""</f>
        <v/>
      </c>
      <c r="J495" s="2" t="s">
        <v>36</v>
      </c>
      <c r="K495" s="2" t="str">
        <f>IF(LEFT(경동전체1!G495,1)="","따사룸",경동전체1!G495)</f>
        <v>따사룸</v>
      </c>
      <c r="L495" s="4" t="str">
        <f t="shared" si="28"/>
        <v>1</v>
      </c>
      <c r="M495" s="1" t="str">
        <f>IF(LEFT(경동전체1!D495,1)="2","비닐",IF(LEFT(경동전체1!O495,1)="박","박스","비닐"))</f>
        <v>비닐</v>
      </c>
      <c r="N495" s="25">
        <v>1</v>
      </c>
      <c r="O495" s="25">
        <v>1</v>
      </c>
      <c r="P495" s="25">
        <v>1</v>
      </c>
      <c r="Q495" s="25">
        <v>1</v>
      </c>
      <c r="R495" s="1" t="str">
        <f t="shared" si="29"/>
        <v>50</v>
      </c>
      <c r="S495" s="1">
        <f>경동전체1!B495</f>
        <v>0</v>
      </c>
      <c r="T495" s="1" t="str">
        <f t="shared" si="30"/>
        <v>100</v>
      </c>
      <c r="U495" s="5" t="str">
        <f t="shared" si="31"/>
        <v>0</v>
      </c>
      <c r="V495" s="26">
        <v>0</v>
      </c>
      <c r="W495" s="26">
        <v>0</v>
      </c>
      <c r="X495" s="2" t="str">
        <f>SUBSTITUTE(SUBSTITUTE(SUBSTITUTE(SUBSTITUTE(SUBSTITUTE(SUBSTITUTE(SUBSTITUTE(SUBSTITUTE(SUBSTITUTE(SUBSTITUTE(SUBSTITUTE(SUBSTITUTE(SUBSTITUTE(경동전체1!D495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6" spans="1:24" ht="20.25" customHeight="1" x14ac:dyDescent="0.3">
      <c r="A496" s="2">
        <f>경동전체1!A496</f>
        <v>0</v>
      </c>
      <c r="B496" s="13" t="str">
        <f>SUBSTITUTE(SUBSTITUTE(SUBSTITUTE(SUBSTITUTE(SUBSTITUTE(SUBSTITUTE(SUBSTITUTE(SUBSTITUTE(SUBSTITUTE(SUBSTITUTE(SUBSTITUTE(SUBSTITUTE(SUBSTITUTE(경동전체1!K496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6" s="30">
        <f>경동전체1!E496</f>
        <v>0</v>
      </c>
      <c r="D496" s="23"/>
      <c r="E496" s="23"/>
      <c r="F496" s="4">
        <f>경동전체1!J496</f>
        <v>0</v>
      </c>
      <c r="G496" s="23"/>
      <c r="H496" s="2">
        <f>경동전체1!H496</f>
        <v>0</v>
      </c>
      <c r="I496" s="2" t="str">
        <f>경동전체1!I496&amp;""</f>
        <v/>
      </c>
      <c r="J496" s="2" t="s">
        <v>36</v>
      </c>
      <c r="K496" s="2" t="str">
        <f>IF(LEFT(경동전체1!G496,1)="","따사룸",경동전체1!G496)</f>
        <v>따사룸</v>
      </c>
      <c r="L496" s="4" t="str">
        <f t="shared" si="28"/>
        <v>1</v>
      </c>
      <c r="M496" s="1" t="str">
        <f>IF(LEFT(경동전체1!D496,1)="2","비닐",IF(LEFT(경동전체1!O496,1)="박","박스","비닐"))</f>
        <v>비닐</v>
      </c>
      <c r="N496" s="25">
        <v>1</v>
      </c>
      <c r="O496" s="25">
        <v>1</v>
      </c>
      <c r="P496" s="25">
        <v>1</v>
      </c>
      <c r="Q496" s="25">
        <v>1</v>
      </c>
      <c r="R496" s="1" t="str">
        <f t="shared" si="29"/>
        <v>50</v>
      </c>
      <c r="S496" s="1">
        <f>경동전체1!B496</f>
        <v>0</v>
      </c>
      <c r="T496" s="1" t="str">
        <f t="shared" si="30"/>
        <v>100</v>
      </c>
      <c r="U496" s="5" t="str">
        <f t="shared" si="31"/>
        <v>0</v>
      </c>
      <c r="V496" s="26">
        <v>0</v>
      </c>
      <c r="W496" s="26">
        <v>0</v>
      </c>
      <c r="X496" s="2" t="str">
        <f>SUBSTITUTE(SUBSTITUTE(SUBSTITUTE(SUBSTITUTE(SUBSTITUTE(SUBSTITUTE(SUBSTITUTE(SUBSTITUTE(SUBSTITUTE(SUBSTITUTE(SUBSTITUTE(SUBSTITUTE(SUBSTITUTE(경동전체1!D496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7" spans="1:24" ht="20.25" customHeight="1" x14ac:dyDescent="0.3">
      <c r="A497" s="2">
        <f>경동전체1!A497</f>
        <v>0</v>
      </c>
      <c r="B497" s="13" t="str">
        <f>SUBSTITUTE(SUBSTITUTE(SUBSTITUTE(SUBSTITUTE(SUBSTITUTE(SUBSTITUTE(SUBSTITUTE(SUBSTITUTE(SUBSTITUTE(SUBSTITUTE(SUBSTITUTE(SUBSTITUTE(SUBSTITUTE(경동전체1!K497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7" s="30">
        <f>경동전체1!E497</f>
        <v>0</v>
      </c>
      <c r="D497" s="23"/>
      <c r="E497" s="23"/>
      <c r="F497" s="4">
        <f>경동전체1!J497</f>
        <v>0</v>
      </c>
      <c r="G497" s="23"/>
      <c r="H497" s="2">
        <f>경동전체1!H497</f>
        <v>0</v>
      </c>
      <c r="I497" s="2" t="str">
        <f>경동전체1!I497&amp;""</f>
        <v/>
      </c>
      <c r="J497" s="2" t="s">
        <v>36</v>
      </c>
      <c r="K497" s="2" t="str">
        <f>IF(LEFT(경동전체1!G497,1)="","따사룸",경동전체1!G497)</f>
        <v>따사룸</v>
      </c>
      <c r="L497" s="4" t="str">
        <f t="shared" si="28"/>
        <v>1</v>
      </c>
      <c r="M497" s="1" t="str">
        <f>IF(LEFT(경동전체1!D497,1)="2","비닐",IF(LEFT(경동전체1!O497,1)="박","박스","비닐"))</f>
        <v>비닐</v>
      </c>
      <c r="N497" s="25">
        <v>1</v>
      </c>
      <c r="O497" s="25">
        <v>1</v>
      </c>
      <c r="P497" s="25">
        <v>1</v>
      </c>
      <c r="Q497" s="25">
        <v>1</v>
      </c>
      <c r="R497" s="1" t="str">
        <f t="shared" si="29"/>
        <v>50</v>
      </c>
      <c r="S497" s="1">
        <f>경동전체1!B497</f>
        <v>0</v>
      </c>
      <c r="T497" s="1" t="str">
        <f t="shared" si="30"/>
        <v>100</v>
      </c>
      <c r="U497" s="5" t="str">
        <f t="shared" si="31"/>
        <v>0</v>
      </c>
      <c r="V497" s="26">
        <v>0</v>
      </c>
      <c r="W497" s="26">
        <v>0</v>
      </c>
      <c r="X497" s="2" t="str">
        <f>SUBSTITUTE(SUBSTITUTE(SUBSTITUTE(SUBSTITUTE(SUBSTITUTE(SUBSTITUTE(SUBSTITUTE(SUBSTITUTE(SUBSTITUTE(SUBSTITUTE(SUBSTITUTE(SUBSTITUTE(SUBSTITUTE(경동전체1!D497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8" spans="1:24" ht="20.25" customHeight="1" x14ac:dyDescent="0.3">
      <c r="A498" s="2">
        <f>경동전체1!A498</f>
        <v>0</v>
      </c>
      <c r="B498" s="13" t="str">
        <f>SUBSTITUTE(SUBSTITUTE(SUBSTITUTE(SUBSTITUTE(SUBSTITUTE(SUBSTITUTE(SUBSTITUTE(SUBSTITUTE(SUBSTITUTE(SUBSTITUTE(SUBSTITUTE(SUBSTITUTE(SUBSTITUTE(경동전체1!K498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8" s="30">
        <f>경동전체1!E498</f>
        <v>0</v>
      </c>
      <c r="D498" s="23"/>
      <c r="E498" s="23"/>
      <c r="F498" s="4">
        <f>경동전체1!J498</f>
        <v>0</v>
      </c>
      <c r="G498" s="23"/>
      <c r="H498" s="2">
        <f>경동전체1!H498</f>
        <v>0</v>
      </c>
      <c r="I498" s="2" t="str">
        <f>경동전체1!I498&amp;""</f>
        <v/>
      </c>
      <c r="J498" s="2" t="s">
        <v>36</v>
      </c>
      <c r="K498" s="2" t="str">
        <f>IF(LEFT(경동전체1!G498,1)="","따사룸",경동전체1!G498)</f>
        <v>따사룸</v>
      </c>
      <c r="L498" s="4" t="str">
        <f t="shared" si="28"/>
        <v>1</v>
      </c>
      <c r="M498" s="1" t="str">
        <f>IF(LEFT(경동전체1!D498,1)="2","비닐",IF(LEFT(경동전체1!O498,1)="박","박스","비닐"))</f>
        <v>비닐</v>
      </c>
      <c r="N498" s="25">
        <v>1</v>
      </c>
      <c r="O498" s="25">
        <v>1</v>
      </c>
      <c r="P498" s="25">
        <v>1</v>
      </c>
      <c r="Q498" s="25">
        <v>1</v>
      </c>
      <c r="R498" s="1" t="str">
        <f t="shared" si="29"/>
        <v>50</v>
      </c>
      <c r="S498" s="1">
        <f>경동전체1!B498</f>
        <v>0</v>
      </c>
      <c r="T498" s="1" t="str">
        <f t="shared" si="30"/>
        <v>100</v>
      </c>
      <c r="U498" s="5" t="str">
        <f t="shared" si="31"/>
        <v>0</v>
      </c>
      <c r="V498" s="26">
        <v>0</v>
      </c>
      <c r="W498" s="26">
        <v>0</v>
      </c>
      <c r="X498" s="2" t="str">
        <f>SUBSTITUTE(SUBSTITUTE(SUBSTITUTE(SUBSTITUTE(SUBSTITUTE(SUBSTITUTE(SUBSTITUTE(SUBSTITUTE(SUBSTITUTE(SUBSTITUTE(SUBSTITUTE(SUBSTITUTE(SUBSTITUTE(경동전체1!D498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9" spans="1:24" ht="20.25" customHeight="1" x14ac:dyDescent="0.3">
      <c r="A499" s="2">
        <f>경동전체1!A499</f>
        <v>0</v>
      </c>
      <c r="B499" s="13" t="str">
        <f>SUBSTITUTE(SUBSTITUTE(SUBSTITUTE(SUBSTITUTE(SUBSTITUTE(SUBSTITUTE(SUBSTITUTE(SUBSTITUTE(SUBSTITUTE(SUBSTITUTE(SUBSTITUTE(SUBSTITUTE(SUBSTITUTE(경동전체1!K499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9" s="30">
        <f>경동전체1!E499</f>
        <v>0</v>
      </c>
      <c r="D499" s="23"/>
      <c r="E499" s="23"/>
      <c r="F499" s="4">
        <f>경동전체1!J499</f>
        <v>0</v>
      </c>
      <c r="G499" s="23"/>
      <c r="H499" s="2">
        <f>경동전체1!H499</f>
        <v>0</v>
      </c>
      <c r="I499" s="2" t="str">
        <f>경동전체1!I499&amp;""</f>
        <v/>
      </c>
      <c r="J499" s="2" t="s">
        <v>36</v>
      </c>
      <c r="K499" s="2" t="str">
        <f>IF(LEFT(경동전체1!G499,1)="","따사룸",경동전체1!G499)</f>
        <v>따사룸</v>
      </c>
      <c r="L499" s="4" t="str">
        <f t="shared" si="28"/>
        <v>1</v>
      </c>
      <c r="M499" s="1" t="str">
        <f>IF(LEFT(경동전체1!D499,1)="2","비닐",IF(LEFT(경동전체1!O499,1)="박","박스","비닐"))</f>
        <v>비닐</v>
      </c>
      <c r="N499" s="25">
        <v>1</v>
      </c>
      <c r="O499" s="25">
        <v>1</v>
      </c>
      <c r="P499" s="25">
        <v>1</v>
      </c>
      <c r="Q499" s="25">
        <v>1</v>
      </c>
      <c r="R499" s="1" t="str">
        <f t="shared" si="29"/>
        <v>50</v>
      </c>
      <c r="S499" s="1">
        <f>경동전체1!B499</f>
        <v>0</v>
      </c>
      <c r="T499" s="1" t="str">
        <f t="shared" si="30"/>
        <v>100</v>
      </c>
      <c r="U499" s="5" t="str">
        <f t="shared" si="31"/>
        <v>0</v>
      </c>
      <c r="V499" s="26">
        <v>0</v>
      </c>
      <c r="W499" s="26">
        <v>0</v>
      </c>
      <c r="X499" s="2" t="str">
        <f>SUBSTITUTE(SUBSTITUTE(SUBSTITUTE(SUBSTITUTE(SUBSTITUTE(SUBSTITUTE(SUBSTITUTE(SUBSTITUTE(SUBSTITUTE(SUBSTITUTE(SUBSTITUTE(SUBSTITUTE(SUBSTITUTE(경동전체1!D499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0" spans="1:24" ht="20.25" customHeight="1" x14ac:dyDescent="0.3">
      <c r="A500" s="2">
        <f>경동전체1!A500</f>
        <v>0</v>
      </c>
      <c r="B500" s="13" t="str">
        <f>SUBSTITUTE(SUBSTITUTE(SUBSTITUTE(SUBSTITUTE(SUBSTITUTE(SUBSTITUTE(SUBSTITUTE(SUBSTITUTE(SUBSTITUTE(SUBSTITUTE(SUBSTITUTE(SUBSTITUTE(SUBSTITUTE(경동전체1!K500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0" s="30">
        <f>경동전체1!E500</f>
        <v>0</v>
      </c>
      <c r="D500" s="23"/>
      <c r="E500" s="23"/>
      <c r="F500" s="4">
        <f>경동전체1!J500</f>
        <v>0</v>
      </c>
      <c r="G500" s="23"/>
      <c r="H500" s="2">
        <f>경동전체1!H500</f>
        <v>0</v>
      </c>
      <c r="I500" s="2" t="str">
        <f>경동전체1!I500&amp;""</f>
        <v/>
      </c>
      <c r="J500" s="2" t="s">
        <v>36</v>
      </c>
      <c r="K500" s="2" t="str">
        <f>IF(LEFT(경동전체1!G500,1)="","따사룸",경동전체1!G500)</f>
        <v>따사룸</v>
      </c>
      <c r="L500" s="4" t="str">
        <f t="shared" si="28"/>
        <v>1</v>
      </c>
      <c r="M500" s="1" t="str">
        <f>IF(LEFT(경동전체1!D500,1)="2","비닐",IF(LEFT(경동전체1!O500,1)="박","박스","비닐"))</f>
        <v>비닐</v>
      </c>
      <c r="N500" s="25">
        <v>1</v>
      </c>
      <c r="O500" s="25">
        <v>1</v>
      </c>
      <c r="P500" s="25">
        <v>1</v>
      </c>
      <c r="Q500" s="25">
        <v>1</v>
      </c>
      <c r="R500" s="1" t="str">
        <f t="shared" si="29"/>
        <v>50</v>
      </c>
      <c r="S500" s="1">
        <f>경동전체1!B500</f>
        <v>0</v>
      </c>
      <c r="T500" s="1" t="str">
        <f t="shared" si="30"/>
        <v>100</v>
      </c>
      <c r="U500" s="5" t="str">
        <f t="shared" si="31"/>
        <v>0</v>
      </c>
      <c r="V500" s="26">
        <v>0</v>
      </c>
      <c r="W500" s="26">
        <v>0</v>
      </c>
      <c r="X500" s="2" t="str">
        <f>SUBSTITUTE(SUBSTITUTE(SUBSTITUTE(SUBSTITUTE(SUBSTITUTE(SUBSTITUTE(SUBSTITUTE(SUBSTITUTE(SUBSTITUTE(SUBSTITUTE(SUBSTITUTE(SUBSTITUTE(SUBSTITUTE(경동전체1!D500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1" spans="1:24" ht="20.25" customHeight="1" x14ac:dyDescent="0.3">
      <c r="A501" s="2">
        <f>경동전체1!A501</f>
        <v>0</v>
      </c>
      <c r="B501" s="13" t="str">
        <f>SUBSTITUTE(SUBSTITUTE(SUBSTITUTE(SUBSTITUTE(SUBSTITUTE(SUBSTITUTE(SUBSTITUTE(SUBSTITUTE(SUBSTITUTE(SUBSTITUTE(SUBSTITUTE(SUBSTITUTE(SUBSTITUTE(경동전체1!K501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1" s="30">
        <f>경동전체1!E501</f>
        <v>0</v>
      </c>
      <c r="D501" s="23"/>
      <c r="E501" s="23"/>
      <c r="F501" s="4">
        <f>경동전체1!J501</f>
        <v>0</v>
      </c>
      <c r="G501" s="23"/>
      <c r="H501" s="2">
        <f>경동전체1!H501</f>
        <v>0</v>
      </c>
      <c r="I501" s="2" t="str">
        <f>경동전체1!I501&amp;""</f>
        <v/>
      </c>
      <c r="J501" s="2" t="s">
        <v>36</v>
      </c>
      <c r="K501" s="2" t="str">
        <f>IF(LEFT(경동전체1!G501,1)="","따사룸",경동전체1!G501)</f>
        <v>따사룸</v>
      </c>
      <c r="L501" s="4" t="str">
        <f t="shared" si="28"/>
        <v>1</v>
      </c>
      <c r="M501" s="1" t="str">
        <f>IF(LEFT(경동전체1!D501,1)="2","비닐",IF(LEFT(경동전체1!O501,1)="박","박스","비닐"))</f>
        <v>비닐</v>
      </c>
      <c r="N501" s="25">
        <v>1</v>
      </c>
      <c r="O501" s="25">
        <v>1</v>
      </c>
      <c r="P501" s="25">
        <v>1</v>
      </c>
      <c r="Q501" s="25">
        <v>1</v>
      </c>
      <c r="R501" s="1" t="str">
        <f t="shared" si="29"/>
        <v>50</v>
      </c>
      <c r="S501" s="1">
        <f>경동전체1!B501</f>
        <v>0</v>
      </c>
      <c r="T501" s="1" t="str">
        <f t="shared" si="30"/>
        <v>100</v>
      </c>
      <c r="U501" s="5" t="str">
        <f t="shared" si="31"/>
        <v>0</v>
      </c>
      <c r="V501" s="26">
        <v>0</v>
      </c>
      <c r="W501" s="26">
        <v>0</v>
      </c>
      <c r="X501" s="2" t="str">
        <f>SUBSTITUTE(SUBSTITUTE(SUBSTITUTE(SUBSTITUTE(SUBSTITUTE(SUBSTITUTE(SUBSTITUTE(SUBSTITUTE(SUBSTITUTE(SUBSTITUTE(SUBSTITUTE(SUBSTITUTE(SUBSTITUTE(경동전체1!D501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2" spans="1:24" ht="20.25" customHeight="1" x14ac:dyDescent="0.3">
      <c r="A502" s="2">
        <f>경동전체1!A502</f>
        <v>0</v>
      </c>
      <c r="B502" s="13" t="str">
        <f>SUBSTITUTE(SUBSTITUTE(SUBSTITUTE(SUBSTITUTE(SUBSTITUTE(SUBSTITUTE(SUBSTITUTE(SUBSTITUTE(SUBSTITUTE(SUBSTITUTE(SUBSTITUTE(SUBSTITUTE(SUBSTITUTE(경동전체1!K502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2" s="30">
        <f>경동전체1!E502</f>
        <v>0</v>
      </c>
      <c r="D502" s="23"/>
      <c r="E502" s="23"/>
      <c r="F502" s="4">
        <f>경동전체1!J502</f>
        <v>0</v>
      </c>
      <c r="G502" s="23"/>
      <c r="H502" s="2">
        <f>경동전체1!H502</f>
        <v>0</v>
      </c>
      <c r="I502" s="2" t="str">
        <f>경동전체1!I502&amp;""</f>
        <v/>
      </c>
      <c r="J502" s="2" t="s">
        <v>36</v>
      </c>
      <c r="K502" s="2" t="str">
        <f>IF(LEFT(경동전체1!G502,1)="","따사룸",경동전체1!G502)</f>
        <v>따사룸</v>
      </c>
      <c r="L502" s="4" t="str">
        <f t="shared" si="28"/>
        <v>1</v>
      </c>
      <c r="M502" s="1" t="str">
        <f>IF(LEFT(경동전체1!D502,1)="2","비닐",IF(LEFT(경동전체1!O502,1)="박","박스","비닐"))</f>
        <v>비닐</v>
      </c>
      <c r="N502" s="25">
        <v>1</v>
      </c>
      <c r="O502" s="25">
        <v>1</v>
      </c>
      <c r="P502" s="25">
        <v>1</v>
      </c>
      <c r="Q502" s="25">
        <v>1</v>
      </c>
      <c r="R502" s="1" t="str">
        <f t="shared" si="29"/>
        <v>50</v>
      </c>
      <c r="S502" s="1">
        <f>경동전체1!B502</f>
        <v>0</v>
      </c>
      <c r="T502" s="1" t="str">
        <f t="shared" si="30"/>
        <v>100</v>
      </c>
      <c r="U502" s="5" t="str">
        <f t="shared" si="31"/>
        <v>0</v>
      </c>
      <c r="V502" s="26">
        <v>0</v>
      </c>
      <c r="W502" s="26">
        <v>0</v>
      </c>
      <c r="X502" s="2" t="str">
        <f>SUBSTITUTE(SUBSTITUTE(SUBSTITUTE(SUBSTITUTE(SUBSTITUTE(SUBSTITUTE(SUBSTITUTE(SUBSTITUTE(SUBSTITUTE(SUBSTITUTE(SUBSTITUTE(SUBSTITUTE(SUBSTITUTE(경동전체1!D502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3" spans="1:24" ht="20.25" customHeight="1" x14ac:dyDescent="0.3">
      <c r="A503" s="2">
        <f>경동전체1!A503</f>
        <v>0</v>
      </c>
      <c r="B503" s="13" t="str">
        <f>SUBSTITUTE(SUBSTITUTE(SUBSTITUTE(SUBSTITUTE(SUBSTITUTE(SUBSTITUTE(SUBSTITUTE(SUBSTITUTE(SUBSTITUTE(SUBSTITUTE(SUBSTITUTE(SUBSTITUTE(SUBSTITUTE(경동전체1!K503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3" s="30">
        <f>경동전체1!E503</f>
        <v>0</v>
      </c>
      <c r="D503" s="23"/>
      <c r="E503" s="23"/>
      <c r="F503" s="4">
        <f>경동전체1!J503</f>
        <v>0</v>
      </c>
      <c r="G503" s="23"/>
      <c r="H503" s="2">
        <f>경동전체1!H503</f>
        <v>0</v>
      </c>
      <c r="I503" s="2" t="str">
        <f>경동전체1!I503&amp;""</f>
        <v/>
      </c>
      <c r="J503" s="2" t="s">
        <v>36</v>
      </c>
      <c r="K503" s="2" t="str">
        <f>IF(LEFT(경동전체1!G503,1)="","따사룸",경동전체1!G503)</f>
        <v>따사룸</v>
      </c>
      <c r="L503" s="4" t="str">
        <f t="shared" si="28"/>
        <v>1</v>
      </c>
      <c r="M503" s="1" t="str">
        <f>IF(LEFT(경동전체1!D503,1)="2","비닐",IF(LEFT(경동전체1!O503,1)="박","박스","비닐"))</f>
        <v>비닐</v>
      </c>
      <c r="N503" s="25">
        <v>1</v>
      </c>
      <c r="O503" s="25">
        <v>1</v>
      </c>
      <c r="P503" s="25">
        <v>1</v>
      </c>
      <c r="Q503" s="25">
        <v>1</v>
      </c>
      <c r="R503" s="1" t="str">
        <f t="shared" si="29"/>
        <v>50</v>
      </c>
      <c r="S503" s="1">
        <f>경동전체1!B503</f>
        <v>0</v>
      </c>
      <c r="T503" s="1" t="str">
        <f t="shared" si="30"/>
        <v>100</v>
      </c>
      <c r="U503" s="5" t="str">
        <f t="shared" si="31"/>
        <v>0</v>
      </c>
      <c r="V503" s="26">
        <v>0</v>
      </c>
      <c r="W503" s="26">
        <v>0</v>
      </c>
      <c r="X503" s="2" t="str">
        <f>SUBSTITUTE(SUBSTITUTE(SUBSTITUTE(SUBSTITUTE(SUBSTITUTE(SUBSTITUTE(SUBSTITUTE(SUBSTITUTE(SUBSTITUTE(SUBSTITUTE(SUBSTITUTE(SUBSTITUTE(SUBSTITUTE(경동전체1!D503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4" spans="1:24" ht="20.25" customHeight="1" x14ac:dyDescent="0.3">
      <c r="A504" s="2">
        <f>경동전체1!A504</f>
        <v>0</v>
      </c>
      <c r="B504" s="13" t="str">
        <f>SUBSTITUTE(SUBSTITUTE(SUBSTITUTE(SUBSTITUTE(SUBSTITUTE(SUBSTITUTE(SUBSTITUTE(SUBSTITUTE(SUBSTITUTE(SUBSTITUTE(SUBSTITUTE(SUBSTITUTE(SUBSTITUTE(경동전체1!K504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4" s="30">
        <f>경동전체1!E504</f>
        <v>0</v>
      </c>
      <c r="D504" s="23"/>
      <c r="E504" s="23"/>
      <c r="F504" s="4">
        <f>경동전체1!J504</f>
        <v>0</v>
      </c>
      <c r="G504" s="23"/>
      <c r="H504" s="2">
        <f>경동전체1!H504</f>
        <v>0</v>
      </c>
      <c r="I504" s="2" t="str">
        <f>경동전체1!I504&amp;""</f>
        <v/>
      </c>
      <c r="J504" s="2" t="s">
        <v>36</v>
      </c>
      <c r="K504" s="2" t="str">
        <f>IF(LEFT(경동전체1!G504,1)="","따사룸",경동전체1!G504)</f>
        <v>따사룸</v>
      </c>
      <c r="L504" s="4" t="str">
        <f t="shared" si="28"/>
        <v>1</v>
      </c>
      <c r="M504" s="1" t="str">
        <f>IF(LEFT(경동전체1!D504,1)="2","비닐",IF(LEFT(경동전체1!O504,1)="박","박스","비닐"))</f>
        <v>비닐</v>
      </c>
      <c r="N504" s="25">
        <v>1</v>
      </c>
      <c r="O504" s="25">
        <v>1</v>
      </c>
      <c r="P504" s="25">
        <v>1</v>
      </c>
      <c r="Q504" s="25">
        <v>1</v>
      </c>
      <c r="R504" s="1" t="str">
        <f t="shared" si="29"/>
        <v>50</v>
      </c>
      <c r="S504" s="1">
        <f>경동전체1!B504</f>
        <v>0</v>
      </c>
      <c r="T504" s="1" t="str">
        <f t="shared" si="30"/>
        <v>100</v>
      </c>
      <c r="U504" s="5" t="str">
        <f t="shared" si="31"/>
        <v>0</v>
      </c>
      <c r="V504" s="26">
        <v>0</v>
      </c>
      <c r="W504" s="26">
        <v>0</v>
      </c>
      <c r="X504" s="2" t="str">
        <f>SUBSTITUTE(SUBSTITUTE(SUBSTITUTE(SUBSTITUTE(SUBSTITUTE(SUBSTITUTE(SUBSTITUTE(SUBSTITUTE(SUBSTITUTE(SUBSTITUTE(SUBSTITUTE(SUBSTITUTE(SUBSTITUTE(경동전체1!D504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5" spans="1:24" ht="20.25" customHeight="1" x14ac:dyDescent="0.3">
      <c r="A505" s="2">
        <f>경동전체1!A505</f>
        <v>0</v>
      </c>
      <c r="B505" s="13" t="str">
        <f>SUBSTITUTE(SUBSTITUTE(SUBSTITUTE(SUBSTITUTE(SUBSTITUTE(SUBSTITUTE(SUBSTITUTE(SUBSTITUTE(SUBSTITUTE(SUBSTITUTE(SUBSTITUTE(SUBSTITUTE(SUBSTITUTE(경동전체1!K505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5" s="30">
        <f>경동전체1!E505</f>
        <v>0</v>
      </c>
      <c r="D505" s="23"/>
      <c r="E505" s="23"/>
      <c r="F505" s="4">
        <f>경동전체1!J505</f>
        <v>0</v>
      </c>
      <c r="G505" s="23"/>
      <c r="H505" s="2">
        <f>경동전체1!H505</f>
        <v>0</v>
      </c>
      <c r="I505" s="2" t="str">
        <f>경동전체1!I505&amp;""</f>
        <v/>
      </c>
      <c r="J505" s="2" t="s">
        <v>36</v>
      </c>
      <c r="K505" s="2" t="str">
        <f>IF(LEFT(경동전체1!G505,1)="","따사룸",경동전체1!G505)</f>
        <v>따사룸</v>
      </c>
      <c r="L505" s="4" t="str">
        <f t="shared" si="28"/>
        <v>1</v>
      </c>
      <c r="M505" s="1" t="str">
        <f>IF(LEFT(경동전체1!D505,1)="2","비닐",IF(LEFT(경동전체1!O505,1)="박","박스","비닐"))</f>
        <v>비닐</v>
      </c>
      <c r="N505" s="25">
        <v>1</v>
      </c>
      <c r="O505" s="25">
        <v>1</v>
      </c>
      <c r="P505" s="25">
        <v>1</v>
      </c>
      <c r="Q505" s="25">
        <v>1</v>
      </c>
      <c r="R505" s="1" t="str">
        <f t="shared" si="29"/>
        <v>50</v>
      </c>
      <c r="S505" s="1">
        <f>경동전체1!B505</f>
        <v>0</v>
      </c>
      <c r="T505" s="1" t="str">
        <f t="shared" si="30"/>
        <v>100</v>
      </c>
      <c r="U505" s="5" t="str">
        <f t="shared" si="31"/>
        <v>0</v>
      </c>
      <c r="V505" s="26">
        <v>0</v>
      </c>
      <c r="W505" s="26">
        <v>0</v>
      </c>
      <c r="X505" s="2" t="str">
        <f>SUBSTITUTE(SUBSTITUTE(SUBSTITUTE(SUBSTITUTE(SUBSTITUTE(SUBSTITUTE(SUBSTITUTE(SUBSTITUTE(SUBSTITUTE(SUBSTITUTE(SUBSTITUTE(SUBSTITUTE(SUBSTITUTE(경동전체1!D505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6" spans="1:24" ht="20.25" customHeight="1" x14ac:dyDescent="0.3">
      <c r="A506" s="2">
        <f>경동전체1!A506</f>
        <v>0</v>
      </c>
      <c r="B506" s="13" t="str">
        <f>SUBSTITUTE(SUBSTITUTE(SUBSTITUTE(SUBSTITUTE(SUBSTITUTE(SUBSTITUTE(SUBSTITUTE(SUBSTITUTE(SUBSTITUTE(SUBSTITUTE(SUBSTITUTE(SUBSTITUTE(SUBSTITUTE(경동전체1!K506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6" s="30">
        <f>경동전체1!E506</f>
        <v>0</v>
      </c>
      <c r="D506" s="23"/>
      <c r="E506" s="23"/>
      <c r="F506" s="4">
        <f>경동전체1!J506</f>
        <v>0</v>
      </c>
      <c r="G506" s="23"/>
      <c r="H506" s="2">
        <f>경동전체1!H506</f>
        <v>0</v>
      </c>
      <c r="I506" s="2" t="str">
        <f>경동전체1!I506&amp;""</f>
        <v/>
      </c>
      <c r="J506" s="2" t="s">
        <v>36</v>
      </c>
      <c r="K506" s="2" t="str">
        <f>IF(LEFT(경동전체1!G506,1)="","따사룸",경동전체1!G506)</f>
        <v>따사룸</v>
      </c>
      <c r="L506" s="4" t="str">
        <f t="shared" si="28"/>
        <v>1</v>
      </c>
      <c r="M506" s="1" t="str">
        <f>IF(LEFT(경동전체1!D506,1)="2","비닐",IF(LEFT(경동전체1!O506,1)="박","박스","비닐"))</f>
        <v>비닐</v>
      </c>
      <c r="N506" s="25">
        <v>1</v>
      </c>
      <c r="O506" s="25">
        <v>1</v>
      </c>
      <c r="P506" s="25">
        <v>1</v>
      </c>
      <c r="Q506" s="25">
        <v>1</v>
      </c>
      <c r="R506" s="1" t="str">
        <f t="shared" si="29"/>
        <v>50</v>
      </c>
      <c r="S506" s="1">
        <f>경동전체1!B506</f>
        <v>0</v>
      </c>
      <c r="T506" s="1" t="str">
        <f t="shared" si="30"/>
        <v>100</v>
      </c>
      <c r="U506" s="5" t="str">
        <f t="shared" si="31"/>
        <v>0</v>
      </c>
      <c r="V506" s="26">
        <v>0</v>
      </c>
      <c r="W506" s="26">
        <v>0</v>
      </c>
      <c r="X506" s="2" t="str">
        <f>SUBSTITUTE(SUBSTITUTE(SUBSTITUTE(SUBSTITUTE(SUBSTITUTE(SUBSTITUTE(SUBSTITUTE(SUBSTITUTE(SUBSTITUTE(SUBSTITUTE(SUBSTITUTE(SUBSTITUTE(SUBSTITUTE(경동전체1!D506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7" spans="1:24" ht="20.25" customHeight="1" x14ac:dyDescent="0.3">
      <c r="A507" s="2">
        <f>경동전체1!A507</f>
        <v>0</v>
      </c>
      <c r="B507" s="13" t="str">
        <f>SUBSTITUTE(SUBSTITUTE(SUBSTITUTE(SUBSTITUTE(SUBSTITUTE(SUBSTITUTE(SUBSTITUTE(SUBSTITUTE(SUBSTITUTE(SUBSTITUTE(SUBSTITUTE(SUBSTITUTE(SUBSTITUTE(경동전체1!K507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7" s="30">
        <f>경동전체1!E507</f>
        <v>0</v>
      </c>
      <c r="D507" s="23"/>
      <c r="E507" s="23"/>
      <c r="F507" s="4">
        <f>경동전체1!J507</f>
        <v>0</v>
      </c>
      <c r="G507" s="23"/>
      <c r="H507" s="2">
        <f>경동전체1!H507</f>
        <v>0</v>
      </c>
      <c r="I507" s="2" t="str">
        <f>경동전체1!I507&amp;""</f>
        <v/>
      </c>
      <c r="J507" s="2" t="s">
        <v>36</v>
      </c>
      <c r="K507" s="2" t="str">
        <f>IF(LEFT(경동전체1!G507,1)="","따사룸",경동전체1!G507)</f>
        <v>따사룸</v>
      </c>
      <c r="L507" s="4" t="str">
        <f t="shared" si="28"/>
        <v>1</v>
      </c>
      <c r="M507" s="1" t="str">
        <f>IF(LEFT(경동전체1!D507,1)="2","비닐",IF(LEFT(경동전체1!O507,1)="박","박스","비닐"))</f>
        <v>비닐</v>
      </c>
      <c r="N507" s="25">
        <v>1</v>
      </c>
      <c r="O507" s="25">
        <v>1</v>
      </c>
      <c r="P507" s="25">
        <v>1</v>
      </c>
      <c r="Q507" s="25">
        <v>1</v>
      </c>
      <c r="R507" s="1" t="str">
        <f t="shared" si="29"/>
        <v>50</v>
      </c>
      <c r="S507" s="1">
        <f>경동전체1!B507</f>
        <v>0</v>
      </c>
      <c r="T507" s="1" t="str">
        <f t="shared" si="30"/>
        <v>100</v>
      </c>
      <c r="U507" s="5" t="str">
        <f t="shared" si="31"/>
        <v>0</v>
      </c>
      <c r="V507" s="26">
        <v>0</v>
      </c>
      <c r="W507" s="26">
        <v>0</v>
      </c>
      <c r="X507" s="2" t="str">
        <f>SUBSTITUTE(SUBSTITUTE(SUBSTITUTE(SUBSTITUTE(SUBSTITUTE(SUBSTITUTE(SUBSTITUTE(SUBSTITUTE(SUBSTITUTE(SUBSTITUTE(SUBSTITUTE(SUBSTITUTE(SUBSTITUTE(경동전체1!D507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8" spans="1:24" ht="20.25" customHeight="1" x14ac:dyDescent="0.3">
      <c r="A508" s="2">
        <f>경동전체1!A508</f>
        <v>0</v>
      </c>
      <c r="B508" s="13" t="str">
        <f>SUBSTITUTE(SUBSTITUTE(SUBSTITUTE(SUBSTITUTE(SUBSTITUTE(SUBSTITUTE(SUBSTITUTE(SUBSTITUTE(SUBSTITUTE(SUBSTITUTE(SUBSTITUTE(SUBSTITUTE(SUBSTITUTE(경동전체1!K508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8" s="30">
        <f>경동전체1!E508</f>
        <v>0</v>
      </c>
      <c r="D508" s="23"/>
      <c r="E508" s="23"/>
      <c r="F508" s="4">
        <f>경동전체1!J508</f>
        <v>0</v>
      </c>
      <c r="G508" s="23"/>
      <c r="H508" s="2">
        <f>경동전체1!H508</f>
        <v>0</v>
      </c>
      <c r="I508" s="2" t="str">
        <f>경동전체1!I508&amp;""</f>
        <v/>
      </c>
      <c r="J508" s="2" t="s">
        <v>36</v>
      </c>
      <c r="K508" s="2" t="str">
        <f>IF(LEFT(경동전체1!G508,1)="","따사룸",경동전체1!G508)</f>
        <v>따사룸</v>
      </c>
      <c r="L508" s="4" t="str">
        <f t="shared" si="28"/>
        <v>1</v>
      </c>
      <c r="M508" s="1" t="str">
        <f>IF(LEFT(경동전체1!D508,1)="2","비닐",IF(LEFT(경동전체1!O508,1)="박","박스","비닐"))</f>
        <v>비닐</v>
      </c>
      <c r="N508" s="25">
        <v>1</v>
      </c>
      <c r="O508" s="25">
        <v>1</v>
      </c>
      <c r="P508" s="25">
        <v>1</v>
      </c>
      <c r="Q508" s="25">
        <v>1</v>
      </c>
      <c r="R508" s="1" t="str">
        <f t="shared" si="29"/>
        <v>50</v>
      </c>
      <c r="S508" s="1">
        <f>경동전체1!B508</f>
        <v>0</v>
      </c>
      <c r="T508" s="1" t="str">
        <f t="shared" si="30"/>
        <v>100</v>
      </c>
      <c r="U508" s="5" t="str">
        <f t="shared" si="31"/>
        <v>0</v>
      </c>
      <c r="V508" s="26">
        <v>0</v>
      </c>
      <c r="W508" s="26">
        <v>0</v>
      </c>
      <c r="X508" s="2" t="str">
        <f>SUBSTITUTE(SUBSTITUTE(SUBSTITUTE(SUBSTITUTE(SUBSTITUTE(SUBSTITUTE(SUBSTITUTE(SUBSTITUTE(SUBSTITUTE(SUBSTITUTE(SUBSTITUTE(SUBSTITUTE(SUBSTITUTE(경동전체1!D508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9" spans="1:24" ht="20.25" customHeight="1" x14ac:dyDescent="0.3">
      <c r="A509" s="2">
        <f>경동전체1!A509</f>
        <v>0</v>
      </c>
      <c r="B509" s="13" t="str">
        <f>SUBSTITUTE(SUBSTITUTE(SUBSTITUTE(SUBSTITUTE(SUBSTITUTE(SUBSTITUTE(SUBSTITUTE(SUBSTITUTE(SUBSTITUTE(SUBSTITUTE(SUBSTITUTE(SUBSTITUTE(SUBSTITUTE(경동전체1!K509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9" s="30">
        <f>경동전체1!E509</f>
        <v>0</v>
      </c>
      <c r="D509" s="23"/>
      <c r="E509" s="23"/>
      <c r="F509" s="4">
        <f>경동전체1!J509</f>
        <v>0</v>
      </c>
      <c r="G509" s="23"/>
      <c r="H509" s="2">
        <f>경동전체1!H509</f>
        <v>0</v>
      </c>
      <c r="I509" s="2" t="str">
        <f>경동전체1!I509&amp;""</f>
        <v/>
      </c>
      <c r="J509" s="2" t="s">
        <v>36</v>
      </c>
      <c r="K509" s="2" t="str">
        <f>IF(LEFT(경동전체1!G509,1)="","따사룸",경동전체1!G509)</f>
        <v>따사룸</v>
      </c>
      <c r="L509" s="4" t="str">
        <f t="shared" si="28"/>
        <v>1</v>
      </c>
      <c r="M509" s="1" t="str">
        <f>IF(LEFT(경동전체1!D509,1)="2","비닐",IF(LEFT(경동전체1!O509,1)="박","박스","비닐"))</f>
        <v>비닐</v>
      </c>
      <c r="N509" s="25">
        <v>1</v>
      </c>
      <c r="O509" s="25">
        <v>1</v>
      </c>
      <c r="P509" s="25">
        <v>1</v>
      </c>
      <c r="Q509" s="25">
        <v>1</v>
      </c>
      <c r="R509" s="1" t="str">
        <f t="shared" si="29"/>
        <v>50</v>
      </c>
      <c r="S509" s="1">
        <f>경동전체1!B509</f>
        <v>0</v>
      </c>
      <c r="T509" s="1" t="str">
        <f t="shared" si="30"/>
        <v>100</v>
      </c>
      <c r="U509" s="5" t="str">
        <f t="shared" si="31"/>
        <v>0</v>
      </c>
      <c r="V509" s="26">
        <v>0</v>
      </c>
      <c r="W509" s="26">
        <v>0</v>
      </c>
      <c r="X509" s="2" t="str">
        <f>SUBSTITUTE(SUBSTITUTE(SUBSTITUTE(SUBSTITUTE(SUBSTITUTE(SUBSTITUTE(SUBSTITUTE(SUBSTITUTE(SUBSTITUTE(SUBSTITUTE(SUBSTITUTE(SUBSTITUTE(SUBSTITUTE(경동전체1!D509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0" spans="1:24" ht="20.25" customHeight="1" x14ac:dyDescent="0.3">
      <c r="A510" s="2">
        <f>경동전체1!A510</f>
        <v>0</v>
      </c>
      <c r="B510" s="13" t="str">
        <f>SUBSTITUTE(SUBSTITUTE(SUBSTITUTE(SUBSTITUTE(SUBSTITUTE(SUBSTITUTE(SUBSTITUTE(SUBSTITUTE(SUBSTITUTE(SUBSTITUTE(SUBSTITUTE(SUBSTITUTE(SUBSTITUTE(경동전체1!K510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0" s="30">
        <f>경동전체1!E510</f>
        <v>0</v>
      </c>
      <c r="D510" s="23"/>
      <c r="E510" s="23"/>
      <c r="F510" s="4">
        <f>경동전체1!J510</f>
        <v>0</v>
      </c>
      <c r="G510" s="23"/>
      <c r="H510" s="2">
        <f>경동전체1!H510</f>
        <v>0</v>
      </c>
      <c r="I510" s="2" t="str">
        <f>경동전체1!I510&amp;""</f>
        <v/>
      </c>
      <c r="J510" s="2" t="s">
        <v>36</v>
      </c>
      <c r="K510" s="2" t="str">
        <f>IF(LEFT(경동전체1!G510,1)="","따사룸",경동전체1!G510)</f>
        <v>따사룸</v>
      </c>
      <c r="L510" s="4" t="str">
        <f t="shared" si="28"/>
        <v>1</v>
      </c>
      <c r="M510" s="1" t="str">
        <f>IF(LEFT(경동전체1!D510,1)="2","비닐",IF(LEFT(경동전체1!O510,1)="박","박스","비닐"))</f>
        <v>비닐</v>
      </c>
      <c r="N510" s="25">
        <v>1</v>
      </c>
      <c r="O510" s="25">
        <v>1</v>
      </c>
      <c r="P510" s="25">
        <v>1</v>
      </c>
      <c r="Q510" s="25">
        <v>1</v>
      </c>
      <c r="R510" s="1" t="str">
        <f t="shared" si="29"/>
        <v>50</v>
      </c>
      <c r="S510" s="1">
        <f>경동전체1!B510</f>
        <v>0</v>
      </c>
      <c r="T510" s="1" t="str">
        <f t="shared" si="30"/>
        <v>100</v>
      </c>
      <c r="U510" s="5" t="str">
        <f t="shared" si="31"/>
        <v>0</v>
      </c>
      <c r="V510" s="26">
        <v>0</v>
      </c>
      <c r="W510" s="26">
        <v>0</v>
      </c>
      <c r="X510" s="2" t="str">
        <f>SUBSTITUTE(SUBSTITUTE(SUBSTITUTE(SUBSTITUTE(SUBSTITUTE(SUBSTITUTE(SUBSTITUTE(SUBSTITUTE(SUBSTITUTE(SUBSTITUTE(SUBSTITUTE(SUBSTITUTE(SUBSTITUTE(경동전체1!D510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1" spans="1:24" ht="20.25" customHeight="1" x14ac:dyDescent="0.3">
      <c r="A511" s="2">
        <f>경동전체1!A511</f>
        <v>0</v>
      </c>
      <c r="B511" s="13" t="str">
        <f>SUBSTITUTE(SUBSTITUTE(SUBSTITUTE(SUBSTITUTE(SUBSTITUTE(SUBSTITUTE(SUBSTITUTE(SUBSTITUTE(SUBSTITUTE(SUBSTITUTE(SUBSTITUTE(SUBSTITUTE(SUBSTITUTE(경동전체1!K511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1" s="30">
        <f>경동전체1!E511</f>
        <v>0</v>
      </c>
      <c r="D511" s="23"/>
      <c r="E511" s="23"/>
      <c r="F511" s="4">
        <f>경동전체1!J511</f>
        <v>0</v>
      </c>
      <c r="G511" s="23"/>
      <c r="H511" s="2">
        <f>경동전체1!H511</f>
        <v>0</v>
      </c>
      <c r="I511" s="2" t="str">
        <f>경동전체1!I511&amp;""</f>
        <v/>
      </c>
      <c r="J511" s="2" t="s">
        <v>36</v>
      </c>
      <c r="K511" s="2" t="str">
        <f>IF(LEFT(경동전체1!G511,1)="","따사룸",경동전체1!G511)</f>
        <v>따사룸</v>
      </c>
      <c r="L511" s="4" t="str">
        <f t="shared" si="28"/>
        <v>1</v>
      </c>
      <c r="M511" s="1" t="str">
        <f>IF(LEFT(경동전체1!D511,1)="2","비닐",IF(LEFT(경동전체1!O511,1)="박","박스","비닐"))</f>
        <v>비닐</v>
      </c>
      <c r="N511" s="25">
        <v>1</v>
      </c>
      <c r="O511" s="25">
        <v>1</v>
      </c>
      <c r="P511" s="25">
        <v>1</v>
      </c>
      <c r="Q511" s="25">
        <v>1</v>
      </c>
      <c r="R511" s="1" t="str">
        <f t="shared" si="29"/>
        <v>50</v>
      </c>
      <c r="S511" s="1">
        <f>경동전체1!B511</f>
        <v>0</v>
      </c>
      <c r="T511" s="1" t="str">
        <f t="shared" si="30"/>
        <v>100</v>
      </c>
      <c r="U511" s="5" t="str">
        <f t="shared" si="31"/>
        <v>0</v>
      </c>
      <c r="V511" s="26">
        <v>0</v>
      </c>
      <c r="W511" s="26">
        <v>0</v>
      </c>
      <c r="X511" s="2" t="str">
        <f>SUBSTITUTE(SUBSTITUTE(SUBSTITUTE(SUBSTITUTE(SUBSTITUTE(SUBSTITUTE(SUBSTITUTE(SUBSTITUTE(SUBSTITUTE(SUBSTITUTE(SUBSTITUTE(SUBSTITUTE(SUBSTITUTE(경동전체1!D511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2" spans="1:24" ht="20.25" customHeight="1" x14ac:dyDescent="0.3">
      <c r="A512" s="2">
        <f>경동전체1!A512</f>
        <v>0</v>
      </c>
      <c r="B512" s="13" t="str">
        <f>SUBSTITUTE(SUBSTITUTE(SUBSTITUTE(SUBSTITUTE(SUBSTITUTE(SUBSTITUTE(SUBSTITUTE(SUBSTITUTE(SUBSTITUTE(SUBSTITUTE(SUBSTITUTE(SUBSTITUTE(SUBSTITUTE(경동전체1!K512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2" s="30">
        <f>경동전체1!E512</f>
        <v>0</v>
      </c>
      <c r="D512" s="23"/>
      <c r="E512" s="23"/>
      <c r="F512" s="4">
        <f>경동전체1!J512</f>
        <v>0</v>
      </c>
      <c r="G512" s="23"/>
      <c r="H512" s="2">
        <f>경동전체1!H512</f>
        <v>0</v>
      </c>
      <c r="I512" s="2" t="str">
        <f>경동전체1!I512&amp;""</f>
        <v/>
      </c>
      <c r="J512" s="2" t="s">
        <v>36</v>
      </c>
      <c r="K512" s="2" t="str">
        <f>IF(LEFT(경동전체1!G512,1)="","따사룸",경동전체1!G512)</f>
        <v>따사룸</v>
      </c>
      <c r="L512" s="4" t="str">
        <f t="shared" si="28"/>
        <v>1</v>
      </c>
      <c r="M512" s="1" t="str">
        <f>IF(LEFT(경동전체1!D512,1)="2","비닐",IF(LEFT(경동전체1!O512,1)="박","박스","비닐"))</f>
        <v>비닐</v>
      </c>
      <c r="N512" s="25">
        <v>1</v>
      </c>
      <c r="O512" s="25">
        <v>1</v>
      </c>
      <c r="P512" s="25">
        <v>1</v>
      </c>
      <c r="Q512" s="25">
        <v>1</v>
      </c>
      <c r="R512" s="1" t="str">
        <f t="shared" si="29"/>
        <v>50</v>
      </c>
      <c r="S512" s="1">
        <f>경동전체1!B512</f>
        <v>0</v>
      </c>
      <c r="T512" s="1" t="str">
        <f t="shared" si="30"/>
        <v>100</v>
      </c>
      <c r="U512" s="5" t="str">
        <f t="shared" si="31"/>
        <v>0</v>
      </c>
      <c r="V512" s="26">
        <v>0</v>
      </c>
      <c r="W512" s="26">
        <v>0</v>
      </c>
      <c r="X512" s="2" t="str">
        <f>SUBSTITUTE(SUBSTITUTE(SUBSTITUTE(SUBSTITUTE(SUBSTITUTE(SUBSTITUTE(SUBSTITUTE(SUBSTITUTE(SUBSTITUTE(SUBSTITUTE(SUBSTITUTE(SUBSTITUTE(SUBSTITUTE(경동전체1!D512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3" spans="1:24" ht="20.25" customHeight="1" x14ac:dyDescent="0.3">
      <c r="A513" s="2">
        <f>경동전체1!A513</f>
        <v>0</v>
      </c>
      <c r="B513" s="13" t="str">
        <f>SUBSTITUTE(SUBSTITUTE(SUBSTITUTE(SUBSTITUTE(SUBSTITUTE(SUBSTITUTE(SUBSTITUTE(SUBSTITUTE(SUBSTITUTE(SUBSTITUTE(SUBSTITUTE(SUBSTITUTE(SUBSTITUTE(경동전체1!K513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3" s="30">
        <f>경동전체1!E513</f>
        <v>0</v>
      </c>
      <c r="D513" s="23"/>
      <c r="E513" s="23"/>
      <c r="F513" s="4">
        <f>경동전체1!J513</f>
        <v>0</v>
      </c>
      <c r="G513" s="23"/>
      <c r="H513" s="2">
        <f>경동전체1!H513</f>
        <v>0</v>
      </c>
      <c r="I513" s="2" t="str">
        <f>경동전체1!I513&amp;""</f>
        <v/>
      </c>
      <c r="J513" s="2" t="s">
        <v>36</v>
      </c>
      <c r="K513" s="2" t="str">
        <f>IF(LEFT(경동전체1!G513,1)="","따사룸",경동전체1!G513)</f>
        <v>따사룸</v>
      </c>
      <c r="L513" s="4" t="str">
        <f t="shared" si="28"/>
        <v>1</v>
      </c>
      <c r="M513" s="1" t="str">
        <f>IF(LEFT(경동전체1!D513,1)="2","비닐",IF(LEFT(경동전체1!O513,1)="박","박스","비닐"))</f>
        <v>비닐</v>
      </c>
      <c r="N513" s="25">
        <v>1</v>
      </c>
      <c r="O513" s="25">
        <v>1</v>
      </c>
      <c r="P513" s="25">
        <v>1</v>
      </c>
      <c r="Q513" s="25">
        <v>1</v>
      </c>
      <c r="R513" s="1" t="str">
        <f t="shared" si="29"/>
        <v>50</v>
      </c>
      <c r="S513" s="1">
        <f>경동전체1!B513</f>
        <v>0</v>
      </c>
      <c r="T513" s="1" t="str">
        <f t="shared" si="30"/>
        <v>100</v>
      </c>
      <c r="U513" s="5" t="str">
        <f t="shared" si="31"/>
        <v>0</v>
      </c>
      <c r="V513" s="26">
        <v>0</v>
      </c>
      <c r="W513" s="26">
        <v>0</v>
      </c>
      <c r="X513" s="2" t="str">
        <f>SUBSTITUTE(SUBSTITUTE(SUBSTITUTE(SUBSTITUTE(SUBSTITUTE(SUBSTITUTE(SUBSTITUTE(SUBSTITUTE(SUBSTITUTE(SUBSTITUTE(SUBSTITUTE(SUBSTITUTE(SUBSTITUTE(경동전체1!D513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4" spans="1:24" ht="20.25" customHeight="1" x14ac:dyDescent="0.3">
      <c r="A514" s="2">
        <f>경동전체1!A514</f>
        <v>0</v>
      </c>
      <c r="B514" s="13" t="str">
        <f>SUBSTITUTE(SUBSTITUTE(SUBSTITUTE(SUBSTITUTE(SUBSTITUTE(SUBSTITUTE(SUBSTITUTE(SUBSTITUTE(SUBSTITUTE(SUBSTITUTE(SUBSTITUTE(SUBSTITUTE(SUBSTITUTE(경동전체1!K514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4" s="30">
        <f>경동전체1!E514</f>
        <v>0</v>
      </c>
      <c r="D514" s="23"/>
      <c r="E514" s="23"/>
      <c r="F514" s="4">
        <f>경동전체1!J514</f>
        <v>0</v>
      </c>
      <c r="G514" s="23"/>
      <c r="H514" s="2">
        <f>경동전체1!H514</f>
        <v>0</v>
      </c>
      <c r="I514" s="2" t="str">
        <f>경동전체1!I514&amp;""</f>
        <v/>
      </c>
      <c r="J514" s="2" t="s">
        <v>36</v>
      </c>
      <c r="K514" s="2" t="str">
        <f>IF(LEFT(경동전체1!G514,1)="","따사룸",경동전체1!G514)</f>
        <v>따사룸</v>
      </c>
      <c r="L514" s="4" t="str">
        <f t="shared" si="28"/>
        <v>1</v>
      </c>
      <c r="M514" s="1" t="str">
        <f>IF(LEFT(경동전체1!D514,1)="2","비닐",IF(LEFT(경동전체1!O514,1)="박","박스","비닐"))</f>
        <v>비닐</v>
      </c>
      <c r="N514" s="25">
        <v>1</v>
      </c>
      <c r="O514" s="25">
        <v>1</v>
      </c>
      <c r="P514" s="25">
        <v>1</v>
      </c>
      <c r="Q514" s="25">
        <v>1</v>
      </c>
      <c r="R514" s="1" t="str">
        <f t="shared" si="29"/>
        <v>50</v>
      </c>
      <c r="S514" s="1">
        <f>경동전체1!B514</f>
        <v>0</v>
      </c>
      <c r="T514" s="1" t="str">
        <f t="shared" si="30"/>
        <v>100</v>
      </c>
      <c r="U514" s="5" t="str">
        <f t="shared" si="31"/>
        <v>0</v>
      </c>
      <c r="V514" s="26">
        <v>0</v>
      </c>
      <c r="W514" s="26">
        <v>0</v>
      </c>
      <c r="X514" s="2" t="str">
        <f>SUBSTITUTE(SUBSTITUTE(SUBSTITUTE(SUBSTITUTE(SUBSTITUTE(SUBSTITUTE(SUBSTITUTE(SUBSTITUTE(SUBSTITUTE(SUBSTITUTE(SUBSTITUTE(SUBSTITUTE(SUBSTITUTE(경동전체1!D514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5" spans="1:24" ht="20.25" customHeight="1" x14ac:dyDescent="0.3">
      <c r="A515" s="2">
        <f>경동전체1!A515</f>
        <v>0</v>
      </c>
      <c r="B515" s="13" t="str">
        <f>SUBSTITUTE(SUBSTITUTE(SUBSTITUTE(SUBSTITUTE(SUBSTITUTE(SUBSTITUTE(SUBSTITUTE(SUBSTITUTE(SUBSTITUTE(SUBSTITUTE(SUBSTITUTE(SUBSTITUTE(SUBSTITUTE(경동전체1!K515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5" s="30">
        <f>경동전체1!E515</f>
        <v>0</v>
      </c>
      <c r="D515" s="23"/>
      <c r="E515" s="23"/>
      <c r="F515" s="4">
        <f>경동전체1!J515</f>
        <v>0</v>
      </c>
      <c r="G515" s="23"/>
      <c r="H515" s="2">
        <f>경동전체1!H515</f>
        <v>0</v>
      </c>
      <c r="I515" s="2" t="str">
        <f>경동전체1!I515&amp;""</f>
        <v/>
      </c>
      <c r="J515" s="2" t="s">
        <v>36</v>
      </c>
      <c r="K515" s="2" t="str">
        <f>IF(LEFT(경동전체1!G515,1)="","따사룸",경동전체1!G515)</f>
        <v>따사룸</v>
      </c>
      <c r="L515" s="4" t="str">
        <f t="shared" ref="L515:L573" si="32">"1"</f>
        <v>1</v>
      </c>
      <c r="M515" s="1" t="str">
        <f>IF(LEFT(경동전체1!D515,1)="2","비닐",IF(LEFT(경동전체1!O515,1)="박","박스","비닐"))</f>
        <v>비닐</v>
      </c>
      <c r="N515" s="25">
        <v>1</v>
      </c>
      <c r="O515" s="25">
        <v>1</v>
      </c>
      <c r="P515" s="25">
        <v>1</v>
      </c>
      <c r="Q515" s="25">
        <v>1</v>
      </c>
      <c r="R515" s="1" t="str">
        <f t="shared" ref="R515:R573" si="33">"50"</f>
        <v>50</v>
      </c>
      <c r="S515" s="1">
        <f>경동전체1!B515</f>
        <v>0</v>
      </c>
      <c r="T515" s="1" t="str">
        <f t="shared" ref="T515:T573" si="34">"100"</f>
        <v>100</v>
      </c>
      <c r="U515" s="5" t="str">
        <f t="shared" ref="U515:U573" si="35">"0"</f>
        <v>0</v>
      </c>
      <c r="V515" s="26">
        <v>0</v>
      </c>
      <c r="W515" s="26">
        <v>0</v>
      </c>
      <c r="X515" s="2" t="str">
        <f>SUBSTITUTE(SUBSTITUTE(SUBSTITUTE(SUBSTITUTE(SUBSTITUTE(SUBSTITUTE(SUBSTITUTE(SUBSTITUTE(SUBSTITUTE(SUBSTITUTE(SUBSTITUTE(SUBSTITUTE(SUBSTITUTE(경동전체1!D515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6" spans="1:24" ht="20.25" customHeight="1" x14ac:dyDescent="0.3">
      <c r="A516" s="2">
        <f>경동전체1!A516</f>
        <v>0</v>
      </c>
      <c r="B516" s="13" t="str">
        <f>SUBSTITUTE(SUBSTITUTE(SUBSTITUTE(SUBSTITUTE(SUBSTITUTE(SUBSTITUTE(SUBSTITUTE(SUBSTITUTE(SUBSTITUTE(SUBSTITUTE(SUBSTITUTE(SUBSTITUTE(SUBSTITUTE(경동전체1!K516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6" s="30">
        <f>경동전체1!E516</f>
        <v>0</v>
      </c>
      <c r="D516" s="23"/>
      <c r="E516" s="23"/>
      <c r="F516" s="4">
        <f>경동전체1!J516</f>
        <v>0</v>
      </c>
      <c r="G516" s="23"/>
      <c r="H516" s="2">
        <f>경동전체1!H516</f>
        <v>0</v>
      </c>
      <c r="I516" s="2" t="str">
        <f>경동전체1!I516&amp;""</f>
        <v/>
      </c>
      <c r="J516" s="2" t="s">
        <v>36</v>
      </c>
      <c r="K516" s="2" t="str">
        <f>IF(LEFT(경동전체1!G516,1)="","따사룸",경동전체1!G516)</f>
        <v>따사룸</v>
      </c>
      <c r="L516" s="4" t="str">
        <f t="shared" si="32"/>
        <v>1</v>
      </c>
      <c r="M516" s="1" t="str">
        <f>IF(LEFT(경동전체1!D516,1)="2","비닐",IF(LEFT(경동전체1!O516,1)="박","박스","비닐"))</f>
        <v>비닐</v>
      </c>
      <c r="N516" s="25">
        <v>1</v>
      </c>
      <c r="O516" s="25">
        <v>1</v>
      </c>
      <c r="P516" s="25">
        <v>1</v>
      </c>
      <c r="Q516" s="25">
        <v>1</v>
      </c>
      <c r="R516" s="1" t="str">
        <f t="shared" si="33"/>
        <v>50</v>
      </c>
      <c r="S516" s="1">
        <f>경동전체1!B516</f>
        <v>0</v>
      </c>
      <c r="T516" s="1" t="str">
        <f t="shared" si="34"/>
        <v>100</v>
      </c>
      <c r="U516" s="5" t="str">
        <f t="shared" si="35"/>
        <v>0</v>
      </c>
      <c r="V516" s="26">
        <v>0</v>
      </c>
      <c r="W516" s="26">
        <v>0</v>
      </c>
      <c r="X516" s="2" t="str">
        <f>SUBSTITUTE(SUBSTITUTE(SUBSTITUTE(SUBSTITUTE(SUBSTITUTE(SUBSTITUTE(SUBSTITUTE(SUBSTITUTE(SUBSTITUTE(SUBSTITUTE(SUBSTITUTE(SUBSTITUTE(SUBSTITUTE(경동전체1!D516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7" spans="1:24" ht="20.25" customHeight="1" x14ac:dyDescent="0.3">
      <c r="A517" s="2">
        <f>경동전체1!A517</f>
        <v>0</v>
      </c>
      <c r="B517" s="13" t="str">
        <f>SUBSTITUTE(SUBSTITUTE(SUBSTITUTE(SUBSTITUTE(SUBSTITUTE(SUBSTITUTE(SUBSTITUTE(SUBSTITUTE(SUBSTITUTE(SUBSTITUTE(SUBSTITUTE(SUBSTITUTE(SUBSTITUTE(경동전체1!K517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7" s="30">
        <f>경동전체1!E517</f>
        <v>0</v>
      </c>
      <c r="D517" s="23"/>
      <c r="E517" s="23"/>
      <c r="F517" s="4">
        <f>경동전체1!J517</f>
        <v>0</v>
      </c>
      <c r="G517" s="23"/>
      <c r="H517" s="2">
        <f>경동전체1!H517</f>
        <v>0</v>
      </c>
      <c r="I517" s="2" t="str">
        <f>경동전체1!I517&amp;""</f>
        <v/>
      </c>
      <c r="J517" s="2" t="s">
        <v>36</v>
      </c>
      <c r="K517" s="2" t="str">
        <f>IF(LEFT(경동전체1!G517,1)="","따사룸",경동전체1!G517)</f>
        <v>따사룸</v>
      </c>
      <c r="L517" s="4" t="str">
        <f t="shared" si="32"/>
        <v>1</v>
      </c>
      <c r="M517" s="1" t="str">
        <f>IF(LEFT(경동전체1!D517,1)="2","비닐",IF(LEFT(경동전체1!O517,1)="박","박스","비닐"))</f>
        <v>비닐</v>
      </c>
      <c r="N517" s="25">
        <v>1</v>
      </c>
      <c r="O517" s="25">
        <v>1</v>
      </c>
      <c r="P517" s="25">
        <v>1</v>
      </c>
      <c r="Q517" s="25">
        <v>1</v>
      </c>
      <c r="R517" s="1" t="str">
        <f t="shared" si="33"/>
        <v>50</v>
      </c>
      <c r="S517" s="1">
        <f>경동전체1!B517</f>
        <v>0</v>
      </c>
      <c r="T517" s="1" t="str">
        <f t="shared" si="34"/>
        <v>100</v>
      </c>
      <c r="U517" s="5" t="str">
        <f t="shared" si="35"/>
        <v>0</v>
      </c>
      <c r="V517" s="26">
        <v>0</v>
      </c>
      <c r="W517" s="26">
        <v>0</v>
      </c>
      <c r="X517" s="2" t="str">
        <f>SUBSTITUTE(SUBSTITUTE(SUBSTITUTE(SUBSTITUTE(SUBSTITUTE(SUBSTITUTE(SUBSTITUTE(SUBSTITUTE(SUBSTITUTE(SUBSTITUTE(SUBSTITUTE(SUBSTITUTE(SUBSTITUTE(경동전체1!D517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8" spans="1:24" ht="20.25" customHeight="1" x14ac:dyDescent="0.3">
      <c r="A518" s="2">
        <f>경동전체1!A518</f>
        <v>0</v>
      </c>
      <c r="B518" s="13" t="str">
        <f>SUBSTITUTE(SUBSTITUTE(SUBSTITUTE(SUBSTITUTE(SUBSTITUTE(SUBSTITUTE(SUBSTITUTE(SUBSTITUTE(SUBSTITUTE(SUBSTITUTE(SUBSTITUTE(SUBSTITUTE(SUBSTITUTE(경동전체1!K518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8" s="30">
        <f>경동전체1!E518</f>
        <v>0</v>
      </c>
      <c r="D518" s="23"/>
      <c r="E518" s="23"/>
      <c r="F518" s="4">
        <f>경동전체1!J518</f>
        <v>0</v>
      </c>
      <c r="G518" s="23"/>
      <c r="H518" s="2">
        <f>경동전체1!H518</f>
        <v>0</v>
      </c>
      <c r="I518" s="2" t="str">
        <f>경동전체1!I518&amp;""</f>
        <v/>
      </c>
      <c r="J518" s="2" t="s">
        <v>36</v>
      </c>
      <c r="K518" s="2" t="str">
        <f>IF(LEFT(경동전체1!G518,1)="","따사룸",경동전체1!G518)</f>
        <v>따사룸</v>
      </c>
      <c r="L518" s="4" t="str">
        <f t="shared" si="32"/>
        <v>1</v>
      </c>
      <c r="M518" s="1" t="str">
        <f>IF(LEFT(경동전체1!D518,1)="2","비닐",IF(LEFT(경동전체1!O518,1)="박","박스","비닐"))</f>
        <v>비닐</v>
      </c>
      <c r="N518" s="25">
        <v>1</v>
      </c>
      <c r="O518" s="25">
        <v>1</v>
      </c>
      <c r="P518" s="25">
        <v>1</v>
      </c>
      <c r="Q518" s="25">
        <v>1</v>
      </c>
      <c r="R518" s="1" t="str">
        <f t="shared" si="33"/>
        <v>50</v>
      </c>
      <c r="S518" s="1">
        <f>경동전체1!B518</f>
        <v>0</v>
      </c>
      <c r="T518" s="1" t="str">
        <f t="shared" si="34"/>
        <v>100</v>
      </c>
      <c r="U518" s="5" t="str">
        <f t="shared" si="35"/>
        <v>0</v>
      </c>
      <c r="V518" s="26">
        <v>0</v>
      </c>
      <c r="W518" s="26">
        <v>0</v>
      </c>
      <c r="X518" s="2" t="str">
        <f>SUBSTITUTE(SUBSTITUTE(SUBSTITUTE(SUBSTITUTE(SUBSTITUTE(SUBSTITUTE(SUBSTITUTE(SUBSTITUTE(SUBSTITUTE(SUBSTITUTE(SUBSTITUTE(SUBSTITUTE(SUBSTITUTE(경동전체1!D518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9" spans="1:24" ht="20.25" customHeight="1" x14ac:dyDescent="0.3">
      <c r="A519" s="2">
        <f>경동전체1!A519</f>
        <v>0</v>
      </c>
      <c r="B519" s="13" t="str">
        <f>SUBSTITUTE(SUBSTITUTE(SUBSTITUTE(SUBSTITUTE(SUBSTITUTE(SUBSTITUTE(SUBSTITUTE(SUBSTITUTE(SUBSTITUTE(SUBSTITUTE(SUBSTITUTE(SUBSTITUTE(SUBSTITUTE(경동전체1!K519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9" s="30">
        <f>경동전체1!E519</f>
        <v>0</v>
      </c>
      <c r="D519" s="23"/>
      <c r="E519" s="23"/>
      <c r="F519" s="4">
        <f>경동전체1!J519</f>
        <v>0</v>
      </c>
      <c r="G519" s="23"/>
      <c r="H519" s="2">
        <f>경동전체1!H519</f>
        <v>0</v>
      </c>
      <c r="I519" s="2" t="str">
        <f>경동전체1!I519&amp;""</f>
        <v/>
      </c>
      <c r="J519" s="2" t="s">
        <v>36</v>
      </c>
      <c r="K519" s="2" t="str">
        <f>IF(LEFT(경동전체1!G519,1)="","따사룸",경동전체1!G519)</f>
        <v>따사룸</v>
      </c>
      <c r="L519" s="4" t="str">
        <f t="shared" si="32"/>
        <v>1</v>
      </c>
      <c r="M519" s="1" t="str">
        <f>IF(LEFT(경동전체1!D519,1)="2","비닐",IF(LEFT(경동전체1!O519,1)="박","박스","비닐"))</f>
        <v>비닐</v>
      </c>
      <c r="N519" s="25">
        <v>1</v>
      </c>
      <c r="O519" s="25">
        <v>1</v>
      </c>
      <c r="P519" s="25">
        <v>1</v>
      </c>
      <c r="Q519" s="25">
        <v>1</v>
      </c>
      <c r="R519" s="1" t="str">
        <f t="shared" si="33"/>
        <v>50</v>
      </c>
      <c r="S519" s="1">
        <f>경동전체1!B519</f>
        <v>0</v>
      </c>
      <c r="T519" s="1" t="str">
        <f t="shared" si="34"/>
        <v>100</v>
      </c>
      <c r="U519" s="5" t="str">
        <f t="shared" si="35"/>
        <v>0</v>
      </c>
      <c r="V519" s="26">
        <v>0</v>
      </c>
      <c r="W519" s="26">
        <v>0</v>
      </c>
      <c r="X519" s="2" t="str">
        <f>SUBSTITUTE(SUBSTITUTE(SUBSTITUTE(SUBSTITUTE(SUBSTITUTE(SUBSTITUTE(SUBSTITUTE(SUBSTITUTE(SUBSTITUTE(SUBSTITUTE(SUBSTITUTE(SUBSTITUTE(SUBSTITUTE(경동전체1!D519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0" spans="1:24" ht="20.25" customHeight="1" x14ac:dyDescent="0.3">
      <c r="A520" s="2">
        <f>경동전체1!A520</f>
        <v>0</v>
      </c>
      <c r="B520" s="13" t="str">
        <f>SUBSTITUTE(SUBSTITUTE(SUBSTITUTE(SUBSTITUTE(SUBSTITUTE(SUBSTITUTE(SUBSTITUTE(SUBSTITUTE(SUBSTITUTE(SUBSTITUTE(SUBSTITUTE(SUBSTITUTE(SUBSTITUTE(경동전체1!K520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0" s="30">
        <f>경동전체1!E520</f>
        <v>0</v>
      </c>
      <c r="D520" s="23"/>
      <c r="E520" s="23"/>
      <c r="F520" s="4">
        <f>경동전체1!J520</f>
        <v>0</v>
      </c>
      <c r="G520" s="23"/>
      <c r="H520" s="2">
        <f>경동전체1!H520</f>
        <v>0</v>
      </c>
      <c r="I520" s="2" t="str">
        <f>경동전체1!I520&amp;""</f>
        <v/>
      </c>
      <c r="J520" s="2" t="s">
        <v>36</v>
      </c>
      <c r="K520" s="2" t="str">
        <f>IF(LEFT(경동전체1!G520,1)="","따사룸",경동전체1!G520)</f>
        <v>따사룸</v>
      </c>
      <c r="L520" s="4" t="str">
        <f t="shared" si="32"/>
        <v>1</v>
      </c>
      <c r="M520" s="1" t="str">
        <f>IF(LEFT(경동전체1!D520,1)="2","비닐",IF(LEFT(경동전체1!O520,1)="박","박스","비닐"))</f>
        <v>비닐</v>
      </c>
      <c r="N520" s="25">
        <v>1</v>
      </c>
      <c r="O520" s="25">
        <v>1</v>
      </c>
      <c r="P520" s="25">
        <v>1</v>
      </c>
      <c r="Q520" s="25">
        <v>1</v>
      </c>
      <c r="R520" s="1" t="str">
        <f t="shared" si="33"/>
        <v>50</v>
      </c>
      <c r="S520" s="1">
        <f>경동전체1!B520</f>
        <v>0</v>
      </c>
      <c r="T520" s="1" t="str">
        <f t="shared" si="34"/>
        <v>100</v>
      </c>
      <c r="U520" s="5" t="str">
        <f t="shared" si="35"/>
        <v>0</v>
      </c>
      <c r="V520" s="26">
        <v>0</v>
      </c>
      <c r="W520" s="26">
        <v>0</v>
      </c>
      <c r="X520" s="2" t="str">
        <f>SUBSTITUTE(SUBSTITUTE(SUBSTITUTE(SUBSTITUTE(SUBSTITUTE(SUBSTITUTE(SUBSTITUTE(SUBSTITUTE(SUBSTITUTE(SUBSTITUTE(SUBSTITUTE(SUBSTITUTE(SUBSTITUTE(경동전체1!D520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1" spans="1:24" ht="20.25" customHeight="1" x14ac:dyDescent="0.3">
      <c r="A521" s="2">
        <f>경동전체1!A521</f>
        <v>0</v>
      </c>
      <c r="B521" s="13" t="str">
        <f>SUBSTITUTE(SUBSTITUTE(SUBSTITUTE(SUBSTITUTE(SUBSTITUTE(SUBSTITUTE(SUBSTITUTE(SUBSTITUTE(SUBSTITUTE(SUBSTITUTE(SUBSTITUTE(SUBSTITUTE(SUBSTITUTE(경동전체1!K521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1" s="30">
        <f>경동전체1!E521</f>
        <v>0</v>
      </c>
      <c r="D521" s="23"/>
      <c r="E521" s="23"/>
      <c r="F521" s="4">
        <f>경동전체1!J521</f>
        <v>0</v>
      </c>
      <c r="G521" s="23"/>
      <c r="H521" s="2">
        <f>경동전체1!H521</f>
        <v>0</v>
      </c>
      <c r="I521" s="2" t="str">
        <f>경동전체1!I521&amp;""</f>
        <v/>
      </c>
      <c r="J521" s="2" t="s">
        <v>36</v>
      </c>
      <c r="K521" s="2" t="str">
        <f>IF(LEFT(경동전체1!G521,1)="","따사룸",경동전체1!G521)</f>
        <v>따사룸</v>
      </c>
      <c r="L521" s="4" t="str">
        <f t="shared" si="32"/>
        <v>1</v>
      </c>
      <c r="M521" s="1" t="str">
        <f>IF(LEFT(경동전체1!D521,1)="2","비닐",IF(LEFT(경동전체1!O521,1)="박","박스","비닐"))</f>
        <v>비닐</v>
      </c>
      <c r="N521" s="25">
        <v>1</v>
      </c>
      <c r="O521" s="25">
        <v>1</v>
      </c>
      <c r="P521" s="25">
        <v>1</v>
      </c>
      <c r="Q521" s="25">
        <v>1</v>
      </c>
      <c r="R521" s="1" t="str">
        <f t="shared" si="33"/>
        <v>50</v>
      </c>
      <c r="S521" s="1">
        <f>경동전체1!B521</f>
        <v>0</v>
      </c>
      <c r="T521" s="1" t="str">
        <f t="shared" si="34"/>
        <v>100</v>
      </c>
      <c r="U521" s="5" t="str">
        <f t="shared" si="35"/>
        <v>0</v>
      </c>
      <c r="V521" s="26">
        <v>0</v>
      </c>
      <c r="W521" s="26">
        <v>0</v>
      </c>
      <c r="X521" s="2" t="str">
        <f>SUBSTITUTE(SUBSTITUTE(SUBSTITUTE(SUBSTITUTE(SUBSTITUTE(SUBSTITUTE(SUBSTITUTE(SUBSTITUTE(SUBSTITUTE(SUBSTITUTE(SUBSTITUTE(SUBSTITUTE(SUBSTITUTE(경동전체1!D521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2" spans="1:24" ht="20.25" customHeight="1" x14ac:dyDescent="0.3">
      <c r="A522" s="2">
        <f>경동전체1!A522</f>
        <v>0</v>
      </c>
      <c r="B522" s="13" t="str">
        <f>SUBSTITUTE(SUBSTITUTE(SUBSTITUTE(SUBSTITUTE(SUBSTITUTE(SUBSTITUTE(SUBSTITUTE(SUBSTITUTE(SUBSTITUTE(SUBSTITUTE(SUBSTITUTE(SUBSTITUTE(SUBSTITUTE(경동전체1!K522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2" s="30">
        <f>경동전체1!E522</f>
        <v>0</v>
      </c>
      <c r="D522" s="23"/>
      <c r="E522" s="23"/>
      <c r="F522" s="4">
        <f>경동전체1!J522</f>
        <v>0</v>
      </c>
      <c r="G522" s="23"/>
      <c r="H522" s="2">
        <f>경동전체1!H522</f>
        <v>0</v>
      </c>
      <c r="I522" s="2" t="str">
        <f>경동전체1!I522&amp;""</f>
        <v/>
      </c>
      <c r="J522" s="2" t="s">
        <v>36</v>
      </c>
      <c r="K522" s="2" t="str">
        <f>IF(LEFT(경동전체1!G522,1)="","따사룸",경동전체1!G522)</f>
        <v>따사룸</v>
      </c>
      <c r="L522" s="4" t="str">
        <f t="shared" si="32"/>
        <v>1</v>
      </c>
      <c r="M522" s="1" t="str">
        <f>IF(LEFT(경동전체1!D522,1)="2","비닐",IF(LEFT(경동전체1!O522,1)="박","박스","비닐"))</f>
        <v>비닐</v>
      </c>
      <c r="N522" s="25">
        <v>1</v>
      </c>
      <c r="O522" s="25">
        <v>1</v>
      </c>
      <c r="P522" s="25">
        <v>1</v>
      </c>
      <c r="Q522" s="25">
        <v>1</v>
      </c>
      <c r="R522" s="1" t="str">
        <f t="shared" si="33"/>
        <v>50</v>
      </c>
      <c r="S522" s="1">
        <f>경동전체1!B522</f>
        <v>0</v>
      </c>
      <c r="T522" s="1" t="str">
        <f t="shared" si="34"/>
        <v>100</v>
      </c>
      <c r="U522" s="5" t="str">
        <f t="shared" si="35"/>
        <v>0</v>
      </c>
      <c r="V522" s="26">
        <v>0</v>
      </c>
      <c r="W522" s="26">
        <v>0</v>
      </c>
      <c r="X522" s="2" t="str">
        <f>SUBSTITUTE(SUBSTITUTE(SUBSTITUTE(SUBSTITUTE(SUBSTITUTE(SUBSTITUTE(SUBSTITUTE(SUBSTITUTE(SUBSTITUTE(SUBSTITUTE(SUBSTITUTE(SUBSTITUTE(SUBSTITUTE(경동전체1!D522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3" spans="1:24" ht="20.25" customHeight="1" x14ac:dyDescent="0.3">
      <c r="A523" s="2">
        <f>경동전체1!A523</f>
        <v>0</v>
      </c>
      <c r="B523" s="13" t="str">
        <f>SUBSTITUTE(SUBSTITUTE(SUBSTITUTE(SUBSTITUTE(SUBSTITUTE(SUBSTITUTE(SUBSTITUTE(SUBSTITUTE(SUBSTITUTE(SUBSTITUTE(SUBSTITUTE(SUBSTITUTE(SUBSTITUTE(경동전체1!K523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3" s="30">
        <f>경동전체1!E523</f>
        <v>0</v>
      </c>
      <c r="D523" s="23"/>
      <c r="E523" s="23"/>
      <c r="F523" s="4">
        <f>경동전체1!J523</f>
        <v>0</v>
      </c>
      <c r="G523" s="23"/>
      <c r="H523" s="2">
        <f>경동전체1!H523</f>
        <v>0</v>
      </c>
      <c r="I523" s="2" t="str">
        <f>경동전체1!I523&amp;""</f>
        <v/>
      </c>
      <c r="J523" s="2" t="s">
        <v>36</v>
      </c>
      <c r="K523" s="2" t="str">
        <f>IF(LEFT(경동전체1!G523,1)="","따사룸",경동전체1!G523)</f>
        <v>따사룸</v>
      </c>
      <c r="L523" s="4" t="str">
        <f t="shared" si="32"/>
        <v>1</v>
      </c>
      <c r="M523" s="1" t="str">
        <f>IF(LEFT(경동전체1!D523,1)="2","비닐",IF(LEFT(경동전체1!O523,1)="박","박스","비닐"))</f>
        <v>비닐</v>
      </c>
      <c r="N523" s="25">
        <v>1</v>
      </c>
      <c r="O523" s="25">
        <v>1</v>
      </c>
      <c r="P523" s="25">
        <v>1</v>
      </c>
      <c r="Q523" s="25">
        <v>1</v>
      </c>
      <c r="R523" s="1" t="str">
        <f t="shared" si="33"/>
        <v>50</v>
      </c>
      <c r="S523" s="1">
        <f>경동전체1!B523</f>
        <v>0</v>
      </c>
      <c r="T523" s="1" t="str">
        <f t="shared" si="34"/>
        <v>100</v>
      </c>
      <c r="U523" s="5" t="str">
        <f t="shared" si="35"/>
        <v>0</v>
      </c>
      <c r="V523" s="26">
        <v>0</v>
      </c>
      <c r="W523" s="26">
        <v>0</v>
      </c>
      <c r="X523" s="2" t="str">
        <f>SUBSTITUTE(SUBSTITUTE(SUBSTITUTE(SUBSTITUTE(SUBSTITUTE(SUBSTITUTE(SUBSTITUTE(SUBSTITUTE(SUBSTITUTE(SUBSTITUTE(SUBSTITUTE(SUBSTITUTE(SUBSTITUTE(경동전체1!D523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4" spans="1:24" ht="20.25" customHeight="1" x14ac:dyDescent="0.3">
      <c r="A524" s="2">
        <f>경동전체1!A524</f>
        <v>0</v>
      </c>
      <c r="B524" s="13" t="str">
        <f>SUBSTITUTE(SUBSTITUTE(SUBSTITUTE(SUBSTITUTE(SUBSTITUTE(SUBSTITUTE(SUBSTITUTE(SUBSTITUTE(SUBSTITUTE(SUBSTITUTE(SUBSTITUTE(SUBSTITUTE(SUBSTITUTE(경동전체1!K524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4" s="30">
        <f>경동전체1!E524</f>
        <v>0</v>
      </c>
      <c r="D524" s="23"/>
      <c r="E524" s="23"/>
      <c r="F524" s="4">
        <f>경동전체1!J524</f>
        <v>0</v>
      </c>
      <c r="G524" s="23"/>
      <c r="H524" s="2">
        <f>경동전체1!H524</f>
        <v>0</v>
      </c>
      <c r="I524" s="2" t="str">
        <f>경동전체1!I524&amp;""</f>
        <v/>
      </c>
      <c r="J524" s="2" t="s">
        <v>36</v>
      </c>
      <c r="K524" s="2" t="str">
        <f>IF(LEFT(경동전체1!G524,1)="","따사룸",경동전체1!G524)</f>
        <v>따사룸</v>
      </c>
      <c r="L524" s="4" t="str">
        <f t="shared" si="32"/>
        <v>1</v>
      </c>
      <c r="M524" s="1" t="str">
        <f>IF(LEFT(경동전체1!D524,1)="2","비닐",IF(LEFT(경동전체1!O524,1)="박","박스","비닐"))</f>
        <v>비닐</v>
      </c>
      <c r="N524" s="25">
        <v>1</v>
      </c>
      <c r="O524" s="25">
        <v>1</v>
      </c>
      <c r="P524" s="25">
        <v>1</v>
      </c>
      <c r="Q524" s="25">
        <v>1</v>
      </c>
      <c r="R524" s="1" t="str">
        <f t="shared" si="33"/>
        <v>50</v>
      </c>
      <c r="S524" s="1">
        <f>경동전체1!B524</f>
        <v>0</v>
      </c>
      <c r="T524" s="1" t="str">
        <f t="shared" si="34"/>
        <v>100</v>
      </c>
      <c r="U524" s="5" t="str">
        <f t="shared" si="35"/>
        <v>0</v>
      </c>
      <c r="V524" s="26">
        <v>0</v>
      </c>
      <c r="W524" s="26">
        <v>0</v>
      </c>
      <c r="X524" s="2" t="str">
        <f>SUBSTITUTE(SUBSTITUTE(SUBSTITUTE(SUBSTITUTE(SUBSTITUTE(SUBSTITUTE(SUBSTITUTE(SUBSTITUTE(SUBSTITUTE(SUBSTITUTE(SUBSTITUTE(SUBSTITUTE(SUBSTITUTE(경동전체1!D524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5" spans="1:24" ht="20.25" customHeight="1" x14ac:dyDescent="0.3">
      <c r="A525" s="2">
        <f>경동전체1!A525</f>
        <v>0</v>
      </c>
      <c r="B525" s="13" t="str">
        <f>SUBSTITUTE(SUBSTITUTE(SUBSTITUTE(SUBSTITUTE(SUBSTITUTE(SUBSTITUTE(SUBSTITUTE(SUBSTITUTE(SUBSTITUTE(SUBSTITUTE(SUBSTITUTE(SUBSTITUTE(SUBSTITUTE(경동전체1!K525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5" s="30">
        <f>경동전체1!E525</f>
        <v>0</v>
      </c>
      <c r="D525" s="23"/>
      <c r="E525" s="23"/>
      <c r="F525" s="4">
        <f>경동전체1!J525</f>
        <v>0</v>
      </c>
      <c r="G525" s="23"/>
      <c r="H525" s="2">
        <f>경동전체1!H525</f>
        <v>0</v>
      </c>
      <c r="I525" s="2" t="str">
        <f>경동전체1!I525&amp;""</f>
        <v/>
      </c>
      <c r="J525" s="2" t="s">
        <v>36</v>
      </c>
      <c r="K525" s="2" t="str">
        <f>IF(LEFT(경동전체1!G525,1)="","따사룸",경동전체1!G525)</f>
        <v>따사룸</v>
      </c>
      <c r="L525" s="4" t="str">
        <f t="shared" si="32"/>
        <v>1</v>
      </c>
      <c r="M525" s="1" t="str">
        <f>IF(LEFT(경동전체1!D525,1)="2","비닐",IF(LEFT(경동전체1!O525,1)="박","박스","비닐"))</f>
        <v>비닐</v>
      </c>
      <c r="N525" s="25">
        <v>1</v>
      </c>
      <c r="O525" s="25">
        <v>1</v>
      </c>
      <c r="P525" s="25">
        <v>1</v>
      </c>
      <c r="Q525" s="25">
        <v>1</v>
      </c>
      <c r="R525" s="1" t="str">
        <f t="shared" si="33"/>
        <v>50</v>
      </c>
      <c r="S525" s="1">
        <f>경동전체1!B525</f>
        <v>0</v>
      </c>
      <c r="T525" s="1" t="str">
        <f t="shared" si="34"/>
        <v>100</v>
      </c>
      <c r="U525" s="5" t="str">
        <f t="shared" si="35"/>
        <v>0</v>
      </c>
      <c r="V525" s="26">
        <v>0</v>
      </c>
      <c r="W525" s="26">
        <v>0</v>
      </c>
      <c r="X525" s="2" t="str">
        <f>SUBSTITUTE(SUBSTITUTE(SUBSTITUTE(SUBSTITUTE(SUBSTITUTE(SUBSTITUTE(SUBSTITUTE(SUBSTITUTE(SUBSTITUTE(SUBSTITUTE(SUBSTITUTE(SUBSTITUTE(SUBSTITUTE(경동전체1!D525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6" spans="1:24" ht="20.25" customHeight="1" x14ac:dyDescent="0.3">
      <c r="A526" s="2">
        <f>경동전체1!A526</f>
        <v>0</v>
      </c>
      <c r="B526" s="13" t="str">
        <f>SUBSTITUTE(SUBSTITUTE(SUBSTITUTE(SUBSTITUTE(SUBSTITUTE(SUBSTITUTE(SUBSTITUTE(SUBSTITUTE(SUBSTITUTE(SUBSTITUTE(SUBSTITUTE(SUBSTITUTE(SUBSTITUTE(경동전체1!K526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6" s="30">
        <f>경동전체1!E526</f>
        <v>0</v>
      </c>
      <c r="D526" s="23"/>
      <c r="E526" s="23"/>
      <c r="F526" s="4">
        <f>경동전체1!J526</f>
        <v>0</v>
      </c>
      <c r="G526" s="23"/>
      <c r="H526" s="2">
        <f>경동전체1!H526</f>
        <v>0</v>
      </c>
      <c r="I526" s="2" t="str">
        <f>경동전체1!I526&amp;""</f>
        <v/>
      </c>
      <c r="J526" s="2" t="s">
        <v>36</v>
      </c>
      <c r="K526" s="2" t="str">
        <f>IF(LEFT(경동전체1!G526,1)="","따사룸",경동전체1!G526)</f>
        <v>따사룸</v>
      </c>
      <c r="L526" s="4" t="str">
        <f t="shared" si="32"/>
        <v>1</v>
      </c>
      <c r="M526" s="1" t="str">
        <f>IF(LEFT(경동전체1!D526,1)="2","비닐",IF(LEFT(경동전체1!O526,1)="박","박스","비닐"))</f>
        <v>비닐</v>
      </c>
      <c r="N526" s="25">
        <v>1</v>
      </c>
      <c r="O526" s="25">
        <v>1</v>
      </c>
      <c r="P526" s="25">
        <v>1</v>
      </c>
      <c r="Q526" s="25">
        <v>1</v>
      </c>
      <c r="R526" s="1" t="str">
        <f t="shared" si="33"/>
        <v>50</v>
      </c>
      <c r="S526" s="1">
        <f>경동전체1!B526</f>
        <v>0</v>
      </c>
      <c r="T526" s="1" t="str">
        <f t="shared" si="34"/>
        <v>100</v>
      </c>
      <c r="U526" s="5" t="str">
        <f t="shared" si="35"/>
        <v>0</v>
      </c>
      <c r="V526" s="26">
        <v>0</v>
      </c>
      <c r="W526" s="26">
        <v>0</v>
      </c>
      <c r="X526" s="2" t="str">
        <f>SUBSTITUTE(SUBSTITUTE(SUBSTITUTE(SUBSTITUTE(SUBSTITUTE(SUBSTITUTE(SUBSTITUTE(SUBSTITUTE(SUBSTITUTE(SUBSTITUTE(SUBSTITUTE(SUBSTITUTE(SUBSTITUTE(경동전체1!D526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7" spans="1:24" ht="20.25" customHeight="1" x14ac:dyDescent="0.3">
      <c r="A527" s="2">
        <f>경동전체1!A527</f>
        <v>0</v>
      </c>
      <c r="B527" s="13" t="str">
        <f>SUBSTITUTE(SUBSTITUTE(SUBSTITUTE(SUBSTITUTE(SUBSTITUTE(SUBSTITUTE(SUBSTITUTE(SUBSTITUTE(SUBSTITUTE(SUBSTITUTE(SUBSTITUTE(SUBSTITUTE(SUBSTITUTE(경동전체1!K527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7" s="30">
        <f>경동전체1!E527</f>
        <v>0</v>
      </c>
      <c r="D527" s="23"/>
      <c r="E527" s="23"/>
      <c r="F527" s="4">
        <f>경동전체1!J527</f>
        <v>0</v>
      </c>
      <c r="G527" s="23"/>
      <c r="H527" s="2">
        <f>경동전체1!H527</f>
        <v>0</v>
      </c>
      <c r="I527" s="2" t="str">
        <f>경동전체1!I527&amp;""</f>
        <v/>
      </c>
      <c r="J527" s="2" t="s">
        <v>36</v>
      </c>
      <c r="K527" s="2" t="str">
        <f>IF(LEFT(경동전체1!G527,1)="","따사룸",경동전체1!G527)</f>
        <v>따사룸</v>
      </c>
      <c r="L527" s="4" t="str">
        <f t="shared" si="32"/>
        <v>1</v>
      </c>
      <c r="M527" s="1" t="str">
        <f>IF(LEFT(경동전체1!D527,1)="2","비닐",IF(LEFT(경동전체1!O527,1)="박","박스","비닐"))</f>
        <v>비닐</v>
      </c>
      <c r="N527" s="25">
        <v>1</v>
      </c>
      <c r="O527" s="25">
        <v>1</v>
      </c>
      <c r="P527" s="25">
        <v>1</v>
      </c>
      <c r="Q527" s="25">
        <v>1</v>
      </c>
      <c r="R527" s="1" t="str">
        <f t="shared" si="33"/>
        <v>50</v>
      </c>
      <c r="S527" s="1">
        <f>경동전체1!B527</f>
        <v>0</v>
      </c>
      <c r="T527" s="1" t="str">
        <f t="shared" si="34"/>
        <v>100</v>
      </c>
      <c r="U527" s="5" t="str">
        <f t="shared" si="35"/>
        <v>0</v>
      </c>
      <c r="V527" s="26">
        <v>0</v>
      </c>
      <c r="W527" s="26">
        <v>0</v>
      </c>
      <c r="X527" s="2" t="str">
        <f>SUBSTITUTE(SUBSTITUTE(SUBSTITUTE(SUBSTITUTE(SUBSTITUTE(SUBSTITUTE(SUBSTITUTE(SUBSTITUTE(SUBSTITUTE(SUBSTITUTE(SUBSTITUTE(SUBSTITUTE(SUBSTITUTE(경동전체1!D527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8" spans="1:24" ht="20.25" customHeight="1" x14ac:dyDescent="0.3">
      <c r="A528" s="2">
        <f>경동전체1!A528</f>
        <v>0</v>
      </c>
      <c r="B528" s="13" t="str">
        <f>SUBSTITUTE(SUBSTITUTE(SUBSTITUTE(SUBSTITUTE(SUBSTITUTE(SUBSTITUTE(SUBSTITUTE(SUBSTITUTE(SUBSTITUTE(SUBSTITUTE(SUBSTITUTE(SUBSTITUTE(SUBSTITUTE(경동전체1!K528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8" s="30">
        <f>경동전체1!E528</f>
        <v>0</v>
      </c>
      <c r="D528" s="23"/>
      <c r="E528" s="23"/>
      <c r="F528" s="4">
        <f>경동전체1!J528</f>
        <v>0</v>
      </c>
      <c r="G528" s="23"/>
      <c r="H528" s="2">
        <f>경동전체1!H528</f>
        <v>0</v>
      </c>
      <c r="I528" s="2" t="str">
        <f>경동전체1!I528&amp;""</f>
        <v/>
      </c>
      <c r="J528" s="2" t="s">
        <v>36</v>
      </c>
      <c r="K528" s="2" t="str">
        <f>IF(LEFT(경동전체1!G528,1)="","따사룸",경동전체1!G528)</f>
        <v>따사룸</v>
      </c>
      <c r="L528" s="4" t="str">
        <f t="shared" si="32"/>
        <v>1</v>
      </c>
      <c r="M528" s="1" t="str">
        <f>IF(LEFT(경동전체1!D528,1)="2","비닐",IF(LEFT(경동전체1!O528,1)="박","박스","비닐"))</f>
        <v>비닐</v>
      </c>
      <c r="N528" s="25">
        <v>1</v>
      </c>
      <c r="O528" s="25">
        <v>1</v>
      </c>
      <c r="P528" s="25">
        <v>1</v>
      </c>
      <c r="Q528" s="25">
        <v>1</v>
      </c>
      <c r="R528" s="1" t="str">
        <f t="shared" si="33"/>
        <v>50</v>
      </c>
      <c r="S528" s="1">
        <f>경동전체1!B528</f>
        <v>0</v>
      </c>
      <c r="T528" s="1" t="str">
        <f t="shared" si="34"/>
        <v>100</v>
      </c>
      <c r="U528" s="5" t="str">
        <f t="shared" si="35"/>
        <v>0</v>
      </c>
      <c r="V528" s="26">
        <v>0</v>
      </c>
      <c r="W528" s="26">
        <v>0</v>
      </c>
      <c r="X528" s="2" t="str">
        <f>SUBSTITUTE(SUBSTITUTE(SUBSTITUTE(SUBSTITUTE(SUBSTITUTE(SUBSTITUTE(SUBSTITUTE(SUBSTITUTE(SUBSTITUTE(SUBSTITUTE(SUBSTITUTE(SUBSTITUTE(SUBSTITUTE(경동전체1!D528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9" spans="1:24" ht="20.25" customHeight="1" x14ac:dyDescent="0.3">
      <c r="A529" s="2">
        <f>경동전체1!A529</f>
        <v>0</v>
      </c>
      <c r="B529" s="13" t="str">
        <f>SUBSTITUTE(SUBSTITUTE(SUBSTITUTE(SUBSTITUTE(SUBSTITUTE(SUBSTITUTE(SUBSTITUTE(SUBSTITUTE(SUBSTITUTE(SUBSTITUTE(SUBSTITUTE(SUBSTITUTE(SUBSTITUTE(경동전체1!K529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9" s="30">
        <f>경동전체1!E529</f>
        <v>0</v>
      </c>
      <c r="D529" s="23"/>
      <c r="E529" s="23"/>
      <c r="F529" s="4">
        <f>경동전체1!J529</f>
        <v>0</v>
      </c>
      <c r="G529" s="23"/>
      <c r="H529" s="2">
        <f>경동전체1!H529</f>
        <v>0</v>
      </c>
      <c r="I529" s="2" t="str">
        <f>경동전체1!I529&amp;""</f>
        <v/>
      </c>
      <c r="J529" s="2" t="s">
        <v>36</v>
      </c>
      <c r="K529" s="2" t="str">
        <f>IF(LEFT(경동전체1!G529,1)="","따사룸",경동전체1!G529)</f>
        <v>따사룸</v>
      </c>
      <c r="L529" s="4" t="str">
        <f t="shared" si="32"/>
        <v>1</v>
      </c>
      <c r="M529" s="1" t="str">
        <f>IF(LEFT(경동전체1!D529,1)="2","비닐",IF(LEFT(경동전체1!O529,1)="박","박스","비닐"))</f>
        <v>비닐</v>
      </c>
      <c r="N529" s="25">
        <v>1</v>
      </c>
      <c r="O529" s="25">
        <v>1</v>
      </c>
      <c r="P529" s="25">
        <v>1</v>
      </c>
      <c r="Q529" s="25">
        <v>1</v>
      </c>
      <c r="R529" s="1" t="str">
        <f t="shared" si="33"/>
        <v>50</v>
      </c>
      <c r="S529" s="1">
        <f>경동전체1!B529</f>
        <v>0</v>
      </c>
      <c r="T529" s="1" t="str">
        <f t="shared" si="34"/>
        <v>100</v>
      </c>
      <c r="U529" s="5" t="str">
        <f t="shared" si="35"/>
        <v>0</v>
      </c>
      <c r="V529" s="26">
        <v>0</v>
      </c>
      <c r="W529" s="26">
        <v>0</v>
      </c>
      <c r="X529" s="2" t="str">
        <f>SUBSTITUTE(SUBSTITUTE(SUBSTITUTE(SUBSTITUTE(SUBSTITUTE(SUBSTITUTE(SUBSTITUTE(SUBSTITUTE(SUBSTITUTE(SUBSTITUTE(SUBSTITUTE(SUBSTITUTE(SUBSTITUTE(경동전체1!D529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0" spans="1:24" ht="20.25" customHeight="1" x14ac:dyDescent="0.3">
      <c r="A530" s="2">
        <f>경동전체1!A530</f>
        <v>0</v>
      </c>
      <c r="B530" s="13" t="str">
        <f>SUBSTITUTE(SUBSTITUTE(SUBSTITUTE(SUBSTITUTE(SUBSTITUTE(SUBSTITUTE(SUBSTITUTE(SUBSTITUTE(SUBSTITUTE(SUBSTITUTE(SUBSTITUTE(SUBSTITUTE(SUBSTITUTE(경동전체1!K530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0" s="30">
        <f>경동전체1!E530</f>
        <v>0</v>
      </c>
      <c r="D530" s="23"/>
      <c r="E530" s="23"/>
      <c r="F530" s="4">
        <f>경동전체1!J530</f>
        <v>0</v>
      </c>
      <c r="G530" s="23"/>
      <c r="H530" s="2">
        <f>경동전체1!H530</f>
        <v>0</v>
      </c>
      <c r="I530" s="2" t="str">
        <f>경동전체1!I530&amp;""</f>
        <v/>
      </c>
      <c r="J530" s="2" t="s">
        <v>36</v>
      </c>
      <c r="K530" s="2" t="str">
        <f>IF(LEFT(경동전체1!G530,1)="","따사룸",경동전체1!G530)</f>
        <v>따사룸</v>
      </c>
      <c r="L530" s="4" t="str">
        <f t="shared" si="32"/>
        <v>1</v>
      </c>
      <c r="M530" s="1" t="str">
        <f>IF(LEFT(경동전체1!D530,1)="2","비닐",IF(LEFT(경동전체1!O530,1)="박","박스","비닐"))</f>
        <v>비닐</v>
      </c>
      <c r="N530" s="25">
        <v>1</v>
      </c>
      <c r="O530" s="25">
        <v>1</v>
      </c>
      <c r="P530" s="25">
        <v>1</v>
      </c>
      <c r="Q530" s="25">
        <v>1</v>
      </c>
      <c r="R530" s="1" t="str">
        <f t="shared" si="33"/>
        <v>50</v>
      </c>
      <c r="S530" s="1">
        <f>경동전체1!B530</f>
        <v>0</v>
      </c>
      <c r="T530" s="1" t="str">
        <f t="shared" si="34"/>
        <v>100</v>
      </c>
      <c r="U530" s="5" t="str">
        <f t="shared" si="35"/>
        <v>0</v>
      </c>
      <c r="V530" s="26">
        <v>0</v>
      </c>
      <c r="W530" s="26">
        <v>0</v>
      </c>
      <c r="X530" s="2" t="str">
        <f>SUBSTITUTE(SUBSTITUTE(SUBSTITUTE(SUBSTITUTE(SUBSTITUTE(SUBSTITUTE(SUBSTITUTE(SUBSTITUTE(SUBSTITUTE(SUBSTITUTE(SUBSTITUTE(SUBSTITUTE(SUBSTITUTE(경동전체1!D530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1" spans="1:24" ht="20.25" customHeight="1" x14ac:dyDescent="0.3">
      <c r="A531" s="2">
        <f>경동전체1!A531</f>
        <v>0</v>
      </c>
      <c r="B531" s="13" t="str">
        <f>SUBSTITUTE(SUBSTITUTE(SUBSTITUTE(SUBSTITUTE(SUBSTITUTE(SUBSTITUTE(SUBSTITUTE(SUBSTITUTE(SUBSTITUTE(SUBSTITUTE(SUBSTITUTE(SUBSTITUTE(SUBSTITUTE(경동전체1!K531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1" s="30">
        <f>경동전체1!E531</f>
        <v>0</v>
      </c>
      <c r="D531" s="23"/>
      <c r="E531" s="23"/>
      <c r="F531" s="4">
        <f>경동전체1!J531</f>
        <v>0</v>
      </c>
      <c r="G531" s="23"/>
      <c r="H531" s="2">
        <f>경동전체1!H531</f>
        <v>0</v>
      </c>
      <c r="I531" s="2" t="str">
        <f>경동전체1!I531&amp;""</f>
        <v/>
      </c>
      <c r="J531" s="2" t="s">
        <v>36</v>
      </c>
      <c r="K531" s="2" t="str">
        <f>IF(LEFT(경동전체1!G531,1)="","따사룸",경동전체1!G531)</f>
        <v>따사룸</v>
      </c>
      <c r="L531" s="4" t="str">
        <f t="shared" si="32"/>
        <v>1</v>
      </c>
      <c r="M531" s="1" t="str">
        <f>IF(LEFT(경동전체1!D531,1)="2","비닐",IF(LEFT(경동전체1!O531,1)="박","박스","비닐"))</f>
        <v>비닐</v>
      </c>
      <c r="N531" s="25">
        <v>1</v>
      </c>
      <c r="O531" s="25">
        <v>1</v>
      </c>
      <c r="P531" s="25">
        <v>1</v>
      </c>
      <c r="Q531" s="25">
        <v>1</v>
      </c>
      <c r="R531" s="1" t="str">
        <f t="shared" si="33"/>
        <v>50</v>
      </c>
      <c r="S531" s="1">
        <f>경동전체1!B531</f>
        <v>0</v>
      </c>
      <c r="T531" s="1" t="str">
        <f t="shared" si="34"/>
        <v>100</v>
      </c>
      <c r="U531" s="5" t="str">
        <f t="shared" si="35"/>
        <v>0</v>
      </c>
      <c r="V531" s="26">
        <v>0</v>
      </c>
      <c r="W531" s="26">
        <v>0</v>
      </c>
      <c r="X531" s="2" t="str">
        <f>SUBSTITUTE(SUBSTITUTE(SUBSTITUTE(SUBSTITUTE(SUBSTITUTE(SUBSTITUTE(SUBSTITUTE(SUBSTITUTE(SUBSTITUTE(SUBSTITUTE(SUBSTITUTE(SUBSTITUTE(SUBSTITUTE(경동전체1!D531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2" spans="1:24" ht="20.25" customHeight="1" x14ac:dyDescent="0.3">
      <c r="A532" s="2">
        <f>경동전체1!A532</f>
        <v>0</v>
      </c>
      <c r="B532" s="13" t="str">
        <f>SUBSTITUTE(SUBSTITUTE(SUBSTITUTE(SUBSTITUTE(SUBSTITUTE(SUBSTITUTE(SUBSTITUTE(SUBSTITUTE(SUBSTITUTE(SUBSTITUTE(SUBSTITUTE(SUBSTITUTE(SUBSTITUTE(경동전체1!K532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2" s="30">
        <f>경동전체1!E532</f>
        <v>0</v>
      </c>
      <c r="D532" s="23"/>
      <c r="E532" s="23"/>
      <c r="F532" s="4">
        <f>경동전체1!J532</f>
        <v>0</v>
      </c>
      <c r="G532" s="23"/>
      <c r="H532" s="2">
        <f>경동전체1!H532</f>
        <v>0</v>
      </c>
      <c r="I532" s="2" t="str">
        <f>경동전체1!I532&amp;""</f>
        <v/>
      </c>
      <c r="J532" s="2" t="s">
        <v>36</v>
      </c>
      <c r="K532" s="2" t="str">
        <f>IF(LEFT(경동전체1!G532,1)="","따사룸",경동전체1!G532)</f>
        <v>따사룸</v>
      </c>
      <c r="L532" s="4" t="str">
        <f t="shared" si="32"/>
        <v>1</v>
      </c>
      <c r="M532" s="1" t="str">
        <f>IF(LEFT(경동전체1!D532,1)="2","비닐",IF(LEFT(경동전체1!O532,1)="박","박스","비닐"))</f>
        <v>비닐</v>
      </c>
      <c r="N532" s="25">
        <v>1</v>
      </c>
      <c r="O532" s="25">
        <v>1</v>
      </c>
      <c r="P532" s="25">
        <v>1</v>
      </c>
      <c r="Q532" s="25">
        <v>1</v>
      </c>
      <c r="R532" s="1" t="str">
        <f t="shared" si="33"/>
        <v>50</v>
      </c>
      <c r="S532" s="1">
        <f>경동전체1!B532</f>
        <v>0</v>
      </c>
      <c r="T532" s="1" t="str">
        <f t="shared" si="34"/>
        <v>100</v>
      </c>
      <c r="U532" s="5" t="str">
        <f t="shared" si="35"/>
        <v>0</v>
      </c>
      <c r="V532" s="26">
        <v>0</v>
      </c>
      <c r="W532" s="26">
        <v>0</v>
      </c>
      <c r="X532" s="2" t="str">
        <f>SUBSTITUTE(SUBSTITUTE(SUBSTITUTE(SUBSTITUTE(SUBSTITUTE(SUBSTITUTE(SUBSTITUTE(SUBSTITUTE(SUBSTITUTE(SUBSTITUTE(SUBSTITUTE(SUBSTITUTE(SUBSTITUTE(경동전체1!D532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3" spans="1:24" ht="20.25" customHeight="1" x14ac:dyDescent="0.3">
      <c r="A533" s="2">
        <f>경동전체1!A533</f>
        <v>0</v>
      </c>
      <c r="B533" s="13" t="str">
        <f>SUBSTITUTE(SUBSTITUTE(SUBSTITUTE(SUBSTITUTE(SUBSTITUTE(SUBSTITUTE(SUBSTITUTE(SUBSTITUTE(SUBSTITUTE(SUBSTITUTE(SUBSTITUTE(SUBSTITUTE(SUBSTITUTE(경동전체1!K533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3" s="30">
        <f>경동전체1!E533</f>
        <v>0</v>
      </c>
      <c r="D533" s="23"/>
      <c r="E533" s="23"/>
      <c r="F533" s="4">
        <f>경동전체1!J533</f>
        <v>0</v>
      </c>
      <c r="G533" s="23"/>
      <c r="H533" s="2">
        <f>경동전체1!H533</f>
        <v>0</v>
      </c>
      <c r="I533" s="2" t="str">
        <f>경동전체1!I533&amp;""</f>
        <v/>
      </c>
      <c r="J533" s="2" t="s">
        <v>36</v>
      </c>
      <c r="K533" s="2" t="str">
        <f>IF(LEFT(경동전체1!G533,1)="","따사룸",경동전체1!G533)</f>
        <v>따사룸</v>
      </c>
      <c r="L533" s="4" t="str">
        <f t="shared" si="32"/>
        <v>1</v>
      </c>
      <c r="M533" s="1" t="str">
        <f>IF(LEFT(경동전체1!D533,1)="2","비닐",IF(LEFT(경동전체1!O533,1)="박","박스","비닐"))</f>
        <v>비닐</v>
      </c>
      <c r="N533" s="25">
        <v>1</v>
      </c>
      <c r="O533" s="25">
        <v>1</v>
      </c>
      <c r="P533" s="25">
        <v>1</v>
      </c>
      <c r="Q533" s="25">
        <v>1</v>
      </c>
      <c r="R533" s="1" t="str">
        <f t="shared" si="33"/>
        <v>50</v>
      </c>
      <c r="S533" s="1">
        <f>경동전체1!B533</f>
        <v>0</v>
      </c>
      <c r="T533" s="1" t="str">
        <f t="shared" si="34"/>
        <v>100</v>
      </c>
      <c r="U533" s="5" t="str">
        <f t="shared" si="35"/>
        <v>0</v>
      </c>
      <c r="V533" s="26">
        <v>0</v>
      </c>
      <c r="W533" s="26">
        <v>0</v>
      </c>
      <c r="X533" s="2" t="str">
        <f>SUBSTITUTE(SUBSTITUTE(SUBSTITUTE(SUBSTITUTE(SUBSTITUTE(SUBSTITUTE(SUBSTITUTE(SUBSTITUTE(SUBSTITUTE(SUBSTITUTE(SUBSTITUTE(SUBSTITUTE(SUBSTITUTE(경동전체1!D533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4" spans="1:24" ht="20.25" customHeight="1" x14ac:dyDescent="0.3">
      <c r="A534" s="2">
        <f>경동전체1!A534</f>
        <v>0</v>
      </c>
      <c r="B534" s="13" t="str">
        <f>SUBSTITUTE(SUBSTITUTE(SUBSTITUTE(SUBSTITUTE(SUBSTITUTE(SUBSTITUTE(SUBSTITUTE(SUBSTITUTE(SUBSTITUTE(SUBSTITUTE(SUBSTITUTE(SUBSTITUTE(SUBSTITUTE(경동전체1!K534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4" s="30">
        <f>경동전체1!E534</f>
        <v>0</v>
      </c>
      <c r="D534" s="23"/>
      <c r="E534" s="23"/>
      <c r="F534" s="4">
        <f>경동전체1!J534</f>
        <v>0</v>
      </c>
      <c r="G534" s="23"/>
      <c r="H534" s="2">
        <f>경동전체1!H534</f>
        <v>0</v>
      </c>
      <c r="I534" s="2" t="str">
        <f>경동전체1!I534&amp;""</f>
        <v/>
      </c>
      <c r="J534" s="2" t="s">
        <v>36</v>
      </c>
      <c r="K534" s="2" t="str">
        <f>IF(LEFT(경동전체1!G534,1)="","따사룸",경동전체1!G534)</f>
        <v>따사룸</v>
      </c>
      <c r="L534" s="4" t="str">
        <f t="shared" si="32"/>
        <v>1</v>
      </c>
      <c r="M534" s="1" t="str">
        <f>IF(LEFT(경동전체1!D534,1)="2","비닐",IF(LEFT(경동전체1!O534,1)="박","박스","비닐"))</f>
        <v>비닐</v>
      </c>
      <c r="N534" s="25">
        <v>1</v>
      </c>
      <c r="O534" s="25">
        <v>1</v>
      </c>
      <c r="P534" s="25">
        <v>1</v>
      </c>
      <c r="Q534" s="25">
        <v>1</v>
      </c>
      <c r="R534" s="1" t="str">
        <f t="shared" si="33"/>
        <v>50</v>
      </c>
      <c r="S534" s="1">
        <f>경동전체1!B534</f>
        <v>0</v>
      </c>
      <c r="T534" s="1" t="str">
        <f t="shared" si="34"/>
        <v>100</v>
      </c>
      <c r="U534" s="5" t="str">
        <f t="shared" si="35"/>
        <v>0</v>
      </c>
      <c r="V534" s="26">
        <v>0</v>
      </c>
      <c r="W534" s="26">
        <v>0</v>
      </c>
      <c r="X534" s="2" t="str">
        <f>SUBSTITUTE(SUBSTITUTE(SUBSTITUTE(SUBSTITUTE(SUBSTITUTE(SUBSTITUTE(SUBSTITUTE(SUBSTITUTE(SUBSTITUTE(SUBSTITUTE(SUBSTITUTE(SUBSTITUTE(SUBSTITUTE(경동전체1!D534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5" spans="1:24" ht="20.25" customHeight="1" x14ac:dyDescent="0.3">
      <c r="A535" s="2">
        <f>경동전체1!A535</f>
        <v>0</v>
      </c>
      <c r="B535" s="13" t="str">
        <f>SUBSTITUTE(SUBSTITUTE(SUBSTITUTE(SUBSTITUTE(SUBSTITUTE(SUBSTITUTE(SUBSTITUTE(SUBSTITUTE(SUBSTITUTE(SUBSTITUTE(SUBSTITUTE(SUBSTITUTE(SUBSTITUTE(경동전체1!K535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5" s="30">
        <f>경동전체1!E535</f>
        <v>0</v>
      </c>
      <c r="D535" s="23"/>
      <c r="E535" s="23"/>
      <c r="F535" s="4">
        <f>경동전체1!J535</f>
        <v>0</v>
      </c>
      <c r="G535" s="23"/>
      <c r="H535" s="2">
        <f>경동전체1!H535</f>
        <v>0</v>
      </c>
      <c r="I535" s="2" t="str">
        <f>경동전체1!I535&amp;""</f>
        <v/>
      </c>
      <c r="J535" s="2" t="s">
        <v>36</v>
      </c>
      <c r="K535" s="2" t="str">
        <f>IF(LEFT(경동전체1!G535,1)="","따사룸",경동전체1!G535)</f>
        <v>따사룸</v>
      </c>
      <c r="L535" s="4" t="str">
        <f t="shared" si="32"/>
        <v>1</v>
      </c>
      <c r="M535" s="1" t="str">
        <f>IF(LEFT(경동전체1!D535,1)="2","비닐",IF(LEFT(경동전체1!O535,1)="박","박스","비닐"))</f>
        <v>비닐</v>
      </c>
      <c r="N535" s="25">
        <v>1</v>
      </c>
      <c r="O535" s="25">
        <v>1</v>
      </c>
      <c r="P535" s="25">
        <v>1</v>
      </c>
      <c r="Q535" s="25">
        <v>1</v>
      </c>
      <c r="R535" s="1" t="str">
        <f t="shared" si="33"/>
        <v>50</v>
      </c>
      <c r="S535" s="1">
        <f>경동전체1!B535</f>
        <v>0</v>
      </c>
      <c r="T535" s="1" t="str">
        <f t="shared" si="34"/>
        <v>100</v>
      </c>
      <c r="U535" s="5" t="str">
        <f t="shared" si="35"/>
        <v>0</v>
      </c>
      <c r="V535" s="26">
        <v>0</v>
      </c>
      <c r="W535" s="26">
        <v>0</v>
      </c>
      <c r="X535" s="2" t="str">
        <f>SUBSTITUTE(SUBSTITUTE(SUBSTITUTE(SUBSTITUTE(SUBSTITUTE(SUBSTITUTE(SUBSTITUTE(SUBSTITUTE(SUBSTITUTE(SUBSTITUTE(SUBSTITUTE(SUBSTITUTE(SUBSTITUTE(경동전체1!D535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6" spans="1:24" ht="20.25" customHeight="1" x14ac:dyDescent="0.3">
      <c r="A536" s="2">
        <f>경동전체1!A536</f>
        <v>0</v>
      </c>
      <c r="B536" s="13" t="str">
        <f>SUBSTITUTE(SUBSTITUTE(SUBSTITUTE(SUBSTITUTE(SUBSTITUTE(SUBSTITUTE(SUBSTITUTE(SUBSTITUTE(SUBSTITUTE(SUBSTITUTE(SUBSTITUTE(SUBSTITUTE(SUBSTITUTE(경동전체1!K536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6" s="30">
        <f>경동전체1!E536</f>
        <v>0</v>
      </c>
      <c r="D536" s="23"/>
      <c r="E536" s="23"/>
      <c r="F536" s="4">
        <f>경동전체1!J536</f>
        <v>0</v>
      </c>
      <c r="G536" s="23"/>
      <c r="H536" s="2">
        <f>경동전체1!H536</f>
        <v>0</v>
      </c>
      <c r="I536" s="2" t="str">
        <f>경동전체1!I536&amp;""</f>
        <v/>
      </c>
      <c r="J536" s="2" t="s">
        <v>36</v>
      </c>
      <c r="K536" s="2" t="str">
        <f>IF(LEFT(경동전체1!G536,1)="","따사룸",경동전체1!G536)</f>
        <v>따사룸</v>
      </c>
      <c r="L536" s="4" t="str">
        <f t="shared" si="32"/>
        <v>1</v>
      </c>
      <c r="M536" s="1" t="str">
        <f>IF(LEFT(경동전체1!D536,1)="2","비닐",IF(LEFT(경동전체1!O536,1)="박","박스","비닐"))</f>
        <v>비닐</v>
      </c>
      <c r="N536" s="25">
        <v>1</v>
      </c>
      <c r="O536" s="25">
        <v>1</v>
      </c>
      <c r="P536" s="25">
        <v>1</v>
      </c>
      <c r="Q536" s="25">
        <v>1</v>
      </c>
      <c r="R536" s="1" t="str">
        <f t="shared" si="33"/>
        <v>50</v>
      </c>
      <c r="S536" s="1">
        <f>경동전체1!B536</f>
        <v>0</v>
      </c>
      <c r="T536" s="1" t="str">
        <f t="shared" si="34"/>
        <v>100</v>
      </c>
      <c r="U536" s="5" t="str">
        <f t="shared" si="35"/>
        <v>0</v>
      </c>
      <c r="V536" s="26">
        <v>0</v>
      </c>
      <c r="W536" s="26">
        <v>0</v>
      </c>
      <c r="X536" s="2" t="str">
        <f>SUBSTITUTE(SUBSTITUTE(SUBSTITUTE(SUBSTITUTE(SUBSTITUTE(SUBSTITUTE(SUBSTITUTE(SUBSTITUTE(SUBSTITUTE(SUBSTITUTE(SUBSTITUTE(SUBSTITUTE(SUBSTITUTE(경동전체1!D536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7" spans="1:24" ht="20.25" customHeight="1" x14ac:dyDescent="0.3">
      <c r="A537" s="2">
        <f>경동전체1!A537</f>
        <v>0</v>
      </c>
      <c r="B537" s="13" t="str">
        <f>SUBSTITUTE(SUBSTITUTE(SUBSTITUTE(SUBSTITUTE(SUBSTITUTE(SUBSTITUTE(SUBSTITUTE(SUBSTITUTE(SUBSTITUTE(SUBSTITUTE(SUBSTITUTE(SUBSTITUTE(SUBSTITUTE(경동전체1!K537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7" s="30">
        <f>경동전체1!E537</f>
        <v>0</v>
      </c>
      <c r="D537" s="23"/>
      <c r="E537" s="23"/>
      <c r="F537" s="4">
        <f>경동전체1!J537</f>
        <v>0</v>
      </c>
      <c r="G537" s="23"/>
      <c r="H537" s="2">
        <f>경동전체1!H537</f>
        <v>0</v>
      </c>
      <c r="I537" s="2" t="str">
        <f>경동전체1!I537&amp;""</f>
        <v/>
      </c>
      <c r="J537" s="2" t="s">
        <v>36</v>
      </c>
      <c r="K537" s="2" t="str">
        <f>IF(LEFT(경동전체1!G537,1)="","따사룸",경동전체1!G537)</f>
        <v>따사룸</v>
      </c>
      <c r="L537" s="4" t="str">
        <f t="shared" si="32"/>
        <v>1</v>
      </c>
      <c r="M537" s="1" t="str">
        <f>IF(LEFT(경동전체1!D537,1)="2","비닐",IF(LEFT(경동전체1!O537,1)="박","박스","비닐"))</f>
        <v>비닐</v>
      </c>
      <c r="N537" s="25">
        <v>1</v>
      </c>
      <c r="O537" s="25">
        <v>1</v>
      </c>
      <c r="P537" s="25">
        <v>1</v>
      </c>
      <c r="Q537" s="25">
        <v>1</v>
      </c>
      <c r="R537" s="1" t="str">
        <f t="shared" si="33"/>
        <v>50</v>
      </c>
      <c r="S537" s="1">
        <f>경동전체1!B537</f>
        <v>0</v>
      </c>
      <c r="T537" s="1" t="str">
        <f t="shared" si="34"/>
        <v>100</v>
      </c>
      <c r="U537" s="5" t="str">
        <f t="shared" si="35"/>
        <v>0</v>
      </c>
      <c r="V537" s="26">
        <v>0</v>
      </c>
      <c r="W537" s="26">
        <v>0</v>
      </c>
      <c r="X537" s="2" t="str">
        <f>SUBSTITUTE(SUBSTITUTE(SUBSTITUTE(SUBSTITUTE(SUBSTITUTE(SUBSTITUTE(SUBSTITUTE(SUBSTITUTE(SUBSTITUTE(SUBSTITUTE(SUBSTITUTE(SUBSTITUTE(SUBSTITUTE(경동전체1!D537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8" spans="1:24" ht="20.25" customHeight="1" x14ac:dyDescent="0.3">
      <c r="A538" s="2">
        <f>경동전체1!A538</f>
        <v>0</v>
      </c>
      <c r="B538" s="13" t="str">
        <f>SUBSTITUTE(SUBSTITUTE(SUBSTITUTE(SUBSTITUTE(SUBSTITUTE(SUBSTITUTE(SUBSTITUTE(SUBSTITUTE(SUBSTITUTE(SUBSTITUTE(SUBSTITUTE(SUBSTITUTE(SUBSTITUTE(경동전체1!K538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8" s="30">
        <f>경동전체1!E538</f>
        <v>0</v>
      </c>
      <c r="D538" s="23"/>
      <c r="E538" s="23"/>
      <c r="F538" s="4">
        <f>경동전체1!J538</f>
        <v>0</v>
      </c>
      <c r="G538" s="23"/>
      <c r="H538" s="2">
        <f>경동전체1!H538</f>
        <v>0</v>
      </c>
      <c r="I538" s="2" t="str">
        <f>경동전체1!I538&amp;""</f>
        <v/>
      </c>
      <c r="J538" s="2" t="s">
        <v>36</v>
      </c>
      <c r="K538" s="2" t="str">
        <f>IF(LEFT(경동전체1!G538,1)="","따사룸",경동전체1!G538)</f>
        <v>따사룸</v>
      </c>
      <c r="L538" s="4" t="str">
        <f t="shared" si="32"/>
        <v>1</v>
      </c>
      <c r="M538" s="1" t="str">
        <f>IF(LEFT(경동전체1!D538,1)="2","비닐",IF(LEFT(경동전체1!O538,1)="박","박스","비닐"))</f>
        <v>비닐</v>
      </c>
      <c r="N538" s="25">
        <v>1</v>
      </c>
      <c r="O538" s="25">
        <v>1</v>
      </c>
      <c r="P538" s="25">
        <v>1</v>
      </c>
      <c r="Q538" s="25">
        <v>1</v>
      </c>
      <c r="R538" s="1" t="str">
        <f t="shared" si="33"/>
        <v>50</v>
      </c>
      <c r="S538" s="1">
        <f>경동전체1!B538</f>
        <v>0</v>
      </c>
      <c r="T538" s="1" t="str">
        <f t="shared" si="34"/>
        <v>100</v>
      </c>
      <c r="U538" s="5" t="str">
        <f t="shared" si="35"/>
        <v>0</v>
      </c>
      <c r="V538" s="26">
        <v>0</v>
      </c>
      <c r="W538" s="26">
        <v>0</v>
      </c>
      <c r="X538" s="2" t="str">
        <f>SUBSTITUTE(SUBSTITUTE(SUBSTITUTE(SUBSTITUTE(SUBSTITUTE(SUBSTITUTE(SUBSTITUTE(SUBSTITUTE(SUBSTITUTE(SUBSTITUTE(SUBSTITUTE(SUBSTITUTE(SUBSTITUTE(경동전체1!D538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9" spans="1:24" ht="20.25" customHeight="1" x14ac:dyDescent="0.3">
      <c r="A539" s="2">
        <f>경동전체1!A539</f>
        <v>0</v>
      </c>
      <c r="B539" s="13" t="str">
        <f>SUBSTITUTE(SUBSTITUTE(SUBSTITUTE(SUBSTITUTE(SUBSTITUTE(SUBSTITUTE(SUBSTITUTE(SUBSTITUTE(SUBSTITUTE(SUBSTITUTE(SUBSTITUTE(SUBSTITUTE(SUBSTITUTE(경동전체1!K539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9" s="30">
        <f>경동전체1!E539</f>
        <v>0</v>
      </c>
      <c r="D539" s="23"/>
      <c r="E539" s="23"/>
      <c r="F539" s="4">
        <f>경동전체1!J539</f>
        <v>0</v>
      </c>
      <c r="G539" s="23"/>
      <c r="H539" s="2">
        <f>경동전체1!H539</f>
        <v>0</v>
      </c>
      <c r="I539" s="2" t="str">
        <f>경동전체1!I539&amp;""</f>
        <v/>
      </c>
      <c r="J539" s="2" t="s">
        <v>36</v>
      </c>
      <c r="K539" s="2" t="str">
        <f>IF(LEFT(경동전체1!G539,1)="","따사룸",경동전체1!G539)</f>
        <v>따사룸</v>
      </c>
      <c r="L539" s="4" t="str">
        <f t="shared" si="32"/>
        <v>1</v>
      </c>
      <c r="M539" s="1" t="str">
        <f>IF(LEFT(경동전체1!D539,1)="2","비닐",IF(LEFT(경동전체1!O539,1)="박","박스","비닐"))</f>
        <v>비닐</v>
      </c>
      <c r="N539" s="25">
        <v>1</v>
      </c>
      <c r="O539" s="25">
        <v>1</v>
      </c>
      <c r="P539" s="25">
        <v>1</v>
      </c>
      <c r="Q539" s="25">
        <v>1</v>
      </c>
      <c r="R539" s="1" t="str">
        <f t="shared" si="33"/>
        <v>50</v>
      </c>
      <c r="S539" s="1">
        <f>경동전체1!B539</f>
        <v>0</v>
      </c>
      <c r="T539" s="1" t="str">
        <f t="shared" si="34"/>
        <v>100</v>
      </c>
      <c r="U539" s="5" t="str">
        <f t="shared" si="35"/>
        <v>0</v>
      </c>
      <c r="V539" s="26">
        <v>0</v>
      </c>
      <c r="W539" s="26">
        <v>0</v>
      </c>
      <c r="X539" s="2" t="str">
        <f>SUBSTITUTE(SUBSTITUTE(SUBSTITUTE(SUBSTITUTE(SUBSTITUTE(SUBSTITUTE(SUBSTITUTE(SUBSTITUTE(SUBSTITUTE(SUBSTITUTE(SUBSTITUTE(SUBSTITUTE(SUBSTITUTE(경동전체1!D539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0" spans="1:24" ht="20.25" customHeight="1" x14ac:dyDescent="0.3">
      <c r="A540" s="2">
        <f>경동전체1!A540</f>
        <v>0</v>
      </c>
      <c r="B540" s="13" t="str">
        <f>SUBSTITUTE(SUBSTITUTE(SUBSTITUTE(SUBSTITUTE(SUBSTITUTE(SUBSTITUTE(SUBSTITUTE(SUBSTITUTE(SUBSTITUTE(SUBSTITUTE(SUBSTITUTE(SUBSTITUTE(SUBSTITUTE(경동전체1!K540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0" s="30">
        <f>경동전체1!E540</f>
        <v>0</v>
      </c>
      <c r="D540" s="23"/>
      <c r="E540" s="23"/>
      <c r="F540" s="4">
        <f>경동전체1!J540</f>
        <v>0</v>
      </c>
      <c r="G540" s="23"/>
      <c r="H540" s="2">
        <f>경동전체1!H540</f>
        <v>0</v>
      </c>
      <c r="I540" s="2" t="str">
        <f>경동전체1!I540&amp;""</f>
        <v/>
      </c>
      <c r="J540" s="2" t="s">
        <v>36</v>
      </c>
      <c r="K540" s="2" t="str">
        <f>IF(LEFT(경동전체1!G540,1)="","따사룸",경동전체1!G540)</f>
        <v>따사룸</v>
      </c>
      <c r="L540" s="4" t="str">
        <f t="shared" si="32"/>
        <v>1</v>
      </c>
      <c r="M540" s="1" t="str">
        <f>IF(LEFT(경동전체1!D540,1)="2","비닐",IF(LEFT(경동전체1!O540,1)="박","박스","비닐"))</f>
        <v>비닐</v>
      </c>
      <c r="N540" s="25">
        <v>1</v>
      </c>
      <c r="O540" s="25">
        <v>1</v>
      </c>
      <c r="P540" s="25">
        <v>1</v>
      </c>
      <c r="Q540" s="25">
        <v>1</v>
      </c>
      <c r="R540" s="1" t="str">
        <f t="shared" si="33"/>
        <v>50</v>
      </c>
      <c r="S540" s="1">
        <f>경동전체1!B540</f>
        <v>0</v>
      </c>
      <c r="T540" s="1" t="str">
        <f t="shared" si="34"/>
        <v>100</v>
      </c>
      <c r="U540" s="5" t="str">
        <f t="shared" si="35"/>
        <v>0</v>
      </c>
      <c r="V540" s="26">
        <v>0</v>
      </c>
      <c r="W540" s="26">
        <v>0</v>
      </c>
      <c r="X540" s="2" t="str">
        <f>SUBSTITUTE(SUBSTITUTE(SUBSTITUTE(SUBSTITUTE(SUBSTITUTE(SUBSTITUTE(SUBSTITUTE(SUBSTITUTE(SUBSTITUTE(SUBSTITUTE(SUBSTITUTE(SUBSTITUTE(SUBSTITUTE(경동전체1!D540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1" spans="1:24" ht="20.25" customHeight="1" x14ac:dyDescent="0.3">
      <c r="A541" s="2">
        <f>경동전체1!A541</f>
        <v>0</v>
      </c>
      <c r="B541" s="13" t="str">
        <f>SUBSTITUTE(SUBSTITUTE(SUBSTITUTE(SUBSTITUTE(SUBSTITUTE(SUBSTITUTE(SUBSTITUTE(SUBSTITUTE(SUBSTITUTE(SUBSTITUTE(SUBSTITUTE(SUBSTITUTE(SUBSTITUTE(경동전체1!K541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1" s="30">
        <f>경동전체1!E541</f>
        <v>0</v>
      </c>
      <c r="D541" s="23"/>
      <c r="E541" s="23"/>
      <c r="F541" s="4">
        <f>경동전체1!J541</f>
        <v>0</v>
      </c>
      <c r="G541" s="23"/>
      <c r="H541" s="2">
        <f>경동전체1!H541</f>
        <v>0</v>
      </c>
      <c r="I541" s="2" t="str">
        <f>경동전체1!I541&amp;""</f>
        <v/>
      </c>
      <c r="J541" s="2" t="s">
        <v>36</v>
      </c>
      <c r="K541" s="2" t="str">
        <f>IF(LEFT(경동전체1!G541,1)="","따사룸",경동전체1!G541)</f>
        <v>따사룸</v>
      </c>
      <c r="L541" s="4" t="str">
        <f t="shared" si="32"/>
        <v>1</v>
      </c>
      <c r="M541" s="1" t="str">
        <f>IF(LEFT(경동전체1!D541,1)="2","비닐",IF(LEFT(경동전체1!O541,1)="박","박스","비닐"))</f>
        <v>비닐</v>
      </c>
      <c r="N541" s="25">
        <v>1</v>
      </c>
      <c r="O541" s="25">
        <v>1</v>
      </c>
      <c r="P541" s="25">
        <v>1</v>
      </c>
      <c r="Q541" s="25">
        <v>1</v>
      </c>
      <c r="R541" s="1" t="str">
        <f t="shared" si="33"/>
        <v>50</v>
      </c>
      <c r="S541" s="1">
        <f>경동전체1!B541</f>
        <v>0</v>
      </c>
      <c r="T541" s="1" t="str">
        <f t="shared" si="34"/>
        <v>100</v>
      </c>
      <c r="U541" s="5" t="str">
        <f t="shared" si="35"/>
        <v>0</v>
      </c>
      <c r="V541" s="26">
        <v>0</v>
      </c>
      <c r="W541" s="26">
        <v>0</v>
      </c>
      <c r="X541" s="2" t="str">
        <f>SUBSTITUTE(SUBSTITUTE(SUBSTITUTE(SUBSTITUTE(SUBSTITUTE(SUBSTITUTE(SUBSTITUTE(SUBSTITUTE(SUBSTITUTE(SUBSTITUTE(SUBSTITUTE(SUBSTITUTE(SUBSTITUTE(경동전체1!D541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2" spans="1:24" ht="20.25" customHeight="1" x14ac:dyDescent="0.3">
      <c r="A542" s="2">
        <f>경동전체1!A542</f>
        <v>0</v>
      </c>
      <c r="B542" s="13" t="str">
        <f>SUBSTITUTE(SUBSTITUTE(SUBSTITUTE(SUBSTITUTE(SUBSTITUTE(SUBSTITUTE(SUBSTITUTE(SUBSTITUTE(SUBSTITUTE(SUBSTITUTE(SUBSTITUTE(SUBSTITUTE(SUBSTITUTE(경동전체1!K542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2" s="30">
        <f>경동전체1!E542</f>
        <v>0</v>
      </c>
      <c r="D542" s="23"/>
      <c r="E542" s="23"/>
      <c r="F542" s="4">
        <f>경동전체1!J542</f>
        <v>0</v>
      </c>
      <c r="G542" s="23"/>
      <c r="H542" s="2">
        <f>경동전체1!H542</f>
        <v>0</v>
      </c>
      <c r="I542" s="2" t="str">
        <f>경동전체1!I542&amp;""</f>
        <v/>
      </c>
      <c r="J542" s="2" t="s">
        <v>36</v>
      </c>
      <c r="K542" s="2" t="str">
        <f>IF(LEFT(경동전체1!G542,1)="","따사룸",경동전체1!G542)</f>
        <v>따사룸</v>
      </c>
      <c r="L542" s="4" t="str">
        <f t="shared" si="32"/>
        <v>1</v>
      </c>
      <c r="M542" s="1" t="str">
        <f>IF(LEFT(경동전체1!D542,1)="2","비닐",IF(LEFT(경동전체1!O542,1)="박","박스","비닐"))</f>
        <v>비닐</v>
      </c>
      <c r="N542" s="25">
        <v>1</v>
      </c>
      <c r="O542" s="25">
        <v>1</v>
      </c>
      <c r="P542" s="25">
        <v>1</v>
      </c>
      <c r="Q542" s="25">
        <v>1</v>
      </c>
      <c r="R542" s="1" t="str">
        <f t="shared" si="33"/>
        <v>50</v>
      </c>
      <c r="S542" s="1">
        <f>경동전체1!B542</f>
        <v>0</v>
      </c>
      <c r="T542" s="1" t="str">
        <f t="shared" si="34"/>
        <v>100</v>
      </c>
      <c r="U542" s="5" t="str">
        <f t="shared" si="35"/>
        <v>0</v>
      </c>
      <c r="V542" s="26">
        <v>0</v>
      </c>
      <c r="W542" s="26">
        <v>0</v>
      </c>
      <c r="X542" s="2" t="str">
        <f>SUBSTITUTE(SUBSTITUTE(SUBSTITUTE(SUBSTITUTE(SUBSTITUTE(SUBSTITUTE(SUBSTITUTE(SUBSTITUTE(SUBSTITUTE(SUBSTITUTE(SUBSTITUTE(SUBSTITUTE(SUBSTITUTE(경동전체1!D542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3" spans="1:24" ht="20.25" customHeight="1" x14ac:dyDescent="0.3">
      <c r="A543" s="2">
        <f>경동전체1!A543</f>
        <v>0</v>
      </c>
      <c r="B543" s="13" t="str">
        <f>SUBSTITUTE(SUBSTITUTE(SUBSTITUTE(SUBSTITUTE(SUBSTITUTE(SUBSTITUTE(SUBSTITUTE(SUBSTITUTE(SUBSTITUTE(SUBSTITUTE(SUBSTITUTE(SUBSTITUTE(SUBSTITUTE(경동전체1!K543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3" s="30">
        <f>경동전체1!E543</f>
        <v>0</v>
      </c>
      <c r="D543" s="23"/>
      <c r="E543" s="23"/>
      <c r="F543" s="4">
        <f>경동전체1!J543</f>
        <v>0</v>
      </c>
      <c r="G543" s="23"/>
      <c r="H543" s="2">
        <f>경동전체1!H543</f>
        <v>0</v>
      </c>
      <c r="I543" s="2" t="str">
        <f>경동전체1!I543&amp;""</f>
        <v/>
      </c>
      <c r="J543" s="2" t="s">
        <v>36</v>
      </c>
      <c r="K543" s="2" t="str">
        <f>IF(LEFT(경동전체1!G543,1)="","따사룸",경동전체1!G543)</f>
        <v>따사룸</v>
      </c>
      <c r="L543" s="4" t="str">
        <f t="shared" si="32"/>
        <v>1</v>
      </c>
      <c r="M543" s="1" t="str">
        <f>IF(LEFT(경동전체1!D543,1)="2","비닐",IF(LEFT(경동전체1!O543,1)="박","박스","비닐"))</f>
        <v>비닐</v>
      </c>
      <c r="N543" s="25">
        <v>1</v>
      </c>
      <c r="O543" s="25">
        <v>1</v>
      </c>
      <c r="P543" s="25">
        <v>1</v>
      </c>
      <c r="Q543" s="25">
        <v>1</v>
      </c>
      <c r="R543" s="1" t="str">
        <f t="shared" si="33"/>
        <v>50</v>
      </c>
      <c r="S543" s="1">
        <f>경동전체1!B543</f>
        <v>0</v>
      </c>
      <c r="T543" s="1" t="str">
        <f t="shared" si="34"/>
        <v>100</v>
      </c>
      <c r="U543" s="5" t="str">
        <f t="shared" si="35"/>
        <v>0</v>
      </c>
      <c r="V543" s="26">
        <v>0</v>
      </c>
      <c r="W543" s="26">
        <v>0</v>
      </c>
      <c r="X543" s="2" t="str">
        <f>SUBSTITUTE(SUBSTITUTE(SUBSTITUTE(SUBSTITUTE(SUBSTITUTE(SUBSTITUTE(SUBSTITUTE(SUBSTITUTE(SUBSTITUTE(SUBSTITUTE(SUBSTITUTE(SUBSTITUTE(SUBSTITUTE(경동전체1!D543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4" spans="1:24" ht="20.25" customHeight="1" x14ac:dyDescent="0.3">
      <c r="A544" s="2">
        <f>경동전체1!A544</f>
        <v>0</v>
      </c>
      <c r="B544" s="13" t="str">
        <f>SUBSTITUTE(SUBSTITUTE(SUBSTITUTE(SUBSTITUTE(SUBSTITUTE(SUBSTITUTE(SUBSTITUTE(SUBSTITUTE(SUBSTITUTE(SUBSTITUTE(SUBSTITUTE(SUBSTITUTE(SUBSTITUTE(경동전체1!K544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4" s="30">
        <f>경동전체1!E544</f>
        <v>0</v>
      </c>
      <c r="D544" s="23"/>
      <c r="E544" s="23"/>
      <c r="F544" s="4">
        <f>경동전체1!J544</f>
        <v>0</v>
      </c>
      <c r="G544" s="23"/>
      <c r="H544" s="2">
        <f>경동전체1!H544</f>
        <v>0</v>
      </c>
      <c r="I544" s="2" t="str">
        <f>경동전체1!I544&amp;""</f>
        <v/>
      </c>
      <c r="J544" s="2" t="s">
        <v>36</v>
      </c>
      <c r="K544" s="2" t="str">
        <f>IF(LEFT(경동전체1!G544,1)="","따사룸",경동전체1!G544)</f>
        <v>따사룸</v>
      </c>
      <c r="L544" s="4" t="str">
        <f t="shared" si="32"/>
        <v>1</v>
      </c>
      <c r="M544" s="1" t="str">
        <f>IF(LEFT(경동전체1!D544,1)="2","비닐",IF(LEFT(경동전체1!O544,1)="박","박스","비닐"))</f>
        <v>비닐</v>
      </c>
      <c r="N544" s="25">
        <v>1</v>
      </c>
      <c r="O544" s="25">
        <v>1</v>
      </c>
      <c r="P544" s="25">
        <v>1</v>
      </c>
      <c r="Q544" s="25">
        <v>1</v>
      </c>
      <c r="R544" s="1" t="str">
        <f t="shared" si="33"/>
        <v>50</v>
      </c>
      <c r="S544" s="1">
        <f>경동전체1!B544</f>
        <v>0</v>
      </c>
      <c r="T544" s="1" t="str">
        <f t="shared" si="34"/>
        <v>100</v>
      </c>
      <c r="U544" s="5" t="str">
        <f t="shared" si="35"/>
        <v>0</v>
      </c>
      <c r="V544" s="26">
        <v>0</v>
      </c>
      <c r="W544" s="26">
        <v>0</v>
      </c>
      <c r="X544" s="2" t="str">
        <f>SUBSTITUTE(SUBSTITUTE(SUBSTITUTE(SUBSTITUTE(SUBSTITUTE(SUBSTITUTE(SUBSTITUTE(SUBSTITUTE(SUBSTITUTE(SUBSTITUTE(SUBSTITUTE(SUBSTITUTE(SUBSTITUTE(경동전체1!D544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5" spans="1:24" ht="20.25" customHeight="1" x14ac:dyDescent="0.3">
      <c r="A545" s="2">
        <f>경동전체1!A545</f>
        <v>0</v>
      </c>
      <c r="B545" s="13" t="str">
        <f>SUBSTITUTE(SUBSTITUTE(SUBSTITUTE(SUBSTITUTE(SUBSTITUTE(SUBSTITUTE(SUBSTITUTE(SUBSTITUTE(SUBSTITUTE(SUBSTITUTE(SUBSTITUTE(SUBSTITUTE(SUBSTITUTE(경동전체1!K545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5" s="30">
        <f>경동전체1!E545</f>
        <v>0</v>
      </c>
      <c r="D545" s="23"/>
      <c r="E545" s="23"/>
      <c r="F545" s="4">
        <f>경동전체1!J545</f>
        <v>0</v>
      </c>
      <c r="G545" s="23"/>
      <c r="H545" s="2">
        <f>경동전체1!H545</f>
        <v>0</v>
      </c>
      <c r="I545" s="2" t="str">
        <f>경동전체1!I545&amp;""</f>
        <v/>
      </c>
      <c r="J545" s="2" t="s">
        <v>36</v>
      </c>
      <c r="K545" s="2" t="str">
        <f>IF(LEFT(경동전체1!G545,1)="","따사룸",경동전체1!G545)</f>
        <v>따사룸</v>
      </c>
      <c r="L545" s="4" t="str">
        <f t="shared" si="32"/>
        <v>1</v>
      </c>
      <c r="M545" s="1" t="str">
        <f>IF(LEFT(경동전체1!D545,1)="2","비닐",IF(LEFT(경동전체1!O545,1)="박","박스","비닐"))</f>
        <v>비닐</v>
      </c>
      <c r="N545" s="25">
        <v>1</v>
      </c>
      <c r="O545" s="25">
        <v>1</v>
      </c>
      <c r="P545" s="25">
        <v>1</v>
      </c>
      <c r="Q545" s="25">
        <v>1</v>
      </c>
      <c r="R545" s="1" t="str">
        <f t="shared" si="33"/>
        <v>50</v>
      </c>
      <c r="S545" s="1">
        <f>경동전체1!B545</f>
        <v>0</v>
      </c>
      <c r="T545" s="1" t="str">
        <f t="shared" si="34"/>
        <v>100</v>
      </c>
      <c r="U545" s="5" t="str">
        <f t="shared" si="35"/>
        <v>0</v>
      </c>
      <c r="V545" s="26">
        <v>0</v>
      </c>
      <c r="W545" s="26">
        <v>0</v>
      </c>
      <c r="X545" s="2" t="str">
        <f>SUBSTITUTE(SUBSTITUTE(SUBSTITUTE(SUBSTITUTE(SUBSTITUTE(SUBSTITUTE(SUBSTITUTE(SUBSTITUTE(SUBSTITUTE(SUBSTITUTE(SUBSTITUTE(SUBSTITUTE(SUBSTITUTE(경동전체1!D545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6" spans="1:24" ht="20.25" customHeight="1" x14ac:dyDescent="0.3">
      <c r="A546" s="2">
        <f>경동전체1!A546</f>
        <v>0</v>
      </c>
      <c r="B546" s="13" t="str">
        <f>SUBSTITUTE(SUBSTITUTE(SUBSTITUTE(SUBSTITUTE(SUBSTITUTE(SUBSTITUTE(SUBSTITUTE(SUBSTITUTE(SUBSTITUTE(SUBSTITUTE(SUBSTITUTE(SUBSTITUTE(SUBSTITUTE(경동전체1!K546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6" s="30">
        <f>경동전체1!E546</f>
        <v>0</v>
      </c>
      <c r="D546" s="23"/>
      <c r="E546" s="23"/>
      <c r="F546" s="4">
        <f>경동전체1!J546</f>
        <v>0</v>
      </c>
      <c r="G546" s="23"/>
      <c r="H546" s="2">
        <f>경동전체1!H546</f>
        <v>0</v>
      </c>
      <c r="I546" s="2" t="str">
        <f>경동전체1!I546&amp;""</f>
        <v/>
      </c>
      <c r="J546" s="2" t="s">
        <v>36</v>
      </c>
      <c r="K546" s="2" t="str">
        <f>IF(LEFT(경동전체1!G546,1)="","따사룸",경동전체1!G546)</f>
        <v>따사룸</v>
      </c>
      <c r="L546" s="4" t="str">
        <f t="shared" si="32"/>
        <v>1</v>
      </c>
      <c r="M546" s="1" t="str">
        <f>IF(LEFT(경동전체1!D546,1)="2","비닐",IF(LEFT(경동전체1!O546,1)="박","박스","비닐"))</f>
        <v>비닐</v>
      </c>
      <c r="N546" s="25">
        <v>1</v>
      </c>
      <c r="O546" s="25">
        <v>1</v>
      </c>
      <c r="P546" s="25">
        <v>1</v>
      </c>
      <c r="Q546" s="25">
        <v>1</v>
      </c>
      <c r="R546" s="1" t="str">
        <f t="shared" si="33"/>
        <v>50</v>
      </c>
      <c r="S546" s="1">
        <f>경동전체1!B546</f>
        <v>0</v>
      </c>
      <c r="T546" s="1" t="str">
        <f t="shared" si="34"/>
        <v>100</v>
      </c>
      <c r="U546" s="5" t="str">
        <f t="shared" si="35"/>
        <v>0</v>
      </c>
      <c r="V546" s="26">
        <v>0</v>
      </c>
      <c r="W546" s="26">
        <v>0</v>
      </c>
      <c r="X546" s="2" t="str">
        <f>SUBSTITUTE(SUBSTITUTE(SUBSTITUTE(SUBSTITUTE(SUBSTITUTE(SUBSTITUTE(SUBSTITUTE(SUBSTITUTE(SUBSTITUTE(SUBSTITUTE(SUBSTITUTE(SUBSTITUTE(SUBSTITUTE(경동전체1!D546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7" spans="1:24" ht="20.25" customHeight="1" x14ac:dyDescent="0.3">
      <c r="A547" s="2">
        <f>경동전체1!A547</f>
        <v>0</v>
      </c>
      <c r="B547" s="13" t="str">
        <f>SUBSTITUTE(SUBSTITUTE(SUBSTITUTE(SUBSTITUTE(SUBSTITUTE(SUBSTITUTE(SUBSTITUTE(SUBSTITUTE(SUBSTITUTE(SUBSTITUTE(SUBSTITUTE(SUBSTITUTE(SUBSTITUTE(경동전체1!K547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7" s="30">
        <f>경동전체1!E547</f>
        <v>0</v>
      </c>
      <c r="D547" s="23"/>
      <c r="E547" s="23"/>
      <c r="F547" s="4">
        <f>경동전체1!J547</f>
        <v>0</v>
      </c>
      <c r="G547" s="23"/>
      <c r="H547" s="2">
        <f>경동전체1!H547</f>
        <v>0</v>
      </c>
      <c r="I547" s="2" t="str">
        <f>경동전체1!I547&amp;""</f>
        <v/>
      </c>
      <c r="J547" s="2" t="s">
        <v>36</v>
      </c>
      <c r="K547" s="2" t="str">
        <f>IF(LEFT(경동전체1!G547,1)="","따사룸",경동전체1!G547)</f>
        <v>따사룸</v>
      </c>
      <c r="L547" s="4" t="str">
        <f t="shared" si="32"/>
        <v>1</v>
      </c>
      <c r="M547" s="1" t="str">
        <f>IF(LEFT(경동전체1!D547,1)="2","비닐",IF(LEFT(경동전체1!O547,1)="박","박스","비닐"))</f>
        <v>비닐</v>
      </c>
      <c r="N547" s="25">
        <v>1</v>
      </c>
      <c r="O547" s="25">
        <v>1</v>
      </c>
      <c r="P547" s="25">
        <v>1</v>
      </c>
      <c r="Q547" s="25">
        <v>1</v>
      </c>
      <c r="R547" s="1" t="str">
        <f t="shared" si="33"/>
        <v>50</v>
      </c>
      <c r="S547" s="1">
        <f>경동전체1!B547</f>
        <v>0</v>
      </c>
      <c r="T547" s="1" t="str">
        <f t="shared" si="34"/>
        <v>100</v>
      </c>
      <c r="U547" s="5" t="str">
        <f t="shared" si="35"/>
        <v>0</v>
      </c>
      <c r="V547" s="26">
        <v>0</v>
      </c>
      <c r="W547" s="26">
        <v>0</v>
      </c>
      <c r="X547" s="2" t="str">
        <f>SUBSTITUTE(SUBSTITUTE(SUBSTITUTE(SUBSTITUTE(SUBSTITUTE(SUBSTITUTE(SUBSTITUTE(SUBSTITUTE(SUBSTITUTE(SUBSTITUTE(SUBSTITUTE(SUBSTITUTE(SUBSTITUTE(경동전체1!D547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8" spans="1:24" ht="20.25" customHeight="1" x14ac:dyDescent="0.3">
      <c r="A548" s="2">
        <f>경동전체1!A548</f>
        <v>0</v>
      </c>
      <c r="B548" s="13" t="str">
        <f>SUBSTITUTE(SUBSTITUTE(SUBSTITUTE(SUBSTITUTE(SUBSTITUTE(SUBSTITUTE(SUBSTITUTE(SUBSTITUTE(SUBSTITUTE(SUBSTITUTE(SUBSTITUTE(SUBSTITUTE(SUBSTITUTE(경동전체1!K548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8" s="30">
        <f>경동전체1!E548</f>
        <v>0</v>
      </c>
      <c r="D548" s="23"/>
      <c r="E548" s="23"/>
      <c r="F548" s="4">
        <f>경동전체1!J548</f>
        <v>0</v>
      </c>
      <c r="G548" s="23"/>
      <c r="H548" s="2">
        <f>경동전체1!H548</f>
        <v>0</v>
      </c>
      <c r="I548" s="2" t="str">
        <f>경동전체1!I548&amp;""</f>
        <v/>
      </c>
      <c r="J548" s="2" t="s">
        <v>36</v>
      </c>
      <c r="K548" s="2" t="str">
        <f>IF(LEFT(경동전체1!G548,1)="","따사룸",경동전체1!G548)</f>
        <v>따사룸</v>
      </c>
      <c r="L548" s="4" t="str">
        <f t="shared" si="32"/>
        <v>1</v>
      </c>
      <c r="M548" s="1" t="str">
        <f>IF(LEFT(경동전체1!D548,1)="2","비닐",IF(LEFT(경동전체1!O548,1)="박","박스","비닐"))</f>
        <v>비닐</v>
      </c>
      <c r="N548" s="25">
        <v>1</v>
      </c>
      <c r="O548" s="25">
        <v>1</v>
      </c>
      <c r="P548" s="25">
        <v>1</v>
      </c>
      <c r="Q548" s="25">
        <v>1</v>
      </c>
      <c r="R548" s="1" t="str">
        <f t="shared" si="33"/>
        <v>50</v>
      </c>
      <c r="S548" s="1">
        <f>경동전체1!B548</f>
        <v>0</v>
      </c>
      <c r="T548" s="1" t="str">
        <f t="shared" si="34"/>
        <v>100</v>
      </c>
      <c r="U548" s="5" t="str">
        <f t="shared" si="35"/>
        <v>0</v>
      </c>
      <c r="V548" s="26">
        <v>0</v>
      </c>
      <c r="W548" s="26">
        <v>0</v>
      </c>
      <c r="X548" s="2" t="str">
        <f>SUBSTITUTE(SUBSTITUTE(SUBSTITUTE(SUBSTITUTE(SUBSTITUTE(SUBSTITUTE(SUBSTITUTE(SUBSTITUTE(SUBSTITUTE(SUBSTITUTE(SUBSTITUTE(SUBSTITUTE(SUBSTITUTE(경동전체1!D548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9" spans="1:24" ht="20.25" customHeight="1" x14ac:dyDescent="0.3">
      <c r="A549" s="2">
        <f>경동전체1!A549</f>
        <v>0</v>
      </c>
      <c r="B549" s="13" t="str">
        <f>SUBSTITUTE(SUBSTITUTE(SUBSTITUTE(SUBSTITUTE(SUBSTITUTE(SUBSTITUTE(SUBSTITUTE(SUBSTITUTE(SUBSTITUTE(SUBSTITUTE(SUBSTITUTE(SUBSTITUTE(SUBSTITUTE(경동전체1!K549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9" s="30">
        <f>경동전체1!E549</f>
        <v>0</v>
      </c>
      <c r="D549" s="23"/>
      <c r="E549" s="23"/>
      <c r="F549" s="4">
        <f>경동전체1!J549</f>
        <v>0</v>
      </c>
      <c r="G549" s="23"/>
      <c r="H549" s="2">
        <f>경동전체1!H549</f>
        <v>0</v>
      </c>
      <c r="I549" s="2" t="str">
        <f>경동전체1!I549&amp;""</f>
        <v/>
      </c>
      <c r="J549" s="2" t="s">
        <v>36</v>
      </c>
      <c r="K549" s="2" t="str">
        <f>IF(LEFT(경동전체1!G549,1)="","따사룸",경동전체1!G549)</f>
        <v>따사룸</v>
      </c>
      <c r="L549" s="4" t="str">
        <f t="shared" si="32"/>
        <v>1</v>
      </c>
      <c r="M549" s="1" t="str">
        <f>IF(LEFT(경동전체1!D549,1)="2","비닐",IF(LEFT(경동전체1!O549,1)="박","박스","비닐"))</f>
        <v>비닐</v>
      </c>
      <c r="N549" s="25">
        <v>1</v>
      </c>
      <c r="O549" s="25">
        <v>1</v>
      </c>
      <c r="P549" s="25">
        <v>1</v>
      </c>
      <c r="Q549" s="25">
        <v>1</v>
      </c>
      <c r="R549" s="1" t="str">
        <f t="shared" si="33"/>
        <v>50</v>
      </c>
      <c r="S549" s="1">
        <f>경동전체1!B549</f>
        <v>0</v>
      </c>
      <c r="T549" s="1" t="str">
        <f t="shared" si="34"/>
        <v>100</v>
      </c>
      <c r="U549" s="5" t="str">
        <f t="shared" si="35"/>
        <v>0</v>
      </c>
      <c r="V549" s="26">
        <v>0</v>
      </c>
      <c r="W549" s="26">
        <v>0</v>
      </c>
      <c r="X549" s="2" t="str">
        <f>SUBSTITUTE(SUBSTITUTE(SUBSTITUTE(SUBSTITUTE(SUBSTITUTE(SUBSTITUTE(SUBSTITUTE(SUBSTITUTE(SUBSTITUTE(SUBSTITUTE(SUBSTITUTE(SUBSTITUTE(SUBSTITUTE(경동전체1!D549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0" spans="1:24" ht="20.25" customHeight="1" x14ac:dyDescent="0.3">
      <c r="A550" s="2">
        <f>경동전체1!A550</f>
        <v>0</v>
      </c>
      <c r="B550" s="13" t="str">
        <f>SUBSTITUTE(SUBSTITUTE(SUBSTITUTE(SUBSTITUTE(SUBSTITUTE(SUBSTITUTE(SUBSTITUTE(SUBSTITUTE(SUBSTITUTE(SUBSTITUTE(SUBSTITUTE(SUBSTITUTE(SUBSTITUTE(경동전체1!K550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0" s="30">
        <f>경동전체1!E550</f>
        <v>0</v>
      </c>
      <c r="D550" s="23"/>
      <c r="E550" s="23"/>
      <c r="F550" s="4">
        <f>경동전체1!J550</f>
        <v>0</v>
      </c>
      <c r="G550" s="23"/>
      <c r="H550" s="2">
        <f>경동전체1!H550</f>
        <v>0</v>
      </c>
      <c r="I550" s="2" t="str">
        <f>경동전체1!I550&amp;""</f>
        <v/>
      </c>
      <c r="J550" s="2" t="s">
        <v>36</v>
      </c>
      <c r="K550" s="2" t="str">
        <f>IF(LEFT(경동전체1!G550,1)="","따사룸",경동전체1!G550)</f>
        <v>따사룸</v>
      </c>
      <c r="L550" s="4" t="str">
        <f t="shared" si="32"/>
        <v>1</v>
      </c>
      <c r="M550" s="1" t="str">
        <f>IF(LEFT(경동전체1!D550,1)="2","비닐",IF(LEFT(경동전체1!O550,1)="박","박스","비닐"))</f>
        <v>비닐</v>
      </c>
      <c r="N550" s="25">
        <v>1</v>
      </c>
      <c r="O550" s="25">
        <v>1</v>
      </c>
      <c r="P550" s="25">
        <v>1</v>
      </c>
      <c r="Q550" s="25">
        <v>1</v>
      </c>
      <c r="R550" s="1" t="str">
        <f t="shared" si="33"/>
        <v>50</v>
      </c>
      <c r="S550" s="1">
        <f>경동전체1!B550</f>
        <v>0</v>
      </c>
      <c r="T550" s="1" t="str">
        <f t="shared" si="34"/>
        <v>100</v>
      </c>
      <c r="U550" s="5" t="str">
        <f t="shared" si="35"/>
        <v>0</v>
      </c>
      <c r="V550" s="26">
        <v>0</v>
      </c>
      <c r="W550" s="26">
        <v>0</v>
      </c>
      <c r="X550" s="2" t="str">
        <f>SUBSTITUTE(SUBSTITUTE(SUBSTITUTE(SUBSTITUTE(SUBSTITUTE(SUBSTITUTE(SUBSTITUTE(SUBSTITUTE(SUBSTITUTE(SUBSTITUTE(SUBSTITUTE(SUBSTITUTE(SUBSTITUTE(경동전체1!D550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1" spans="1:24" ht="20.25" customHeight="1" x14ac:dyDescent="0.3">
      <c r="A551" s="2">
        <f>경동전체1!A551</f>
        <v>0</v>
      </c>
      <c r="B551" s="13" t="str">
        <f>SUBSTITUTE(SUBSTITUTE(SUBSTITUTE(SUBSTITUTE(SUBSTITUTE(SUBSTITUTE(SUBSTITUTE(SUBSTITUTE(SUBSTITUTE(SUBSTITUTE(SUBSTITUTE(SUBSTITUTE(SUBSTITUTE(경동전체1!K551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1" s="30">
        <f>경동전체1!E551</f>
        <v>0</v>
      </c>
      <c r="D551" s="23"/>
      <c r="E551" s="23"/>
      <c r="F551" s="4">
        <f>경동전체1!J551</f>
        <v>0</v>
      </c>
      <c r="G551" s="23"/>
      <c r="H551" s="2">
        <f>경동전체1!H551</f>
        <v>0</v>
      </c>
      <c r="I551" s="2" t="str">
        <f>경동전체1!I551&amp;""</f>
        <v/>
      </c>
      <c r="J551" s="2" t="s">
        <v>36</v>
      </c>
      <c r="K551" s="2" t="str">
        <f>IF(LEFT(경동전체1!G551,1)="","따사룸",경동전체1!G551)</f>
        <v>따사룸</v>
      </c>
      <c r="L551" s="4" t="str">
        <f t="shared" si="32"/>
        <v>1</v>
      </c>
      <c r="M551" s="1" t="str">
        <f>IF(LEFT(경동전체1!D551,1)="2","비닐",IF(LEFT(경동전체1!O551,1)="박","박스","비닐"))</f>
        <v>비닐</v>
      </c>
      <c r="N551" s="25">
        <v>1</v>
      </c>
      <c r="O551" s="25">
        <v>1</v>
      </c>
      <c r="P551" s="25">
        <v>1</v>
      </c>
      <c r="Q551" s="25">
        <v>1</v>
      </c>
      <c r="R551" s="1" t="str">
        <f t="shared" si="33"/>
        <v>50</v>
      </c>
      <c r="S551" s="1">
        <f>경동전체1!B551</f>
        <v>0</v>
      </c>
      <c r="T551" s="1" t="str">
        <f t="shared" si="34"/>
        <v>100</v>
      </c>
      <c r="U551" s="5" t="str">
        <f t="shared" si="35"/>
        <v>0</v>
      </c>
      <c r="V551" s="26">
        <v>0</v>
      </c>
      <c r="W551" s="26">
        <v>0</v>
      </c>
      <c r="X551" s="2" t="str">
        <f>SUBSTITUTE(SUBSTITUTE(SUBSTITUTE(SUBSTITUTE(SUBSTITUTE(SUBSTITUTE(SUBSTITUTE(SUBSTITUTE(SUBSTITUTE(SUBSTITUTE(SUBSTITUTE(SUBSTITUTE(SUBSTITUTE(경동전체1!D551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2" spans="1:24" ht="20.25" customHeight="1" x14ac:dyDescent="0.3">
      <c r="A552" s="2">
        <f>경동전체1!A552</f>
        <v>0</v>
      </c>
      <c r="B552" s="13" t="str">
        <f>SUBSTITUTE(SUBSTITUTE(SUBSTITUTE(SUBSTITUTE(SUBSTITUTE(SUBSTITUTE(SUBSTITUTE(SUBSTITUTE(SUBSTITUTE(SUBSTITUTE(SUBSTITUTE(SUBSTITUTE(SUBSTITUTE(경동전체1!K552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2" s="30">
        <f>경동전체1!E552</f>
        <v>0</v>
      </c>
      <c r="D552" s="23"/>
      <c r="E552" s="23"/>
      <c r="F552" s="4">
        <f>경동전체1!J552</f>
        <v>0</v>
      </c>
      <c r="G552" s="23"/>
      <c r="H552" s="2">
        <f>경동전체1!H552</f>
        <v>0</v>
      </c>
      <c r="I552" s="2" t="str">
        <f>경동전체1!I552&amp;""</f>
        <v/>
      </c>
      <c r="J552" s="2" t="s">
        <v>36</v>
      </c>
      <c r="K552" s="2" t="str">
        <f>IF(LEFT(경동전체1!G552,1)="","따사룸",경동전체1!G552)</f>
        <v>따사룸</v>
      </c>
      <c r="L552" s="4" t="str">
        <f t="shared" si="32"/>
        <v>1</v>
      </c>
      <c r="M552" s="1" t="str">
        <f>IF(LEFT(경동전체1!D552,1)="2","비닐",IF(LEFT(경동전체1!O552,1)="박","박스","비닐"))</f>
        <v>비닐</v>
      </c>
      <c r="N552" s="25">
        <v>1</v>
      </c>
      <c r="O552" s="25">
        <v>1</v>
      </c>
      <c r="P552" s="25">
        <v>1</v>
      </c>
      <c r="Q552" s="25">
        <v>1</v>
      </c>
      <c r="R552" s="1" t="str">
        <f t="shared" si="33"/>
        <v>50</v>
      </c>
      <c r="S552" s="1">
        <f>경동전체1!B552</f>
        <v>0</v>
      </c>
      <c r="T552" s="1" t="str">
        <f t="shared" si="34"/>
        <v>100</v>
      </c>
      <c r="U552" s="5" t="str">
        <f t="shared" si="35"/>
        <v>0</v>
      </c>
      <c r="V552" s="26">
        <v>0</v>
      </c>
      <c r="W552" s="26">
        <v>0</v>
      </c>
      <c r="X552" s="2" t="str">
        <f>SUBSTITUTE(SUBSTITUTE(SUBSTITUTE(SUBSTITUTE(SUBSTITUTE(SUBSTITUTE(SUBSTITUTE(SUBSTITUTE(SUBSTITUTE(SUBSTITUTE(SUBSTITUTE(SUBSTITUTE(SUBSTITUTE(경동전체1!D552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3" spans="1:24" ht="20.25" customHeight="1" x14ac:dyDescent="0.3">
      <c r="A553" s="2">
        <f>경동전체1!A553</f>
        <v>0</v>
      </c>
      <c r="B553" s="13" t="str">
        <f>SUBSTITUTE(SUBSTITUTE(SUBSTITUTE(SUBSTITUTE(SUBSTITUTE(SUBSTITUTE(SUBSTITUTE(SUBSTITUTE(SUBSTITUTE(SUBSTITUTE(SUBSTITUTE(SUBSTITUTE(SUBSTITUTE(경동전체1!K553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3" s="30">
        <f>경동전체1!E553</f>
        <v>0</v>
      </c>
      <c r="D553" s="23"/>
      <c r="E553" s="23"/>
      <c r="F553" s="4">
        <f>경동전체1!J553</f>
        <v>0</v>
      </c>
      <c r="G553" s="23"/>
      <c r="H553" s="2">
        <f>경동전체1!H553</f>
        <v>0</v>
      </c>
      <c r="I553" s="2" t="str">
        <f>경동전체1!I553&amp;""</f>
        <v/>
      </c>
      <c r="J553" s="2" t="s">
        <v>36</v>
      </c>
      <c r="K553" s="2" t="str">
        <f>IF(LEFT(경동전체1!G553,1)="","따사룸",경동전체1!G553)</f>
        <v>따사룸</v>
      </c>
      <c r="L553" s="4" t="str">
        <f t="shared" si="32"/>
        <v>1</v>
      </c>
      <c r="M553" s="1" t="str">
        <f>IF(LEFT(경동전체1!D553,1)="2","비닐",IF(LEFT(경동전체1!O553,1)="박","박스","비닐"))</f>
        <v>비닐</v>
      </c>
      <c r="N553" s="25">
        <v>1</v>
      </c>
      <c r="O553" s="25">
        <v>1</v>
      </c>
      <c r="P553" s="25">
        <v>1</v>
      </c>
      <c r="Q553" s="25">
        <v>1</v>
      </c>
      <c r="R553" s="1" t="str">
        <f t="shared" si="33"/>
        <v>50</v>
      </c>
      <c r="S553" s="1">
        <f>경동전체1!B553</f>
        <v>0</v>
      </c>
      <c r="T553" s="1" t="str">
        <f t="shared" si="34"/>
        <v>100</v>
      </c>
      <c r="U553" s="5" t="str">
        <f t="shared" si="35"/>
        <v>0</v>
      </c>
      <c r="V553" s="26">
        <v>0</v>
      </c>
      <c r="W553" s="26">
        <v>0</v>
      </c>
      <c r="X553" s="2" t="str">
        <f>SUBSTITUTE(SUBSTITUTE(SUBSTITUTE(SUBSTITUTE(SUBSTITUTE(SUBSTITUTE(SUBSTITUTE(SUBSTITUTE(SUBSTITUTE(SUBSTITUTE(SUBSTITUTE(SUBSTITUTE(SUBSTITUTE(경동전체1!D553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4" spans="1:24" ht="20.25" customHeight="1" x14ac:dyDescent="0.3">
      <c r="A554" s="2">
        <f>경동전체1!A554</f>
        <v>0</v>
      </c>
      <c r="B554" s="13" t="str">
        <f>SUBSTITUTE(SUBSTITUTE(SUBSTITUTE(SUBSTITUTE(SUBSTITUTE(SUBSTITUTE(SUBSTITUTE(SUBSTITUTE(SUBSTITUTE(SUBSTITUTE(SUBSTITUTE(SUBSTITUTE(SUBSTITUTE(경동전체1!K554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4" s="30">
        <f>경동전체1!E554</f>
        <v>0</v>
      </c>
      <c r="D554" s="23"/>
      <c r="E554" s="23"/>
      <c r="F554" s="4">
        <f>경동전체1!J554</f>
        <v>0</v>
      </c>
      <c r="G554" s="23"/>
      <c r="H554" s="2">
        <f>경동전체1!H554</f>
        <v>0</v>
      </c>
      <c r="I554" s="2" t="str">
        <f>경동전체1!I554&amp;""</f>
        <v/>
      </c>
      <c r="J554" s="2" t="s">
        <v>36</v>
      </c>
      <c r="K554" s="2" t="str">
        <f>IF(LEFT(경동전체1!G554,1)="","따사룸",경동전체1!G554)</f>
        <v>따사룸</v>
      </c>
      <c r="L554" s="4" t="str">
        <f t="shared" si="32"/>
        <v>1</v>
      </c>
      <c r="M554" s="1" t="str">
        <f>IF(LEFT(경동전체1!D554,1)="2","비닐",IF(LEFT(경동전체1!O554,1)="박","박스","비닐"))</f>
        <v>비닐</v>
      </c>
      <c r="N554" s="25">
        <v>1</v>
      </c>
      <c r="O554" s="25">
        <v>1</v>
      </c>
      <c r="P554" s="25">
        <v>1</v>
      </c>
      <c r="Q554" s="25">
        <v>1</v>
      </c>
      <c r="R554" s="1" t="str">
        <f t="shared" si="33"/>
        <v>50</v>
      </c>
      <c r="S554" s="1">
        <f>경동전체1!B554</f>
        <v>0</v>
      </c>
      <c r="T554" s="1" t="str">
        <f t="shared" si="34"/>
        <v>100</v>
      </c>
      <c r="U554" s="5" t="str">
        <f t="shared" si="35"/>
        <v>0</v>
      </c>
      <c r="V554" s="26">
        <v>0</v>
      </c>
      <c r="W554" s="26">
        <v>0</v>
      </c>
      <c r="X554" s="2" t="str">
        <f>SUBSTITUTE(SUBSTITUTE(SUBSTITUTE(SUBSTITUTE(SUBSTITUTE(SUBSTITUTE(SUBSTITUTE(SUBSTITUTE(SUBSTITUTE(SUBSTITUTE(SUBSTITUTE(SUBSTITUTE(SUBSTITUTE(경동전체1!D554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5" spans="1:24" ht="20.25" customHeight="1" x14ac:dyDescent="0.3">
      <c r="A555" s="2">
        <f>경동전체1!A555</f>
        <v>0</v>
      </c>
      <c r="B555" s="13" t="str">
        <f>SUBSTITUTE(SUBSTITUTE(SUBSTITUTE(SUBSTITUTE(SUBSTITUTE(SUBSTITUTE(SUBSTITUTE(SUBSTITUTE(SUBSTITUTE(SUBSTITUTE(SUBSTITUTE(SUBSTITUTE(SUBSTITUTE(경동전체1!K555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5" s="30">
        <f>경동전체1!E555</f>
        <v>0</v>
      </c>
      <c r="D555" s="23"/>
      <c r="E555" s="23"/>
      <c r="F555" s="4">
        <f>경동전체1!J555</f>
        <v>0</v>
      </c>
      <c r="G555" s="23"/>
      <c r="H555" s="2">
        <f>경동전체1!H555</f>
        <v>0</v>
      </c>
      <c r="I555" s="2" t="str">
        <f>경동전체1!I555&amp;""</f>
        <v/>
      </c>
      <c r="J555" s="2" t="s">
        <v>36</v>
      </c>
      <c r="K555" s="2" t="str">
        <f>IF(LEFT(경동전체1!G555,1)="","따사룸",경동전체1!G555)</f>
        <v>따사룸</v>
      </c>
      <c r="L555" s="4" t="str">
        <f t="shared" si="32"/>
        <v>1</v>
      </c>
      <c r="M555" s="1" t="str">
        <f>IF(LEFT(경동전체1!D555,1)="2","비닐",IF(LEFT(경동전체1!O555,1)="박","박스","비닐"))</f>
        <v>비닐</v>
      </c>
      <c r="N555" s="25">
        <v>1</v>
      </c>
      <c r="O555" s="25">
        <v>1</v>
      </c>
      <c r="P555" s="25">
        <v>1</v>
      </c>
      <c r="Q555" s="25">
        <v>1</v>
      </c>
      <c r="R555" s="1" t="str">
        <f t="shared" si="33"/>
        <v>50</v>
      </c>
      <c r="S555" s="1">
        <f>경동전체1!B555</f>
        <v>0</v>
      </c>
      <c r="T555" s="1" t="str">
        <f t="shared" si="34"/>
        <v>100</v>
      </c>
      <c r="U555" s="5" t="str">
        <f t="shared" si="35"/>
        <v>0</v>
      </c>
      <c r="V555" s="26">
        <v>0</v>
      </c>
      <c r="W555" s="26">
        <v>0</v>
      </c>
      <c r="X555" s="2" t="str">
        <f>SUBSTITUTE(SUBSTITUTE(SUBSTITUTE(SUBSTITUTE(SUBSTITUTE(SUBSTITUTE(SUBSTITUTE(SUBSTITUTE(SUBSTITUTE(SUBSTITUTE(SUBSTITUTE(SUBSTITUTE(SUBSTITUTE(경동전체1!D555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6" spans="1:24" ht="20.25" customHeight="1" x14ac:dyDescent="0.3">
      <c r="A556" s="2">
        <f>경동전체1!A556</f>
        <v>0</v>
      </c>
      <c r="B556" s="13" t="str">
        <f>SUBSTITUTE(SUBSTITUTE(SUBSTITUTE(SUBSTITUTE(SUBSTITUTE(SUBSTITUTE(SUBSTITUTE(SUBSTITUTE(SUBSTITUTE(SUBSTITUTE(SUBSTITUTE(SUBSTITUTE(SUBSTITUTE(경동전체1!K556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6" s="30">
        <f>경동전체1!E556</f>
        <v>0</v>
      </c>
      <c r="D556" s="23"/>
      <c r="E556" s="23"/>
      <c r="F556" s="4">
        <f>경동전체1!J556</f>
        <v>0</v>
      </c>
      <c r="G556" s="23"/>
      <c r="H556" s="2">
        <f>경동전체1!H556</f>
        <v>0</v>
      </c>
      <c r="I556" s="2" t="str">
        <f>경동전체1!I556&amp;""</f>
        <v/>
      </c>
      <c r="J556" s="2" t="s">
        <v>36</v>
      </c>
      <c r="K556" s="2" t="str">
        <f>IF(LEFT(경동전체1!G556,1)="","따사룸",경동전체1!G556)</f>
        <v>따사룸</v>
      </c>
      <c r="L556" s="4" t="str">
        <f t="shared" si="32"/>
        <v>1</v>
      </c>
      <c r="M556" s="1" t="str">
        <f>IF(LEFT(경동전체1!D556,1)="2","비닐",IF(LEFT(경동전체1!O556,1)="박","박스","비닐"))</f>
        <v>비닐</v>
      </c>
      <c r="N556" s="25">
        <v>1</v>
      </c>
      <c r="O556" s="25">
        <v>1</v>
      </c>
      <c r="P556" s="25">
        <v>1</v>
      </c>
      <c r="Q556" s="25">
        <v>1</v>
      </c>
      <c r="R556" s="1" t="str">
        <f t="shared" si="33"/>
        <v>50</v>
      </c>
      <c r="S556" s="1">
        <f>경동전체1!B556</f>
        <v>0</v>
      </c>
      <c r="T556" s="1" t="str">
        <f t="shared" si="34"/>
        <v>100</v>
      </c>
      <c r="U556" s="5" t="str">
        <f t="shared" si="35"/>
        <v>0</v>
      </c>
      <c r="V556" s="26">
        <v>0</v>
      </c>
      <c r="W556" s="26">
        <v>0</v>
      </c>
      <c r="X556" s="2" t="str">
        <f>SUBSTITUTE(SUBSTITUTE(SUBSTITUTE(SUBSTITUTE(SUBSTITUTE(SUBSTITUTE(SUBSTITUTE(SUBSTITUTE(SUBSTITUTE(SUBSTITUTE(SUBSTITUTE(SUBSTITUTE(SUBSTITUTE(경동전체1!D556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7" spans="1:24" ht="20.25" customHeight="1" x14ac:dyDescent="0.3">
      <c r="A557" s="2">
        <f>경동전체1!A557</f>
        <v>0</v>
      </c>
      <c r="B557" s="13" t="str">
        <f>SUBSTITUTE(SUBSTITUTE(SUBSTITUTE(SUBSTITUTE(SUBSTITUTE(SUBSTITUTE(SUBSTITUTE(SUBSTITUTE(SUBSTITUTE(SUBSTITUTE(SUBSTITUTE(SUBSTITUTE(SUBSTITUTE(경동전체1!K557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7" s="30">
        <f>경동전체1!E557</f>
        <v>0</v>
      </c>
      <c r="D557" s="23"/>
      <c r="E557" s="23"/>
      <c r="F557" s="4">
        <f>경동전체1!J557</f>
        <v>0</v>
      </c>
      <c r="G557" s="23"/>
      <c r="H557" s="2">
        <f>경동전체1!H557</f>
        <v>0</v>
      </c>
      <c r="I557" s="2" t="str">
        <f>경동전체1!I557&amp;""</f>
        <v/>
      </c>
      <c r="J557" s="2" t="s">
        <v>36</v>
      </c>
      <c r="K557" s="2" t="str">
        <f>IF(LEFT(경동전체1!G557,1)="","따사룸",경동전체1!G557)</f>
        <v>따사룸</v>
      </c>
      <c r="L557" s="4" t="str">
        <f t="shared" si="32"/>
        <v>1</v>
      </c>
      <c r="M557" s="1" t="str">
        <f>IF(LEFT(경동전체1!D557,1)="2","비닐",IF(LEFT(경동전체1!O557,1)="박","박스","비닐"))</f>
        <v>비닐</v>
      </c>
      <c r="N557" s="25">
        <v>1</v>
      </c>
      <c r="O557" s="25">
        <v>1</v>
      </c>
      <c r="P557" s="25">
        <v>1</v>
      </c>
      <c r="Q557" s="25">
        <v>1</v>
      </c>
      <c r="R557" s="1" t="str">
        <f t="shared" si="33"/>
        <v>50</v>
      </c>
      <c r="S557" s="1">
        <f>경동전체1!B557</f>
        <v>0</v>
      </c>
      <c r="T557" s="1" t="str">
        <f t="shared" si="34"/>
        <v>100</v>
      </c>
      <c r="U557" s="5" t="str">
        <f t="shared" si="35"/>
        <v>0</v>
      </c>
      <c r="V557" s="26">
        <v>0</v>
      </c>
      <c r="W557" s="26">
        <v>0</v>
      </c>
      <c r="X557" s="2" t="str">
        <f>SUBSTITUTE(SUBSTITUTE(SUBSTITUTE(SUBSTITUTE(SUBSTITUTE(SUBSTITUTE(SUBSTITUTE(SUBSTITUTE(SUBSTITUTE(SUBSTITUTE(SUBSTITUTE(SUBSTITUTE(SUBSTITUTE(경동전체1!D557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8" spans="1:24" ht="20.25" customHeight="1" x14ac:dyDescent="0.3">
      <c r="A558" s="2">
        <f>경동전체1!A558</f>
        <v>0</v>
      </c>
      <c r="B558" s="13" t="str">
        <f>SUBSTITUTE(SUBSTITUTE(SUBSTITUTE(SUBSTITUTE(SUBSTITUTE(SUBSTITUTE(SUBSTITUTE(SUBSTITUTE(SUBSTITUTE(SUBSTITUTE(SUBSTITUTE(SUBSTITUTE(SUBSTITUTE(경동전체1!K558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8" s="30">
        <f>경동전체1!E558</f>
        <v>0</v>
      </c>
      <c r="D558" s="23"/>
      <c r="E558" s="23"/>
      <c r="F558" s="4">
        <f>경동전체1!J558</f>
        <v>0</v>
      </c>
      <c r="G558" s="23"/>
      <c r="H558" s="2">
        <f>경동전체1!H558</f>
        <v>0</v>
      </c>
      <c r="I558" s="2" t="str">
        <f>경동전체1!I558&amp;""</f>
        <v/>
      </c>
      <c r="J558" s="2" t="s">
        <v>36</v>
      </c>
      <c r="K558" s="2" t="str">
        <f>IF(LEFT(경동전체1!G558,1)="","따사룸",경동전체1!G558)</f>
        <v>따사룸</v>
      </c>
      <c r="L558" s="4" t="str">
        <f t="shared" si="32"/>
        <v>1</v>
      </c>
      <c r="M558" s="1" t="str">
        <f>IF(LEFT(경동전체1!D558,1)="2","비닐",IF(LEFT(경동전체1!O558,1)="박","박스","비닐"))</f>
        <v>비닐</v>
      </c>
      <c r="N558" s="25">
        <v>1</v>
      </c>
      <c r="O558" s="25">
        <v>1</v>
      </c>
      <c r="P558" s="25">
        <v>1</v>
      </c>
      <c r="Q558" s="25">
        <v>1</v>
      </c>
      <c r="R558" s="1" t="str">
        <f t="shared" si="33"/>
        <v>50</v>
      </c>
      <c r="S558" s="1">
        <f>경동전체1!B558</f>
        <v>0</v>
      </c>
      <c r="T558" s="1" t="str">
        <f t="shared" si="34"/>
        <v>100</v>
      </c>
      <c r="U558" s="5" t="str">
        <f t="shared" si="35"/>
        <v>0</v>
      </c>
      <c r="V558" s="26">
        <v>0</v>
      </c>
      <c r="W558" s="26">
        <v>0</v>
      </c>
      <c r="X558" s="2" t="str">
        <f>SUBSTITUTE(SUBSTITUTE(SUBSTITUTE(SUBSTITUTE(SUBSTITUTE(SUBSTITUTE(SUBSTITUTE(SUBSTITUTE(SUBSTITUTE(SUBSTITUTE(SUBSTITUTE(SUBSTITUTE(SUBSTITUTE(경동전체1!D558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9" spans="1:24" ht="20.25" customHeight="1" x14ac:dyDescent="0.3">
      <c r="A559" s="2">
        <f>경동전체1!A559</f>
        <v>0</v>
      </c>
      <c r="B559" s="13" t="str">
        <f>SUBSTITUTE(SUBSTITUTE(SUBSTITUTE(SUBSTITUTE(SUBSTITUTE(SUBSTITUTE(SUBSTITUTE(SUBSTITUTE(SUBSTITUTE(SUBSTITUTE(SUBSTITUTE(SUBSTITUTE(SUBSTITUTE(경동전체1!K559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9" s="30">
        <f>경동전체1!E559</f>
        <v>0</v>
      </c>
      <c r="D559" s="23"/>
      <c r="E559" s="23"/>
      <c r="F559" s="4">
        <f>경동전체1!J559</f>
        <v>0</v>
      </c>
      <c r="G559" s="23"/>
      <c r="H559" s="2">
        <f>경동전체1!H559</f>
        <v>0</v>
      </c>
      <c r="I559" s="2" t="str">
        <f>경동전체1!I559&amp;""</f>
        <v/>
      </c>
      <c r="J559" s="2" t="s">
        <v>36</v>
      </c>
      <c r="K559" s="2" t="str">
        <f>IF(LEFT(경동전체1!G559,1)="","따사룸",경동전체1!G559)</f>
        <v>따사룸</v>
      </c>
      <c r="L559" s="4" t="str">
        <f t="shared" si="32"/>
        <v>1</v>
      </c>
      <c r="M559" s="1" t="str">
        <f>IF(LEFT(경동전체1!D559,1)="2","비닐",IF(LEFT(경동전체1!O559,1)="박","박스","비닐"))</f>
        <v>비닐</v>
      </c>
      <c r="N559" s="25">
        <v>1</v>
      </c>
      <c r="O559" s="25">
        <v>1</v>
      </c>
      <c r="P559" s="25">
        <v>1</v>
      </c>
      <c r="Q559" s="25">
        <v>1</v>
      </c>
      <c r="R559" s="1" t="str">
        <f t="shared" si="33"/>
        <v>50</v>
      </c>
      <c r="S559" s="1">
        <f>경동전체1!B559</f>
        <v>0</v>
      </c>
      <c r="T559" s="1" t="str">
        <f t="shared" si="34"/>
        <v>100</v>
      </c>
      <c r="U559" s="5" t="str">
        <f t="shared" si="35"/>
        <v>0</v>
      </c>
      <c r="V559" s="26">
        <v>0</v>
      </c>
      <c r="W559" s="26">
        <v>0</v>
      </c>
      <c r="X559" s="2" t="str">
        <f>SUBSTITUTE(SUBSTITUTE(SUBSTITUTE(SUBSTITUTE(SUBSTITUTE(SUBSTITUTE(SUBSTITUTE(SUBSTITUTE(SUBSTITUTE(SUBSTITUTE(SUBSTITUTE(SUBSTITUTE(SUBSTITUTE(경동전체1!D559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0" spans="1:24" ht="20.25" customHeight="1" x14ac:dyDescent="0.3">
      <c r="A560" s="2">
        <f>경동전체1!A560</f>
        <v>0</v>
      </c>
      <c r="B560" s="13" t="str">
        <f>SUBSTITUTE(SUBSTITUTE(SUBSTITUTE(SUBSTITUTE(SUBSTITUTE(SUBSTITUTE(SUBSTITUTE(SUBSTITUTE(SUBSTITUTE(SUBSTITUTE(SUBSTITUTE(SUBSTITUTE(SUBSTITUTE(경동전체1!K560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0" s="30">
        <f>경동전체1!E560</f>
        <v>0</v>
      </c>
      <c r="D560" s="23"/>
      <c r="E560" s="23"/>
      <c r="F560" s="4">
        <f>경동전체1!J560</f>
        <v>0</v>
      </c>
      <c r="G560" s="23"/>
      <c r="H560" s="2">
        <f>경동전체1!H560</f>
        <v>0</v>
      </c>
      <c r="I560" s="2" t="str">
        <f>경동전체1!I560&amp;""</f>
        <v/>
      </c>
      <c r="J560" s="2" t="s">
        <v>36</v>
      </c>
      <c r="K560" s="2" t="str">
        <f>IF(LEFT(경동전체1!G560,1)="","따사룸",경동전체1!G560)</f>
        <v>따사룸</v>
      </c>
      <c r="L560" s="4" t="str">
        <f t="shared" si="32"/>
        <v>1</v>
      </c>
      <c r="M560" s="1" t="str">
        <f>IF(LEFT(경동전체1!D560,1)="2","비닐",IF(LEFT(경동전체1!O560,1)="박","박스","비닐"))</f>
        <v>비닐</v>
      </c>
      <c r="N560" s="25">
        <v>1</v>
      </c>
      <c r="O560" s="25">
        <v>1</v>
      </c>
      <c r="P560" s="25">
        <v>1</v>
      </c>
      <c r="Q560" s="25">
        <v>1</v>
      </c>
      <c r="R560" s="1" t="str">
        <f t="shared" si="33"/>
        <v>50</v>
      </c>
      <c r="S560" s="1">
        <f>경동전체1!B560</f>
        <v>0</v>
      </c>
      <c r="T560" s="1" t="str">
        <f t="shared" si="34"/>
        <v>100</v>
      </c>
      <c r="U560" s="5" t="str">
        <f t="shared" si="35"/>
        <v>0</v>
      </c>
      <c r="V560" s="26">
        <v>0</v>
      </c>
      <c r="W560" s="26">
        <v>0</v>
      </c>
      <c r="X560" s="2" t="str">
        <f>SUBSTITUTE(SUBSTITUTE(SUBSTITUTE(SUBSTITUTE(SUBSTITUTE(SUBSTITUTE(SUBSTITUTE(SUBSTITUTE(SUBSTITUTE(SUBSTITUTE(SUBSTITUTE(SUBSTITUTE(SUBSTITUTE(경동전체1!D560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1" spans="1:24" ht="20.25" customHeight="1" x14ac:dyDescent="0.3">
      <c r="A561" s="2">
        <f>경동전체1!A561</f>
        <v>0</v>
      </c>
      <c r="B561" s="13" t="str">
        <f>SUBSTITUTE(SUBSTITUTE(SUBSTITUTE(SUBSTITUTE(SUBSTITUTE(SUBSTITUTE(SUBSTITUTE(SUBSTITUTE(SUBSTITUTE(SUBSTITUTE(SUBSTITUTE(SUBSTITUTE(SUBSTITUTE(경동전체1!K561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1" s="30">
        <f>경동전체1!E561</f>
        <v>0</v>
      </c>
      <c r="D561" s="23"/>
      <c r="E561" s="23"/>
      <c r="F561" s="4">
        <f>경동전체1!J561</f>
        <v>0</v>
      </c>
      <c r="G561" s="23"/>
      <c r="H561" s="2">
        <f>경동전체1!H561</f>
        <v>0</v>
      </c>
      <c r="I561" s="2" t="str">
        <f>경동전체1!I561&amp;""</f>
        <v/>
      </c>
      <c r="J561" s="2" t="s">
        <v>36</v>
      </c>
      <c r="K561" s="2" t="str">
        <f>IF(LEFT(경동전체1!G561,1)="","따사룸",경동전체1!G561)</f>
        <v>따사룸</v>
      </c>
      <c r="L561" s="4" t="str">
        <f t="shared" si="32"/>
        <v>1</v>
      </c>
      <c r="M561" s="1" t="str">
        <f>IF(LEFT(경동전체1!D561,1)="2","비닐",IF(LEFT(경동전체1!O561,1)="박","박스","비닐"))</f>
        <v>비닐</v>
      </c>
      <c r="N561" s="25">
        <v>1</v>
      </c>
      <c r="O561" s="25">
        <v>1</v>
      </c>
      <c r="P561" s="25">
        <v>1</v>
      </c>
      <c r="Q561" s="25">
        <v>1</v>
      </c>
      <c r="R561" s="1" t="str">
        <f t="shared" si="33"/>
        <v>50</v>
      </c>
      <c r="S561" s="1">
        <f>경동전체1!B561</f>
        <v>0</v>
      </c>
      <c r="T561" s="1" t="str">
        <f t="shared" si="34"/>
        <v>100</v>
      </c>
      <c r="U561" s="5" t="str">
        <f t="shared" si="35"/>
        <v>0</v>
      </c>
      <c r="V561" s="26">
        <v>0</v>
      </c>
      <c r="W561" s="26">
        <v>0</v>
      </c>
      <c r="X561" s="2" t="str">
        <f>SUBSTITUTE(SUBSTITUTE(SUBSTITUTE(SUBSTITUTE(SUBSTITUTE(SUBSTITUTE(SUBSTITUTE(SUBSTITUTE(SUBSTITUTE(SUBSTITUTE(SUBSTITUTE(SUBSTITUTE(SUBSTITUTE(경동전체1!D561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2" spans="1:24" ht="20.25" customHeight="1" x14ac:dyDescent="0.3">
      <c r="A562" s="2">
        <f>경동전체1!A562</f>
        <v>0</v>
      </c>
      <c r="B562" s="13" t="str">
        <f>SUBSTITUTE(SUBSTITUTE(SUBSTITUTE(SUBSTITUTE(SUBSTITUTE(SUBSTITUTE(SUBSTITUTE(SUBSTITUTE(SUBSTITUTE(SUBSTITUTE(SUBSTITUTE(SUBSTITUTE(SUBSTITUTE(경동전체1!K562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2" s="30">
        <f>경동전체1!E562</f>
        <v>0</v>
      </c>
      <c r="D562" s="23"/>
      <c r="E562" s="23"/>
      <c r="F562" s="4">
        <f>경동전체1!J562</f>
        <v>0</v>
      </c>
      <c r="G562" s="23"/>
      <c r="H562" s="2">
        <f>경동전체1!H562</f>
        <v>0</v>
      </c>
      <c r="I562" s="2" t="str">
        <f>경동전체1!I562&amp;""</f>
        <v/>
      </c>
      <c r="J562" s="2" t="s">
        <v>36</v>
      </c>
      <c r="K562" s="2" t="str">
        <f>IF(LEFT(경동전체1!G562,1)="","따사룸",경동전체1!G562)</f>
        <v>따사룸</v>
      </c>
      <c r="L562" s="4" t="str">
        <f t="shared" si="32"/>
        <v>1</v>
      </c>
      <c r="M562" s="1" t="str">
        <f>IF(LEFT(경동전체1!D562,1)="2","비닐",IF(LEFT(경동전체1!O562,1)="박","박스","비닐"))</f>
        <v>비닐</v>
      </c>
      <c r="N562" s="25">
        <v>1</v>
      </c>
      <c r="O562" s="25">
        <v>1</v>
      </c>
      <c r="P562" s="25">
        <v>1</v>
      </c>
      <c r="Q562" s="25">
        <v>1</v>
      </c>
      <c r="R562" s="1" t="str">
        <f t="shared" si="33"/>
        <v>50</v>
      </c>
      <c r="S562" s="1">
        <f>경동전체1!B562</f>
        <v>0</v>
      </c>
      <c r="T562" s="1" t="str">
        <f t="shared" si="34"/>
        <v>100</v>
      </c>
      <c r="U562" s="5" t="str">
        <f t="shared" si="35"/>
        <v>0</v>
      </c>
      <c r="V562" s="26">
        <v>0</v>
      </c>
      <c r="W562" s="26">
        <v>0</v>
      </c>
      <c r="X562" s="2" t="str">
        <f>SUBSTITUTE(SUBSTITUTE(SUBSTITUTE(SUBSTITUTE(SUBSTITUTE(SUBSTITUTE(SUBSTITUTE(SUBSTITUTE(SUBSTITUTE(SUBSTITUTE(SUBSTITUTE(SUBSTITUTE(SUBSTITUTE(경동전체1!D562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3" spans="1:24" ht="20.25" customHeight="1" x14ac:dyDescent="0.3">
      <c r="A563" s="2">
        <f>경동전체1!A563</f>
        <v>0</v>
      </c>
      <c r="B563" s="13" t="str">
        <f>SUBSTITUTE(SUBSTITUTE(SUBSTITUTE(SUBSTITUTE(SUBSTITUTE(SUBSTITUTE(SUBSTITUTE(SUBSTITUTE(SUBSTITUTE(SUBSTITUTE(SUBSTITUTE(SUBSTITUTE(SUBSTITUTE(경동전체1!K563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3" s="30">
        <f>경동전체1!E563</f>
        <v>0</v>
      </c>
      <c r="D563" s="23"/>
      <c r="E563" s="23"/>
      <c r="F563" s="4">
        <f>경동전체1!J563</f>
        <v>0</v>
      </c>
      <c r="G563" s="23"/>
      <c r="H563" s="2">
        <f>경동전체1!H563</f>
        <v>0</v>
      </c>
      <c r="I563" s="2" t="str">
        <f>경동전체1!I563&amp;""</f>
        <v/>
      </c>
      <c r="J563" s="2" t="s">
        <v>36</v>
      </c>
      <c r="K563" s="2" t="str">
        <f>IF(LEFT(경동전체1!G563,1)="","따사룸",경동전체1!G563)</f>
        <v>따사룸</v>
      </c>
      <c r="L563" s="4" t="str">
        <f t="shared" si="32"/>
        <v>1</v>
      </c>
      <c r="M563" s="1" t="str">
        <f>IF(LEFT(경동전체1!D563,1)="2","비닐",IF(LEFT(경동전체1!O563,1)="박","박스","비닐"))</f>
        <v>비닐</v>
      </c>
      <c r="N563" s="25">
        <v>1</v>
      </c>
      <c r="O563" s="25">
        <v>1</v>
      </c>
      <c r="P563" s="25">
        <v>1</v>
      </c>
      <c r="Q563" s="25">
        <v>1</v>
      </c>
      <c r="R563" s="1" t="str">
        <f t="shared" si="33"/>
        <v>50</v>
      </c>
      <c r="S563" s="1">
        <f>경동전체1!B563</f>
        <v>0</v>
      </c>
      <c r="T563" s="1" t="str">
        <f t="shared" si="34"/>
        <v>100</v>
      </c>
      <c r="U563" s="5" t="str">
        <f t="shared" si="35"/>
        <v>0</v>
      </c>
      <c r="V563" s="26">
        <v>0</v>
      </c>
      <c r="W563" s="26">
        <v>0</v>
      </c>
      <c r="X563" s="2" t="str">
        <f>SUBSTITUTE(SUBSTITUTE(SUBSTITUTE(SUBSTITUTE(SUBSTITUTE(SUBSTITUTE(SUBSTITUTE(SUBSTITUTE(SUBSTITUTE(SUBSTITUTE(SUBSTITUTE(SUBSTITUTE(SUBSTITUTE(경동전체1!D563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4" spans="1:24" ht="20.25" customHeight="1" x14ac:dyDescent="0.3">
      <c r="A564" s="2">
        <f>경동전체1!A564</f>
        <v>0</v>
      </c>
      <c r="B564" s="13" t="str">
        <f>SUBSTITUTE(SUBSTITUTE(SUBSTITUTE(SUBSTITUTE(SUBSTITUTE(SUBSTITUTE(SUBSTITUTE(SUBSTITUTE(SUBSTITUTE(SUBSTITUTE(SUBSTITUTE(SUBSTITUTE(SUBSTITUTE(경동전체1!K564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4" s="30">
        <f>경동전체1!E564</f>
        <v>0</v>
      </c>
      <c r="D564" s="23"/>
      <c r="E564" s="23"/>
      <c r="F564" s="4">
        <f>경동전체1!J564</f>
        <v>0</v>
      </c>
      <c r="G564" s="23"/>
      <c r="H564" s="2">
        <f>경동전체1!H564</f>
        <v>0</v>
      </c>
      <c r="I564" s="2" t="str">
        <f>경동전체1!I564&amp;""</f>
        <v/>
      </c>
      <c r="J564" s="2" t="s">
        <v>36</v>
      </c>
      <c r="K564" s="2" t="str">
        <f>IF(LEFT(경동전체1!G564,1)="","따사룸",경동전체1!G564)</f>
        <v>따사룸</v>
      </c>
      <c r="L564" s="4" t="str">
        <f t="shared" si="32"/>
        <v>1</v>
      </c>
      <c r="M564" s="1" t="str">
        <f>IF(LEFT(경동전체1!D564,1)="2","비닐",IF(LEFT(경동전체1!O564,1)="박","박스","비닐"))</f>
        <v>비닐</v>
      </c>
      <c r="N564" s="25">
        <v>1</v>
      </c>
      <c r="O564" s="25">
        <v>1</v>
      </c>
      <c r="P564" s="25">
        <v>1</v>
      </c>
      <c r="Q564" s="25">
        <v>1</v>
      </c>
      <c r="R564" s="1" t="str">
        <f t="shared" si="33"/>
        <v>50</v>
      </c>
      <c r="S564" s="1">
        <f>경동전체1!B564</f>
        <v>0</v>
      </c>
      <c r="T564" s="1" t="str">
        <f t="shared" si="34"/>
        <v>100</v>
      </c>
      <c r="U564" s="5" t="str">
        <f t="shared" si="35"/>
        <v>0</v>
      </c>
      <c r="V564" s="26">
        <v>0</v>
      </c>
      <c r="W564" s="26">
        <v>0</v>
      </c>
      <c r="X564" s="2" t="str">
        <f>SUBSTITUTE(SUBSTITUTE(SUBSTITUTE(SUBSTITUTE(SUBSTITUTE(SUBSTITUTE(SUBSTITUTE(SUBSTITUTE(SUBSTITUTE(SUBSTITUTE(SUBSTITUTE(SUBSTITUTE(SUBSTITUTE(경동전체1!D564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5" spans="1:24" ht="20.25" customHeight="1" x14ac:dyDescent="0.3">
      <c r="A565" s="2">
        <f>경동전체1!A565</f>
        <v>0</v>
      </c>
      <c r="B565" s="13" t="str">
        <f>SUBSTITUTE(SUBSTITUTE(SUBSTITUTE(SUBSTITUTE(SUBSTITUTE(SUBSTITUTE(SUBSTITUTE(SUBSTITUTE(SUBSTITUTE(SUBSTITUTE(SUBSTITUTE(SUBSTITUTE(SUBSTITUTE(경동전체1!K565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5" s="30">
        <f>경동전체1!E565</f>
        <v>0</v>
      </c>
      <c r="D565" s="23"/>
      <c r="E565" s="23"/>
      <c r="F565" s="4">
        <f>경동전체1!J565</f>
        <v>0</v>
      </c>
      <c r="G565" s="23"/>
      <c r="H565" s="2">
        <f>경동전체1!H565</f>
        <v>0</v>
      </c>
      <c r="I565" s="2" t="str">
        <f>경동전체1!I565&amp;""</f>
        <v/>
      </c>
      <c r="J565" s="2" t="s">
        <v>36</v>
      </c>
      <c r="K565" s="2" t="str">
        <f>IF(LEFT(경동전체1!G565,1)="","따사룸",경동전체1!G565)</f>
        <v>따사룸</v>
      </c>
      <c r="L565" s="4" t="str">
        <f t="shared" si="32"/>
        <v>1</v>
      </c>
      <c r="M565" s="1" t="str">
        <f>IF(LEFT(경동전체1!D565,1)="2","비닐",IF(LEFT(경동전체1!O565,1)="박","박스","비닐"))</f>
        <v>비닐</v>
      </c>
      <c r="N565" s="25">
        <v>1</v>
      </c>
      <c r="O565" s="25">
        <v>1</v>
      </c>
      <c r="P565" s="25">
        <v>1</v>
      </c>
      <c r="Q565" s="25">
        <v>1</v>
      </c>
      <c r="R565" s="1" t="str">
        <f t="shared" si="33"/>
        <v>50</v>
      </c>
      <c r="S565" s="1">
        <f>경동전체1!B565</f>
        <v>0</v>
      </c>
      <c r="T565" s="1" t="str">
        <f t="shared" si="34"/>
        <v>100</v>
      </c>
      <c r="U565" s="5" t="str">
        <f t="shared" si="35"/>
        <v>0</v>
      </c>
      <c r="V565" s="26">
        <v>0</v>
      </c>
      <c r="W565" s="26">
        <v>0</v>
      </c>
      <c r="X565" s="2" t="str">
        <f>SUBSTITUTE(SUBSTITUTE(SUBSTITUTE(SUBSTITUTE(SUBSTITUTE(SUBSTITUTE(SUBSTITUTE(SUBSTITUTE(SUBSTITUTE(SUBSTITUTE(SUBSTITUTE(SUBSTITUTE(SUBSTITUTE(경동전체1!D565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6" spans="1:24" ht="20.25" customHeight="1" x14ac:dyDescent="0.3">
      <c r="A566" s="2">
        <f>경동전체1!A566</f>
        <v>0</v>
      </c>
      <c r="B566" s="13" t="str">
        <f>SUBSTITUTE(SUBSTITUTE(SUBSTITUTE(SUBSTITUTE(SUBSTITUTE(SUBSTITUTE(SUBSTITUTE(SUBSTITUTE(SUBSTITUTE(SUBSTITUTE(SUBSTITUTE(SUBSTITUTE(SUBSTITUTE(경동전체1!K566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6" s="30">
        <f>경동전체1!E566</f>
        <v>0</v>
      </c>
      <c r="D566" s="23"/>
      <c r="E566" s="23"/>
      <c r="F566" s="4">
        <f>경동전체1!J566</f>
        <v>0</v>
      </c>
      <c r="G566" s="23"/>
      <c r="H566" s="2">
        <f>경동전체1!H566</f>
        <v>0</v>
      </c>
      <c r="I566" s="2" t="str">
        <f>경동전체1!I566&amp;""</f>
        <v/>
      </c>
      <c r="J566" s="2" t="s">
        <v>36</v>
      </c>
      <c r="K566" s="2" t="str">
        <f>IF(LEFT(경동전체1!G566,1)="","따사룸",경동전체1!G566)</f>
        <v>따사룸</v>
      </c>
      <c r="L566" s="4" t="str">
        <f t="shared" si="32"/>
        <v>1</v>
      </c>
      <c r="M566" s="1" t="str">
        <f>IF(LEFT(경동전체1!D566,1)="2","비닐",IF(LEFT(경동전체1!O566,1)="박","박스","비닐"))</f>
        <v>비닐</v>
      </c>
      <c r="N566" s="25">
        <v>1</v>
      </c>
      <c r="O566" s="25">
        <v>1</v>
      </c>
      <c r="P566" s="25">
        <v>1</v>
      </c>
      <c r="Q566" s="25">
        <v>1</v>
      </c>
      <c r="R566" s="1" t="str">
        <f t="shared" si="33"/>
        <v>50</v>
      </c>
      <c r="S566" s="1">
        <f>경동전체1!B566</f>
        <v>0</v>
      </c>
      <c r="T566" s="1" t="str">
        <f t="shared" si="34"/>
        <v>100</v>
      </c>
      <c r="U566" s="5" t="str">
        <f t="shared" si="35"/>
        <v>0</v>
      </c>
      <c r="V566" s="26">
        <v>0</v>
      </c>
      <c r="W566" s="26">
        <v>0</v>
      </c>
      <c r="X566" s="2" t="str">
        <f>SUBSTITUTE(SUBSTITUTE(SUBSTITUTE(SUBSTITUTE(SUBSTITUTE(SUBSTITUTE(SUBSTITUTE(SUBSTITUTE(SUBSTITUTE(SUBSTITUTE(SUBSTITUTE(SUBSTITUTE(SUBSTITUTE(경동전체1!D566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7" spans="1:24" ht="20.25" customHeight="1" x14ac:dyDescent="0.3">
      <c r="A567" s="2">
        <f>경동전체1!A567</f>
        <v>0</v>
      </c>
      <c r="B567" s="13" t="str">
        <f>SUBSTITUTE(SUBSTITUTE(SUBSTITUTE(SUBSTITUTE(SUBSTITUTE(SUBSTITUTE(SUBSTITUTE(SUBSTITUTE(SUBSTITUTE(SUBSTITUTE(SUBSTITUTE(SUBSTITUTE(SUBSTITUTE(경동전체1!K567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7" s="30">
        <f>경동전체1!E567</f>
        <v>0</v>
      </c>
      <c r="D567" s="23"/>
      <c r="E567" s="23"/>
      <c r="F567" s="4">
        <f>경동전체1!J567</f>
        <v>0</v>
      </c>
      <c r="G567" s="23"/>
      <c r="H567" s="2">
        <f>경동전체1!H567</f>
        <v>0</v>
      </c>
      <c r="I567" s="2" t="str">
        <f>경동전체1!I567&amp;""</f>
        <v/>
      </c>
      <c r="J567" s="2" t="s">
        <v>36</v>
      </c>
      <c r="K567" s="2" t="str">
        <f>IF(LEFT(경동전체1!G567,1)="","따사룸",경동전체1!G567)</f>
        <v>따사룸</v>
      </c>
      <c r="L567" s="4" t="str">
        <f t="shared" si="32"/>
        <v>1</v>
      </c>
      <c r="M567" s="1" t="str">
        <f>IF(LEFT(경동전체1!D567,1)="2","비닐",IF(LEFT(경동전체1!O567,1)="박","박스","비닐"))</f>
        <v>비닐</v>
      </c>
      <c r="N567" s="25">
        <v>1</v>
      </c>
      <c r="O567" s="25">
        <v>1</v>
      </c>
      <c r="P567" s="25">
        <v>1</v>
      </c>
      <c r="Q567" s="25">
        <v>1</v>
      </c>
      <c r="R567" s="1" t="str">
        <f t="shared" si="33"/>
        <v>50</v>
      </c>
      <c r="S567" s="1">
        <f>경동전체1!B567</f>
        <v>0</v>
      </c>
      <c r="T567" s="1" t="str">
        <f t="shared" si="34"/>
        <v>100</v>
      </c>
      <c r="U567" s="5" t="str">
        <f t="shared" si="35"/>
        <v>0</v>
      </c>
      <c r="V567" s="26">
        <v>0</v>
      </c>
      <c r="W567" s="26">
        <v>0</v>
      </c>
      <c r="X567" s="2" t="str">
        <f>SUBSTITUTE(SUBSTITUTE(SUBSTITUTE(SUBSTITUTE(SUBSTITUTE(SUBSTITUTE(SUBSTITUTE(SUBSTITUTE(SUBSTITUTE(SUBSTITUTE(SUBSTITUTE(SUBSTITUTE(SUBSTITUTE(경동전체1!D567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8" spans="1:24" ht="20.25" customHeight="1" x14ac:dyDescent="0.3">
      <c r="A568" s="2">
        <f>경동전체1!A568</f>
        <v>0</v>
      </c>
      <c r="B568" s="13" t="str">
        <f>SUBSTITUTE(SUBSTITUTE(SUBSTITUTE(SUBSTITUTE(SUBSTITUTE(SUBSTITUTE(SUBSTITUTE(SUBSTITUTE(SUBSTITUTE(SUBSTITUTE(SUBSTITUTE(SUBSTITUTE(SUBSTITUTE(경동전체1!K568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8" s="30">
        <f>경동전체1!E568</f>
        <v>0</v>
      </c>
      <c r="D568" s="23"/>
      <c r="E568" s="23"/>
      <c r="F568" s="4">
        <f>경동전체1!J568</f>
        <v>0</v>
      </c>
      <c r="G568" s="23"/>
      <c r="H568" s="2">
        <f>경동전체1!H568</f>
        <v>0</v>
      </c>
      <c r="I568" s="2" t="str">
        <f>경동전체1!I568&amp;""</f>
        <v/>
      </c>
      <c r="J568" s="2" t="s">
        <v>36</v>
      </c>
      <c r="K568" s="2" t="str">
        <f>IF(LEFT(경동전체1!G568,1)="","따사룸",경동전체1!G568)</f>
        <v>따사룸</v>
      </c>
      <c r="L568" s="4" t="str">
        <f t="shared" si="32"/>
        <v>1</v>
      </c>
      <c r="M568" s="1" t="str">
        <f>IF(LEFT(경동전체1!D568,1)="2","비닐",IF(LEFT(경동전체1!O568,1)="박","박스","비닐"))</f>
        <v>비닐</v>
      </c>
      <c r="N568" s="25">
        <v>1</v>
      </c>
      <c r="O568" s="25">
        <v>1</v>
      </c>
      <c r="P568" s="25">
        <v>1</v>
      </c>
      <c r="Q568" s="25">
        <v>1</v>
      </c>
      <c r="R568" s="1" t="str">
        <f t="shared" si="33"/>
        <v>50</v>
      </c>
      <c r="S568" s="1">
        <f>경동전체1!B568</f>
        <v>0</v>
      </c>
      <c r="T568" s="1" t="str">
        <f t="shared" si="34"/>
        <v>100</v>
      </c>
      <c r="U568" s="5" t="str">
        <f t="shared" si="35"/>
        <v>0</v>
      </c>
      <c r="V568" s="26">
        <v>0</v>
      </c>
      <c r="W568" s="26">
        <v>0</v>
      </c>
      <c r="X568" s="2" t="str">
        <f>SUBSTITUTE(SUBSTITUTE(SUBSTITUTE(SUBSTITUTE(SUBSTITUTE(SUBSTITUTE(SUBSTITUTE(SUBSTITUTE(SUBSTITUTE(SUBSTITUTE(SUBSTITUTE(SUBSTITUTE(SUBSTITUTE(경동전체1!D568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9" spans="1:24" ht="20.25" customHeight="1" x14ac:dyDescent="0.3">
      <c r="A569" s="2">
        <f>경동전체1!A569</f>
        <v>0</v>
      </c>
      <c r="B569" s="13" t="str">
        <f>SUBSTITUTE(SUBSTITUTE(SUBSTITUTE(SUBSTITUTE(SUBSTITUTE(SUBSTITUTE(SUBSTITUTE(SUBSTITUTE(SUBSTITUTE(SUBSTITUTE(SUBSTITUTE(SUBSTITUTE(SUBSTITUTE(경동전체1!K569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9" s="30">
        <f>경동전체1!E569</f>
        <v>0</v>
      </c>
      <c r="D569" s="23"/>
      <c r="E569" s="23"/>
      <c r="F569" s="4">
        <f>경동전체1!J569</f>
        <v>0</v>
      </c>
      <c r="G569" s="23"/>
      <c r="H569" s="2">
        <f>경동전체1!H569</f>
        <v>0</v>
      </c>
      <c r="I569" s="2" t="str">
        <f>경동전체1!I569&amp;""</f>
        <v/>
      </c>
      <c r="J569" s="2" t="s">
        <v>36</v>
      </c>
      <c r="K569" s="2" t="str">
        <f>IF(LEFT(경동전체1!G569,1)="","따사룸",경동전체1!G569)</f>
        <v>따사룸</v>
      </c>
      <c r="L569" s="4" t="str">
        <f t="shared" si="32"/>
        <v>1</v>
      </c>
      <c r="M569" s="1" t="str">
        <f>IF(LEFT(경동전체1!D569,1)="2","비닐",IF(LEFT(경동전체1!O569,1)="박","박스","비닐"))</f>
        <v>비닐</v>
      </c>
      <c r="N569" s="25">
        <v>1</v>
      </c>
      <c r="O569" s="25">
        <v>1</v>
      </c>
      <c r="P569" s="25">
        <v>1</v>
      </c>
      <c r="Q569" s="25">
        <v>1</v>
      </c>
      <c r="R569" s="1" t="str">
        <f t="shared" si="33"/>
        <v>50</v>
      </c>
      <c r="S569" s="1">
        <f>경동전체1!B569</f>
        <v>0</v>
      </c>
      <c r="T569" s="1" t="str">
        <f t="shared" si="34"/>
        <v>100</v>
      </c>
      <c r="U569" s="5" t="str">
        <f t="shared" si="35"/>
        <v>0</v>
      </c>
      <c r="V569" s="26">
        <v>0</v>
      </c>
      <c r="W569" s="26">
        <v>0</v>
      </c>
      <c r="X569" s="2" t="str">
        <f>SUBSTITUTE(SUBSTITUTE(SUBSTITUTE(SUBSTITUTE(SUBSTITUTE(SUBSTITUTE(SUBSTITUTE(SUBSTITUTE(SUBSTITUTE(SUBSTITUTE(SUBSTITUTE(SUBSTITUTE(SUBSTITUTE(경동전체1!D569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0" spans="1:24" ht="20.25" customHeight="1" x14ac:dyDescent="0.3">
      <c r="A570" s="2">
        <f>경동전체1!A570</f>
        <v>0</v>
      </c>
      <c r="B570" s="13" t="str">
        <f>SUBSTITUTE(SUBSTITUTE(SUBSTITUTE(SUBSTITUTE(SUBSTITUTE(SUBSTITUTE(SUBSTITUTE(SUBSTITUTE(SUBSTITUTE(SUBSTITUTE(SUBSTITUTE(SUBSTITUTE(SUBSTITUTE(경동전체1!K570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0" s="30">
        <f>경동전체1!E570</f>
        <v>0</v>
      </c>
      <c r="D570" s="23"/>
      <c r="E570" s="23"/>
      <c r="F570" s="4">
        <f>경동전체1!J570</f>
        <v>0</v>
      </c>
      <c r="G570" s="23"/>
      <c r="H570" s="2">
        <f>경동전체1!H570</f>
        <v>0</v>
      </c>
      <c r="I570" s="2" t="str">
        <f>경동전체1!I570&amp;""</f>
        <v/>
      </c>
      <c r="J570" s="2" t="s">
        <v>36</v>
      </c>
      <c r="K570" s="2" t="str">
        <f>IF(LEFT(경동전체1!G570,1)="","따사룸",경동전체1!G570)</f>
        <v>따사룸</v>
      </c>
      <c r="L570" s="4" t="str">
        <f t="shared" si="32"/>
        <v>1</v>
      </c>
      <c r="M570" s="1" t="str">
        <f>IF(LEFT(경동전체1!D570,1)="2","비닐",IF(LEFT(경동전체1!O570,1)="박","박스","비닐"))</f>
        <v>비닐</v>
      </c>
      <c r="N570" s="25">
        <v>1</v>
      </c>
      <c r="O570" s="25">
        <v>1</v>
      </c>
      <c r="P570" s="25">
        <v>1</v>
      </c>
      <c r="Q570" s="25">
        <v>1</v>
      </c>
      <c r="R570" s="1" t="str">
        <f t="shared" si="33"/>
        <v>50</v>
      </c>
      <c r="S570" s="1">
        <f>경동전체1!B570</f>
        <v>0</v>
      </c>
      <c r="T570" s="1" t="str">
        <f t="shared" si="34"/>
        <v>100</v>
      </c>
      <c r="U570" s="5" t="str">
        <f t="shared" si="35"/>
        <v>0</v>
      </c>
      <c r="V570" s="26">
        <v>0</v>
      </c>
      <c r="W570" s="26">
        <v>0</v>
      </c>
      <c r="X570" s="2" t="str">
        <f>SUBSTITUTE(SUBSTITUTE(SUBSTITUTE(SUBSTITUTE(SUBSTITUTE(SUBSTITUTE(SUBSTITUTE(SUBSTITUTE(SUBSTITUTE(SUBSTITUTE(SUBSTITUTE(SUBSTITUTE(SUBSTITUTE(경동전체1!D570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1" spans="1:24" ht="20.25" customHeight="1" x14ac:dyDescent="0.3">
      <c r="A571" s="2">
        <f>경동전체1!A571</f>
        <v>0</v>
      </c>
      <c r="B571" s="13" t="str">
        <f>SUBSTITUTE(SUBSTITUTE(SUBSTITUTE(SUBSTITUTE(SUBSTITUTE(SUBSTITUTE(SUBSTITUTE(SUBSTITUTE(SUBSTITUTE(SUBSTITUTE(SUBSTITUTE(SUBSTITUTE(SUBSTITUTE(경동전체1!K571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1" s="30">
        <f>경동전체1!E571</f>
        <v>0</v>
      </c>
      <c r="D571" s="23"/>
      <c r="E571" s="23"/>
      <c r="F571" s="4">
        <f>경동전체1!J571</f>
        <v>0</v>
      </c>
      <c r="G571" s="23"/>
      <c r="H571" s="2">
        <f>경동전체1!H571</f>
        <v>0</v>
      </c>
      <c r="I571" s="2" t="str">
        <f>경동전체1!I571&amp;""</f>
        <v/>
      </c>
      <c r="J571" s="2" t="s">
        <v>36</v>
      </c>
      <c r="K571" s="2" t="str">
        <f>IF(LEFT(경동전체1!G571,1)="","따사룸",경동전체1!G571)</f>
        <v>따사룸</v>
      </c>
      <c r="L571" s="4" t="str">
        <f t="shared" si="32"/>
        <v>1</v>
      </c>
      <c r="M571" s="1" t="str">
        <f>IF(LEFT(경동전체1!D571,1)="2","비닐",IF(LEFT(경동전체1!O571,1)="박","박스","비닐"))</f>
        <v>비닐</v>
      </c>
      <c r="N571" s="25">
        <v>1</v>
      </c>
      <c r="O571" s="25">
        <v>1</v>
      </c>
      <c r="P571" s="25">
        <v>1</v>
      </c>
      <c r="Q571" s="25">
        <v>1</v>
      </c>
      <c r="R571" s="1" t="str">
        <f t="shared" si="33"/>
        <v>50</v>
      </c>
      <c r="S571" s="1">
        <f>경동전체1!B571</f>
        <v>0</v>
      </c>
      <c r="T571" s="1" t="str">
        <f t="shared" si="34"/>
        <v>100</v>
      </c>
      <c r="U571" s="5" t="str">
        <f t="shared" si="35"/>
        <v>0</v>
      </c>
      <c r="V571" s="26">
        <v>0</v>
      </c>
      <c r="W571" s="26">
        <v>0</v>
      </c>
      <c r="X571" s="2" t="str">
        <f>SUBSTITUTE(SUBSTITUTE(SUBSTITUTE(SUBSTITUTE(SUBSTITUTE(SUBSTITUTE(SUBSTITUTE(SUBSTITUTE(SUBSTITUTE(SUBSTITUTE(SUBSTITUTE(SUBSTITUTE(SUBSTITUTE(경동전체1!D571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2" spans="1:24" ht="20.25" customHeight="1" x14ac:dyDescent="0.3">
      <c r="A572" s="2">
        <f>경동전체1!A572</f>
        <v>0</v>
      </c>
      <c r="B572" s="13" t="str">
        <f>SUBSTITUTE(SUBSTITUTE(SUBSTITUTE(SUBSTITUTE(SUBSTITUTE(SUBSTITUTE(SUBSTITUTE(SUBSTITUTE(SUBSTITUTE(SUBSTITUTE(SUBSTITUTE(SUBSTITUTE(SUBSTITUTE(경동전체1!K572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2" s="30">
        <f>경동전체1!E572</f>
        <v>0</v>
      </c>
      <c r="D572" s="23"/>
      <c r="E572" s="23"/>
      <c r="F572" s="4">
        <f>경동전체1!J572</f>
        <v>0</v>
      </c>
      <c r="G572" s="23"/>
      <c r="H572" s="2">
        <f>경동전체1!H572</f>
        <v>0</v>
      </c>
      <c r="I572" s="2" t="str">
        <f>경동전체1!I572&amp;""</f>
        <v/>
      </c>
      <c r="J572" s="2" t="s">
        <v>36</v>
      </c>
      <c r="K572" s="2" t="str">
        <f>IF(LEFT(경동전체1!G572,1)="","따사룸",경동전체1!G572)</f>
        <v>따사룸</v>
      </c>
      <c r="L572" s="4" t="str">
        <f t="shared" si="32"/>
        <v>1</v>
      </c>
      <c r="M572" s="1" t="str">
        <f>IF(LEFT(경동전체1!D572,1)="2","비닐",IF(LEFT(경동전체1!O572,1)="박","박스","비닐"))</f>
        <v>비닐</v>
      </c>
      <c r="N572" s="25">
        <v>1</v>
      </c>
      <c r="O572" s="25">
        <v>1</v>
      </c>
      <c r="P572" s="25">
        <v>1</v>
      </c>
      <c r="Q572" s="25">
        <v>1</v>
      </c>
      <c r="R572" s="1" t="str">
        <f t="shared" si="33"/>
        <v>50</v>
      </c>
      <c r="S572" s="1">
        <f>경동전체1!B572</f>
        <v>0</v>
      </c>
      <c r="T572" s="1" t="str">
        <f t="shared" si="34"/>
        <v>100</v>
      </c>
      <c r="U572" s="5" t="str">
        <f t="shared" si="35"/>
        <v>0</v>
      </c>
      <c r="V572" s="26">
        <v>0</v>
      </c>
      <c r="W572" s="26">
        <v>0</v>
      </c>
      <c r="X572" s="2" t="str">
        <f>SUBSTITUTE(SUBSTITUTE(SUBSTITUTE(SUBSTITUTE(SUBSTITUTE(SUBSTITUTE(SUBSTITUTE(SUBSTITUTE(SUBSTITUTE(SUBSTITUTE(SUBSTITUTE(SUBSTITUTE(SUBSTITUTE(경동전체1!D572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3" spans="1:24" ht="20.25" customHeight="1" x14ac:dyDescent="0.3">
      <c r="A573" s="2">
        <f>경동전체1!A573</f>
        <v>0</v>
      </c>
      <c r="B573" s="13" t="str">
        <f>SUBSTITUTE(SUBSTITUTE(SUBSTITUTE(SUBSTITUTE(SUBSTITUTE(SUBSTITUTE(SUBSTITUTE(SUBSTITUTE(SUBSTITUTE(SUBSTITUTE(SUBSTITUTE(SUBSTITUTE(SUBSTITUTE(경동전체1!K573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3" s="30">
        <f>경동전체1!E573</f>
        <v>0</v>
      </c>
      <c r="D573" s="23"/>
      <c r="E573" s="23"/>
      <c r="F573" s="4">
        <f>경동전체1!J573</f>
        <v>0</v>
      </c>
      <c r="G573" s="23"/>
      <c r="H573" s="2">
        <f>경동전체1!H573</f>
        <v>0</v>
      </c>
      <c r="I573" s="2" t="str">
        <f>경동전체1!I573&amp;""</f>
        <v/>
      </c>
      <c r="J573" s="2" t="s">
        <v>36</v>
      </c>
      <c r="K573" s="2" t="str">
        <f>IF(LEFT(경동전체1!G573,1)="","따사룸",경동전체1!G573)</f>
        <v>따사룸</v>
      </c>
      <c r="L573" s="4" t="str">
        <f t="shared" si="32"/>
        <v>1</v>
      </c>
      <c r="M573" s="1" t="str">
        <f>IF(LEFT(경동전체1!D573,1)="2","비닐",IF(LEFT(경동전체1!O573,1)="박","박스","비닐"))</f>
        <v>비닐</v>
      </c>
      <c r="N573" s="25">
        <v>1</v>
      </c>
      <c r="O573" s="25">
        <v>1</v>
      </c>
      <c r="P573" s="25">
        <v>1</v>
      </c>
      <c r="Q573" s="25">
        <v>1</v>
      </c>
      <c r="R573" s="1" t="str">
        <f t="shared" si="33"/>
        <v>50</v>
      </c>
      <c r="S573" s="1">
        <f>경동전체1!B573</f>
        <v>0</v>
      </c>
      <c r="T573" s="1" t="str">
        <f t="shared" si="34"/>
        <v>100</v>
      </c>
      <c r="U573" s="5" t="str">
        <f t="shared" si="35"/>
        <v>0</v>
      </c>
      <c r="V573" s="26">
        <v>0</v>
      </c>
      <c r="W573" s="26">
        <v>0</v>
      </c>
      <c r="X573" s="2" t="str">
        <f>SUBSTITUTE(SUBSTITUTE(SUBSTITUTE(SUBSTITUTE(SUBSTITUTE(SUBSTITUTE(SUBSTITUTE(SUBSTITUTE(SUBSTITUTE(SUBSTITUTE(SUBSTITUTE(SUBSTITUTE(SUBSTITUTE(경동전체1!D573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4" spans="1:24" ht="20.25" customHeight="1" x14ac:dyDescent="0.3">
      <c r="B574" s="13" t="str">
        <f>SUBSTITUTE(SUBSTITUTE(SUBSTITUTE(SUBSTITUTE(SUBSTITUTE(SUBSTITUTE(SUBSTITUTE(SUBSTITUTE(SUBSTITUTE(SUBSTITUTE(SUBSTITUTE(SUBSTITUTE(SUBSTITUTE(경동전체1!K574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4" s="4">
        <f>경동전체1!J574</f>
        <v>0</v>
      </c>
      <c r="J574" s="2" t="s">
        <v>36</v>
      </c>
      <c r="K574" s="2" t="str">
        <f>IF(LEFT(경동전체1!G574,1)="","따사룸",경동전체1!G574)</f>
        <v>따사룸</v>
      </c>
      <c r="N574" s="25">
        <v>1</v>
      </c>
      <c r="O574" s="25">
        <v>1</v>
      </c>
      <c r="P574" s="25">
        <v>1</v>
      </c>
      <c r="Q574" s="25">
        <v>1</v>
      </c>
      <c r="S574" s="1">
        <f>경동전체1!B574</f>
        <v>0</v>
      </c>
      <c r="V574" s="26">
        <v>0</v>
      </c>
      <c r="W574" s="26">
        <v>0</v>
      </c>
      <c r="X574" s="2" t="str">
        <f>SUBSTITUTE(SUBSTITUTE(SUBSTITUTE(SUBSTITUTE(SUBSTITUTE(SUBSTITUTE(SUBSTITUTE(SUBSTITUTE(SUBSTITUTE(SUBSTITUTE(SUBSTITUTE(SUBSTITUTE(SUBSTITUTE(경동전체1!D574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5" spans="1:24" ht="20.25" customHeight="1" x14ac:dyDescent="0.3">
      <c r="B575" s="13" t="str">
        <f>SUBSTITUTE(SUBSTITUTE(SUBSTITUTE(SUBSTITUTE(SUBSTITUTE(SUBSTITUTE(SUBSTITUTE(SUBSTITUTE(SUBSTITUTE(SUBSTITUTE(SUBSTITUTE(SUBSTITUTE(SUBSTITUTE(경동전체1!K575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5" s="4">
        <f>경동전체1!J575</f>
        <v>0</v>
      </c>
      <c r="J575" s="2" t="s">
        <v>36</v>
      </c>
      <c r="K575" s="2" t="str">
        <f>IF(LEFT(경동전체1!G575,1)="","따사룸",경동전체1!G575)</f>
        <v>따사룸</v>
      </c>
      <c r="N575" s="25">
        <v>1</v>
      </c>
      <c r="O575" s="25">
        <v>1</v>
      </c>
      <c r="P575" s="25">
        <v>1</v>
      </c>
      <c r="Q575" s="25">
        <v>1</v>
      </c>
      <c r="S575" s="1">
        <f>경동전체1!B575</f>
        <v>0</v>
      </c>
      <c r="V575" s="26">
        <v>0</v>
      </c>
      <c r="W575" s="26">
        <v>0</v>
      </c>
      <c r="X575" s="2" t="str">
        <f>SUBSTITUTE(SUBSTITUTE(SUBSTITUTE(SUBSTITUTE(SUBSTITUTE(SUBSTITUTE(SUBSTITUTE(SUBSTITUTE(SUBSTITUTE(SUBSTITUTE(SUBSTITUTE(SUBSTITUTE(SUBSTITUTE(경동전체1!D575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6" spans="1:24" ht="20.25" customHeight="1" x14ac:dyDescent="0.3">
      <c r="B576" s="13" t="str">
        <f>SUBSTITUTE(SUBSTITUTE(SUBSTITUTE(SUBSTITUTE(SUBSTITUTE(SUBSTITUTE(SUBSTITUTE(SUBSTITUTE(SUBSTITUTE(SUBSTITUTE(SUBSTITUTE(SUBSTITUTE(SUBSTITUTE(경동전체1!K576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6" s="4">
        <f>경동전체1!J576</f>
        <v>0</v>
      </c>
      <c r="J576" s="2" t="s">
        <v>36</v>
      </c>
      <c r="K576" s="2" t="str">
        <f>IF(LEFT(경동전체1!G576,1)="","따사룸",경동전체1!G576)</f>
        <v>따사룸</v>
      </c>
      <c r="N576" s="25">
        <v>1</v>
      </c>
      <c r="O576" s="25">
        <v>1</v>
      </c>
      <c r="P576" s="25">
        <v>1</v>
      </c>
      <c r="Q576" s="25">
        <v>1</v>
      </c>
      <c r="S576" s="1">
        <f>경동전체1!B576</f>
        <v>0</v>
      </c>
      <c r="V576" s="26">
        <v>0</v>
      </c>
      <c r="W576" s="26">
        <v>0</v>
      </c>
      <c r="X576" s="2" t="str">
        <f>SUBSTITUTE(SUBSTITUTE(SUBSTITUTE(SUBSTITUTE(SUBSTITUTE(SUBSTITUTE(SUBSTITUTE(SUBSTITUTE(SUBSTITUTE(SUBSTITUTE(SUBSTITUTE(SUBSTITUTE(SUBSTITUTE(경동전체1!D576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7" spans="2:24" ht="20.25" customHeight="1" x14ac:dyDescent="0.3">
      <c r="B577" s="13" t="str">
        <f>SUBSTITUTE(SUBSTITUTE(SUBSTITUTE(SUBSTITUTE(SUBSTITUTE(SUBSTITUTE(SUBSTITUTE(SUBSTITUTE(SUBSTITUTE(SUBSTITUTE(SUBSTITUTE(SUBSTITUTE(SUBSTITUTE(경동전체1!K577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7" s="4">
        <f>경동전체1!J577</f>
        <v>0</v>
      </c>
      <c r="J577" s="2" t="s">
        <v>36</v>
      </c>
      <c r="K577" s="2" t="str">
        <f>IF(LEFT(경동전체1!G577,1)="","따사룸",경동전체1!G577)</f>
        <v>따사룸</v>
      </c>
      <c r="N577" s="25">
        <v>1</v>
      </c>
      <c r="O577" s="25">
        <v>1</v>
      </c>
      <c r="P577" s="25">
        <v>1</v>
      </c>
      <c r="Q577" s="25">
        <v>1</v>
      </c>
      <c r="S577" s="1">
        <f>경동전체1!B577</f>
        <v>0</v>
      </c>
      <c r="V577" s="26">
        <v>0</v>
      </c>
      <c r="W577" s="26">
        <v>0</v>
      </c>
      <c r="X577" s="2" t="str">
        <f>SUBSTITUTE(SUBSTITUTE(SUBSTITUTE(SUBSTITUTE(SUBSTITUTE(SUBSTITUTE(SUBSTITUTE(SUBSTITUTE(SUBSTITUTE(SUBSTITUTE(SUBSTITUTE(SUBSTITUTE(SUBSTITUTE(경동전체1!D577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</sheetData>
  <phoneticPr fontId="3" type="noConversion"/>
  <conditionalFormatting sqref="B1:B1048576">
    <cfRule type="cellIs" dxfId="15" priority="3" operator="equal">
      <formula>"제주도"</formula>
    </cfRule>
  </conditionalFormatting>
  <conditionalFormatting sqref="H574:H1048576 H1">
    <cfRule type="duplicateValues" dxfId="14" priority="5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E029-F9E2-4E61-A8B8-03FF448D2B6B}">
  <sheetPr>
    <tabColor theme="5" tint="0.79998168889431442"/>
    <pageSetUpPr fitToPage="1"/>
  </sheetPr>
  <dimension ref="A1:O370"/>
  <sheetViews>
    <sheetView zoomScale="90" zoomScaleNormal="90" workbookViewId="0">
      <pane ySplit="1" topLeftCell="A2" activePane="bottomLeft" state="frozen"/>
      <selection activeCell="E12" sqref="E12"/>
      <selection pane="bottomLeft" activeCell="D2" sqref="D2:K75"/>
    </sheetView>
  </sheetViews>
  <sheetFormatPr defaultColWidth="9" defaultRowHeight="20.25" customHeight="1" x14ac:dyDescent="0.3"/>
  <cols>
    <col min="1" max="1" width="21.5" style="6" customWidth="1"/>
    <col min="2" max="2" width="8.125" style="6" customWidth="1"/>
    <col min="3" max="3" width="9" style="6" customWidth="1"/>
    <col min="4" max="4" width="53.875" style="6" bestFit="1" customWidth="1"/>
    <col min="5" max="5" width="23.875" style="28" bestFit="1" customWidth="1"/>
    <col min="6" max="6" width="10.375" style="6" bestFit="1" customWidth="1"/>
    <col min="7" max="7" width="15.625" style="6" customWidth="1"/>
    <col min="8" max="9" width="13.875" style="6" bestFit="1" customWidth="1"/>
    <col min="10" max="10" width="7" style="8" customWidth="1"/>
    <col min="11" max="11" width="49.25" style="7" bestFit="1" customWidth="1"/>
    <col min="12" max="14" width="9" style="6"/>
    <col min="15" max="15" width="7.625" style="11" bestFit="1" customWidth="1"/>
    <col min="16" max="16384" width="9" style="6"/>
  </cols>
  <sheetData>
    <row r="1" spans="1:15" s="5" customFormat="1" ht="28.5" customHeight="1" x14ac:dyDescent="0.3">
      <c r="A1" s="17" t="s">
        <v>10</v>
      </c>
      <c r="B1" s="20" t="s">
        <v>13</v>
      </c>
      <c r="C1" s="20" t="s">
        <v>14</v>
      </c>
      <c r="D1" s="20" t="s">
        <v>15</v>
      </c>
      <c r="E1" s="27" t="s">
        <v>16</v>
      </c>
      <c r="F1" s="17" t="s">
        <v>17</v>
      </c>
      <c r="G1" s="17" t="s">
        <v>37</v>
      </c>
      <c r="H1" s="17" t="s">
        <v>11</v>
      </c>
      <c r="I1" s="17" t="s">
        <v>11</v>
      </c>
      <c r="J1" s="18" t="s">
        <v>0</v>
      </c>
      <c r="K1" s="19" t="s">
        <v>12</v>
      </c>
      <c r="O1" s="10" t="s">
        <v>21</v>
      </c>
    </row>
    <row r="2" spans="1:15" ht="23.25" customHeight="1" x14ac:dyDescent="0.3">
      <c r="A2" s="6" t="s">
        <v>38</v>
      </c>
      <c r="B2" s="6">
        <v>19400</v>
      </c>
      <c r="C2" s="6">
        <v>1</v>
      </c>
      <c r="D2" s="6" t="s">
        <v>99</v>
      </c>
      <c r="E2" s="28" t="s">
        <v>100</v>
      </c>
      <c r="G2" s="6" t="s">
        <v>101</v>
      </c>
      <c r="H2" s="6" t="s">
        <v>102</v>
      </c>
      <c r="I2" s="6" t="s">
        <v>102</v>
      </c>
      <c r="J2" s="6" t="s">
        <v>103</v>
      </c>
      <c r="K2" s="6" t="s">
        <v>104</v>
      </c>
      <c r="O2" s="11" t="str">
        <f>SUBSTITUTE(SUBSTITUTE(SUBSTITUTE(SUBSTITUTE(SUBSTITUTE(SUBSTITUTE(B2,"8100","박스"),"12100","박스"),"13800","박스"),"14700","박스"),"15400","박스"),"8600","박스")</f>
        <v>19400</v>
      </c>
    </row>
    <row r="3" spans="1:15" ht="23.25" customHeight="1" x14ac:dyDescent="0.3">
      <c r="A3" s="6" t="s">
        <v>39</v>
      </c>
      <c r="B3" s="6">
        <v>19400</v>
      </c>
      <c r="C3" s="6">
        <v>1</v>
      </c>
      <c r="D3" s="6" t="s">
        <v>99</v>
      </c>
      <c r="E3" s="28" t="s">
        <v>105</v>
      </c>
      <c r="G3" s="6" t="s">
        <v>101</v>
      </c>
      <c r="H3" s="6" t="s">
        <v>106</v>
      </c>
      <c r="I3" s="6" t="s">
        <v>106</v>
      </c>
      <c r="J3" s="6" t="s">
        <v>107</v>
      </c>
      <c r="K3" s="6" t="s">
        <v>108</v>
      </c>
      <c r="O3" s="11" t="str">
        <f t="shared" ref="O3:O66" si="0">SUBSTITUTE(SUBSTITUTE(SUBSTITUTE(SUBSTITUTE(SUBSTITUTE(SUBSTITUTE(B3,"8100","박스"),"12100","박스"),"13800","박스"),"14700","박스"),"15400","박스"),"8600","박스")</f>
        <v>19400</v>
      </c>
    </row>
    <row r="4" spans="1:15" ht="20.25" customHeight="1" x14ac:dyDescent="0.3">
      <c r="A4" s="6" t="s">
        <v>40</v>
      </c>
      <c r="B4" s="6">
        <v>12700</v>
      </c>
      <c r="C4" s="6">
        <v>1</v>
      </c>
      <c r="D4" s="6" t="s">
        <v>109</v>
      </c>
      <c r="G4" s="6" t="s">
        <v>110</v>
      </c>
      <c r="H4" s="6" t="s">
        <v>111</v>
      </c>
      <c r="I4" s="6" t="s">
        <v>111</v>
      </c>
      <c r="J4" s="6" t="s">
        <v>112</v>
      </c>
      <c r="K4" s="6" t="s">
        <v>113</v>
      </c>
      <c r="O4" s="11" t="str">
        <f t="shared" si="0"/>
        <v>12700</v>
      </c>
    </row>
    <row r="5" spans="1:15" ht="20.25" customHeight="1" x14ac:dyDescent="0.3">
      <c r="A5" s="6" t="s">
        <v>41</v>
      </c>
      <c r="D5" s="6" t="s">
        <v>114</v>
      </c>
      <c r="E5" s="28" t="s">
        <v>115</v>
      </c>
      <c r="F5" s="6" t="s">
        <v>116</v>
      </c>
      <c r="G5" s="6" t="s">
        <v>110</v>
      </c>
      <c r="H5" s="6" t="s">
        <v>117</v>
      </c>
      <c r="I5" s="6" t="s">
        <v>118</v>
      </c>
      <c r="J5" s="6" t="s">
        <v>119</v>
      </c>
      <c r="K5" s="6" t="s">
        <v>120</v>
      </c>
      <c r="O5" s="11" t="str">
        <f t="shared" si="0"/>
        <v/>
      </c>
    </row>
    <row r="6" spans="1:15" ht="20.25" customHeight="1" x14ac:dyDescent="0.3">
      <c r="A6" s="6" t="s">
        <v>42</v>
      </c>
      <c r="B6" s="6">
        <v>12700</v>
      </c>
      <c r="C6" s="6">
        <v>1</v>
      </c>
      <c r="D6" s="6" t="s">
        <v>121</v>
      </c>
      <c r="E6" s="28" t="s">
        <v>122</v>
      </c>
      <c r="H6" s="6" t="s">
        <v>117</v>
      </c>
      <c r="I6" s="6" t="s">
        <v>118</v>
      </c>
      <c r="J6" s="6" t="s">
        <v>119</v>
      </c>
      <c r="K6" s="6" t="s">
        <v>120</v>
      </c>
      <c r="O6" s="11" t="str">
        <f t="shared" si="0"/>
        <v>12700</v>
      </c>
    </row>
    <row r="7" spans="1:15" ht="20.25" customHeight="1" x14ac:dyDescent="0.3">
      <c r="A7" s="6" t="s">
        <v>43</v>
      </c>
      <c r="B7" s="6">
        <v>12100</v>
      </c>
      <c r="C7" s="6">
        <v>1</v>
      </c>
      <c r="D7" s="6" t="s">
        <v>123</v>
      </c>
      <c r="E7" s="28" t="s">
        <v>115</v>
      </c>
      <c r="G7" s="6" t="s">
        <v>124</v>
      </c>
      <c r="H7" s="6" t="s">
        <v>117</v>
      </c>
      <c r="I7" s="6" t="s">
        <v>118</v>
      </c>
      <c r="J7" s="6" t="s">
        <v>119</v>
      </c>
      <c r="K7" s="6" t="s">
        <v>120</v>
      </c>
      <c r="O7" s="11" t="str">
        <f t="shared" si="0"/>
        <v>박스</v>
      </c>
    </row>
    <row r="8" spans="1:15" ht="20.25" customHeight="1" x14ac:dyDescent="0.3">
      <c r="A8" s="6" t="s">
        <v>41</v>
      </c>
      <c r="B8" s="6">
        <v>12100</v>
      </c>
      <c r="C8" s="6">
        <v>1</v>
      </c>
      <c r="D8" s="6" t="s">
        <v>123</v>
      </c>
      <c r="E8" s="28" t="s">
        <v>115</v>
      </c>
      <c r="F8" s="6" t="s">
        <v>116</v>
      </c>
      <c r="H8" s="6" t="s">
        <v>117</v>
      </c>
      <c r="I8" s="6" t="s">
        <v>118</v>
      </c>
      <c r="J8" s="6" t="s">
        <v>119</v>
      </c>
      <c r="K8" s="6" t="s">
        <v>120</v>
      </c>
      <c r="O8" s="11" t="str">
        <f t="shared" si="0"/>
        <v>박스</v>
      </c>
    </row>
    <row r="9" spans="1:15" ht="20.25" customHeight="1" x14ac:dyDescent="0.3">
      <c r="A9" s="6" t="s">
        <v>44</v>
      </c>
      <c r="B9" s="6">
        <v>13800</v>
      </c>
      <c r="C9" s="6">
        <v>1</v>
      </c>
      <c r="D9" s="6" t="s">
        <v>125</v>
      </c>
      <c r="E9" s="28" t="s">
        <v>115</v>
      </c>
      <c r="F9" s="6" t="s">
        <v>116</v>
      </c>
      <c r="G9" s="6" t="s">
        <v>110</v>
      </c>
      <c r="H9" s="6" t="s">
        <v>117</v>
      </c>
      <c r="I9" s="6" t="s">
        <v>118</v>
      </c>
      <c r="J9" s="6" t="s">
        <v>119</v>
      </c>
      <c r="K9" s="6" t="s">
        <v>120</v>
      </c>
      <c r="O9" s="11" t="str">
        <f t="shared" si="0"/>
        <v>박스</v>
      </c>
    </row>
    <row r="10" spans="1:15" ht="20.25" customHeight="1" x14ac:dyDescent="0.3">
      <c r="A10" s="6" t="s">
        <v>44</v>
      </c>
      <c r="D10" s="6" t="s">
        <v>126</v>
      </c>
      <c r="E10" s="28" t="s">
        <v>115</v>
      </c>
      <c r="F10" s="6" t="s">
        <v>116</v>
      </c>
      <c r="G10" s="6" t="s">
        <v>110</v>
      </c>
      <c r="H10" s="6" t="s">
        <v>117</v>
      </c>
      <c r="I10" s="6" t="s">
        <v>118</v>
      </c>
      <c r="J10" s="6" t="s">
        <v>119</v>
      </c>
      <c r="K10" s="6" t="s">
        <v>120</v>
      </c>
      <c r="O10" s="11" t="str">
        <f t="shared" si="0"/>
        <v/>
      </c>
    </row>
    <row r="11" spans="1:15" ht="20.25" customHeight="1" x14ac:dyDescent="0.3">
      <c r="A11" s="6" t="s">
        <v>45</v>
      </c>
      <c r="B11" s="6">
        <v>8600</v>
      </c>
      <c r="C11" s="6">
        <v>1</v>
      </c>
      <c r="D11" s="6" t="s">
        <v>127</v>
      </c>
      <c r="G11" s="6" t="s">
        <v>110</v>
      </c>
      <c r="H11" s="6" t="s">
        <v>128</v>
      </c>
      <c r="I11" s="6" t="s">
        <v>128</v>
      </c>
      <c r="J11" s="6" t="s">
        <v>129</v>
      </c>
      <c r="K11" s="6" t="s">
        <v>130</v>
      </c>
      <c r="O11" s="11" t="str">
        <f t="shared" si="0"/>
        <v>박스</v>
      </c>
    </row>
    <row r="12" spans="1:15" ht="20.25" customHeight="1" x14ac:dyDescent="0.3">
      <c r="A12" s="6" t="s">
        <v>46</v>
      </c>
      <c r="B12" s="6">
        <v>6900</v>
      </c>
      <c r="C12" s="6">
        <v>1</v>
      </c>
      <c r="D12" s="6" t="s">
        <v>131</v>
      </c>
      <c r="G12" s="6" t="s">
        <v>110</v>
      </c>
      <c r="H12" s="6" t="s">
        <v>132</v>
      </c>
      <c r="I12" s="6" t="s">
        <v>132</v>
      </c>
      <c r="J12" s="6" t="s">
        <v>133</v>
      </c>
      <c r="K12" s="6" t="s">
        <v>134</v>
      </c>
      <c r="O12" s="11" t="str">
        <f t="shared" si="0"/>
        <v>6900</v>
      </c>
    </row>
    <row r="13" spans="1:15" ht="20.25" customHeight="1" x14ac:dyDescent="0.3">
      <c r="A13" s="6" t="s">
        <v>47</v>
      </c>
      <c r="B13" s="6">
        <v>12100</v>
      </c>
      <c r="C13" s="6">
        <v>1</v>
      </c>
      <c r="D13" s="6" t="s">
        <v>135</v>
      </c>
      <c r="G13" s="6" t="s">
        <v>101</v>
      </c>
      <c r="H13" s="6" t="s">
        <v>136</v>
      </c>
      <c r="I13" s="6" t="s">
        <v>136</v>
      </c>
      <c r="J13" s="6" t="s">
        <v>137</v>
      </c>
      <c r="K13" s="6" t="s">
        <v>138</v>
      </c>
      <c r="O13" s="11" t="str">
        <f t="shared" si="0"/>
        <v>박스</v>
      </c>
    </row>
    <row r="14" spans="1:15" ht="20.25" customHeight="1" x14ac:dyDescent="0.3">
      <c r="A14" s="6" t="s">
        <v>48</v>
      </c>
      <c r="B14" s="6">
        <v>12100</v>
      </c>
      <c r="C14" s="6">
        <v>1</v>
      </c>
      <c r="D14" s="6" t="s">
        <v>135</v>
      </c>
      <c r="H14" s="6" t="s">
        <v>136</v>
      </c>
      <c r="I14" s="6" t="s">
        <v>136</v>
      </c>
      <c r="J14" s="6" t="s">
        <v>137</v>
      </c>
      <c r="K14" s="6" t="s">
        <v>138</v>
      </c>
      <c r="O14" s="11" t="str">
        <f t="shared" si="0"/>
        <v>박스</v>
      </c>
    </row>
    <row r="15" spans="1:15" ht="20.25" customHeight="1" x14ac:dyDescent="0.3">
      <c r="A15" s="6" t="s">
        <v>49</v>
      </c>
      <c r="B15" s="6">
        <v>6900</v>
      </c>
      <c r="C15" s="6">
        <v>1</v>
      </c>
      <c r="D15" s="6" t="s">
        <v>139</v>
      </c>
      <c r="G15" s="6" t="s">
        <v>110</v>
      </c>
      <c r="H15" s="6" t="s">
        <v>140</v>
      </c>
      <c r="I15" s="6" t="s">
        <v>140</v>
      </c>
      <c r="J15" s="6" t="s">
        <v>141</v>
      </c>
      <c r="K15" s="6" t="s">
        <v>142</v>
      </c>
      <c r="O15" s="11" t="str">
        <f t="shared" si="0"/>
        <v>6900</v>
      </c>
    </row>
    <row r="16" spans="1:15" ht="20.25" customHeight="1" x14ac:dyDescent="0.3">
      <c r="A16" s="6" t="s">
        <v>50</v>
      </c>
      <c r="B16" s="6">
        <v>8600</v>
      </c>
      <c r="C16" s="6">
        <v>1</v>
      </c>
      <c r="D16" s="6" t="s">
        <v>143</v>
      </c>
      <c r="G16" s="6" t="s">
        <v>110</v>
      </c>
      <c r="H16" s="6" t="s">
        <v>144</v>
      </c>
      <c r="I16" s="6" t="s">
        <v>144</v>
      </c>
      <c r="J16" s="6" t="s">
        <v>145</v>
      </c>
      <c r="K16" s="6" t="s">
        <v>146</v>
      </c>
      <c r="O16" s="11" t="str">
        <f t="shared" si="0"/>
        <v>박스</v>
      </c>
    </row>
    <row r="17" spans="1:15" ht="20.25" customHeight="1" x14ac:dyDescent="0.3">
      <c r="A17" s="6" t="s">
        <v>51</v>
      </c>
      <c r="B17" s="6">
        <v>10700</v>
      </c>
      <c r="C17" s="6">
        <v>1</v>
      </c>
      <c r="D17" s="6" t="s">
        <v>147</v>
      </c>
      <c r="E17" s="28" t="s">
        <v>148</v>
      </c>
      <c r="G17" s="6" t="s">
        <v>110</v>
      </c>
      <c r="H17" s="6" t="s">
        <v>149</v>
      </c>
      <c r="I17" s="6" t="s">
        <v>149</v>
      </c>
      <c r="J17" s="6" t="s">
        <v>150</v>
      </c>
      <c r="K17" s="6" t="s">
        <v>151</v>
      </c>
      <c r="O17" s="11" t="str">
        <f t="shared" si="0"/>
        <v>10700</v>
      </c>
    </row>
    <row r="18" spans="1:15" ht="20.25" customHeight="1" x14ac:dyDescent="0.3">
      <c r="A18" s="6" t="s">
        <v>52</v>
      </c>
      <c r="B18" s="6">
        <v>10700</v>
      </c>
      <c r="C18" s="6">
        <v>1</v>
      </c>
      <c r="D18" s="6" t="s">
        <v>152</v>
      </c>
      <c r="E18" s="28" t="s">
        <v>148</v>
      </c>
      <c r="F18" s="6" t="s">
        <v>116</v>
      </c>
      <c r="G18" s="6" t="s">
        <v>110</v>
      </c>
      <c r="H18" s="6" t="s">
        <v>149</v>
      </c>
      <c r="I18" s="6" t="s">
        <v>149</v>
      </c>
      <c r="J18" s="6" t="s">
        <v>150</v>
      </c>
      <c r="K18" s="6" t="s">
        <v>151</v>
      </c>
      <c r="O18" s="11" t="str">
        <f t="shared" si="0"/>
        <v>10700</v>
      </c>
    </row>
    <row r="19" spans="1:15" ht="20.25" customHeight="1" x14ac:dyDescent="0.3">
      <c r="A19" s="6" t="s">
        <v>52</v>
      </c>
      <c r="D19" s="6" t="s">
        <v>139</v>
      </c>
      <c r="E19" s="28" t="s">
        <v>148</v>
      </c>
      <c r="F19" s="6" t="s">
        <v>116</v>
      </c>
      <c r="G19" s="6" t="s">
        <v>110</v>
      </c>
      <c r="H19" s="6" t="s">
        <v>149</v>
      </c>
      <c r="I19" s="6" t="s">
        <v>149</v>
      </c>
      <c r="J19" s="6" t="s">
        <v>150</v>
      </c>
      <c r="K19" s="6" t="s">
        <v>151</v>
      </c>
      <c r="O19" s="11" t="str">
        <f t="shared" si="0"/>
        <v/>
      </c>
    </row>
    <row r="20" spans="1:15" ht="20.25" customHeight="1" x14ac:dyDescent="0.3">
      <c r="A20" s="6" t="s">
        <v>53</v>
      </c>
      <c r="B20" s="6">
        <v>10700</v>
      </c>
      <c r="C20" s="6">
        <v>1</v>
      </c>
      <c r="D20" s="6" t="s">
        <v>147</v>
      </c>
      <c r="G20" s="6" t="s">
        <v>110</v>
      </c>
      <c r="H20" s="6" t="s">
        <v>153</v>
      </c>
      <c r="I20" s="6" t="s">
        <v>153</v>
      </c>
      <c r="J20" s="6" t="s">
        <v>154</v>
      </c>
      <c r="K20" s="6" t="s">
        <v>155</v>
      </c>
      <c r="O20" s="11" t="str">
        <f t="shared" si="0"/>
        <v>10700</v>
      </c>
    </row>
    <row r="21" spans="1:15" ht="20.25" customHeight="1" x14ac:dyDescent="0.3">
      <c r="A21" s="6" t="s">
        <v>54</v>
      </c>
      <c r="B21" s="6">
        <v>8600</v>
      </c>
      <c r="C21" s="6">
        <v>1</v>
      </c>
      <c r="D21" s="6" t="s">
        <v>156</v>
      </c>
      <c r="G21" s="6" t="s">
        <v>110</v>
      </c>
      <c r="H21" s="6" t="s">
        <v>153</v>
      </c>
      <c r="I21" s="6" t="s">
        <v>153</v>
      </c>
      <c r="J21" s="6" t="s">
        <v>154</v>
      </c>
      <c r="K21" s="6" t="s">
        <v>155</v>
      </c>
      <c r="O21" s="11" t="str">
        <f t="shared" si="0"/>
        <v>박스</v>
      </c>
    </row>
    <row r="22" spans="1:15" ht="20.25" customHeight="1" x14ac:dyDescent="0.3">
      <c r="A22" s="6" t="s">
        <v>55</v>
      </c>
      <c r="B22" s="6">
        <v>8600</v>
      </c>
      <c r="C22" s="6">
        <v>1</v>
      </c>
      <c r="D22" s="6" t="s">
        <v>156</v>
      </c>
      <c r="G22" s="6" t="s">
        <v>110</v>
      </c>
      <c r="H22" s="6" t="s">
        <v>157</v>
      </c>
      <c r="I22" s="6" t="s">
        <v>157</v>
      </c>
      <c r="J22" s="6" t="s">
        <v>158</v>
      </c>
      <c r="K22" s="6" t="s">
        <v>159</v>
      </c>
      <c r="O22" s="11" t="str">
        <f t="shared" si="0"/>
        <v>박스</v>
      </c>
    </row>
    <row r="23" spans="1:15" ht="20.25" customHeight="1" x14ac:dyDescent="0.3">
      <c r="A23" s="6" t="s">
        <v>56</v>
      </c>
      <c r="B23" s="6">
        <v>8600</v>
      </c>
      <c r="C23" s="6">
        <v>1</v>
      </c>
      <c r="D23" s="6" t="s">
        <v>156</v>
      </c>
      <c r="G23" s="6" t="s">
        <v>110</v>
      </c>
      <c r="H23" s="6" t="s">
        <v>157</v>
      </c>
      <c r="I23" s="6" t="s">
        <v>157</v>
      </c>
      <c r="J23" s="6" t="s">
        <v>158</v>
      </c>
      <c r="K23" s="6" t="s">
        <v>159</v>
      </c>
      <c r="O23" s="11" t="str">
        <f t="shared" si="0"/>
        <v>박스</v>
      </c>
    </row>
    <row r="24" spans="1:15" ht="20.25" customHeight="1" x14ac:dyDescent="0.3">
      <c r="A24" s="6" t="s">
        <v>57</v>
      </c>
      <c r="B24" s="6">
        <v>15400</v>
      </c>
      <c r="C24" s="6">
        <v>1</v>
      </c>
      <c r="D24" s="6" t="s">
        <v>160</v>
      </c>
      <c r="G24" s="6" t="s">
        <v>101</v>
      </c>
      <c r="H24" s="6" t="s">
        <v>161</v>
      </c>
      <c r="I24" s="6" t="s">
        <v>161</v>
      </c>
      <c r="J24" s="6" t="s">
        <v>162</v>
      </c>
      <c r="K24" s="6" t="s">
        <v>163</v>
      </c>
      <c r="O24" s="11" t="str">
        <f t="shared" si="0"/>
        <v>박스</v>
      </c>
    </row>
    <row r="25" spans="1:15" ht="20.25" customHeight="1" x14ac:dyDescent="0.3">
      <c r="A25" s="6" t="s">
        <v>58</v>
      </c>
      <c r="D25" s="6" t="s">
        <v>164</v>
      </c>
      <c r="E25" s="28" t="s">
        <v>165</v>
      </c>
      <c r="F25" s="6" t="s">
        <v>116</v>
      </c>
      <c r="H25" s="6" t="s">
        <v>166</v>
      </c>
      <c r="I25" s="6" t="s">
        <v>166</v>
      </c>
      <c r="J25" s="6" t="s">
        <v>167</v>
      </c>
      <c r="K25" s="6" t="s">
        <v>168</v>
      </c>
      <c r="O25" s="11" t="str">
        <f t="shared" si="0"/>
        <v/>
      </c>
    </row>
    <row r="26" spans="1:15" ht="20.25" customHeight="1" x14ac:dyDescent="0.3">
      <c r="A26" s="6" t="s">
        <v>58</v>
      </c>
      <c r="B26" s="6">
        <v>15400</v>
      </c>
      <c r="C26" s="6">
        <v>1</v>
      </c>
      <c r="D26" s="6" t="s">
        <v>169</v>
      </c>
      <c r="E26" s="28" t="s">
        <v>165</v>
      </c>
      <c r="F26" s="6" t="s">
        <v>116</v>
      </c>
      <c r="G26" s="6" t="s">
        <v>101</v>
      </c>
      <c r="H26" s="6" t="s">
        <v>166</v>
      </c>
      <c r="I26" s="6" t="s">
        <v>166</v>
      </c>
      <c r="J26" s="6" t="s">
        <v>167</v>
      </c>
      <c r="K26" s="6" t="s">
        <v>168</v>
      </c>
      <c r="O26" s="11" t="str">
        <f t="shared" si="0"/>
        <v>박스</v>
      </c>
    </row>
    <row r="27" spans="1:15" ht="20.25" customHeight="1" x14ac:dyDescent="0.3">
      <c r="A27" s="6" t="s">
        <v>59</v>
      </c>
      <c r="B27" s="6">
        <v>6900</v>
      </c>
      <c r="C27" s="6">
        <v>1</v>
      </c>
      <c r="D27" s="6" t="s">
        <v>131</v>
      </c>
      <c r="G27" s="6" t="s">
        <v>110</v>
      </c>
      <c r="H27" s="6" t="s">
        <v>170</v>
      </c>
      <c r="I27" s="6" t="s">
        <v>170</v>
      </c>
      <c r="J27" s="6" t="s">
        <v>171</v>
      </c>
      <c r="K27" s="6" t="s">
        <v>172</v>
      </c>
      <c r="O27" s="11" t="str">
        <f t="shared" si="0"/>
        <v>6900</v>
      </c>
    </row>
    <row r="28" spans="1:15" ht="20.25" customHeight="1" x14ac:dyDescent="0.3">
      <c r="A28" s="6" t="s">
        <v>60</v>
      </c>
      <c r="B28" s="6">
        <v>12700</v>
      </c>
      <c r="C28" s="6">
        <v>1</v>
      </c>
      <c r="D28" s="6" t="s">
        <v>173</v>
      </c>
      <c r="G28" s="6" t="s">
        <v>110</v>
      </c>
      <c r="H28" s="6" t="s">
        <v>174</v>
      </c>
      <c r="I28" s="6" t="s">
        <v>174</v>
      </c>
      <c r="J28" s="6" t="s">
        <v>175</v>
      </c>
      <c r="K28" s="6" t="s">
        <v>176</v>
      </c>
      <c r="O28" s="11" t="str">
        <f t="shared" si="0"/>
        <v>12700</v>
      </c>
    </row>
    <row r="29" spans="1:15" ht="20.25" customHeight="1" x14ac:dyDescent="0.3">
      <c r="A29" s="6" t="s">
        <v>61</v>
      </c>
      <c r="B29" s="6">
        <v>12700</v>
      </c>
      <c r="C29" s="6">
        <v>1</v>
      </c>
      <c r="D29" s="6" t="s">
        <v>173</v>
      </c>
      <c r="G29" s="6" t="s">
        <v>110</v>
      </c>
      <c r="H29" s="6" t="s">
        <v>174</v>
      </c>
      <c r="I29" s="6" t="s">
        <v>174</v>
      </c>
      <c r="J29" s="6" t="s">
        <v>175</v>
      </c>
      <c r="K29" s="6" t="s">
        <v>176</v>
      </c>
      <c r="O29" s="11" t="str">
        <f t="shared" si="0"/>
        <v>12700</v>
      </c>
    </row>
    <row r="30" spans="1:15" ht="20.25" customHeight="1" x14ac:dyDescent="0.3">
      <c r="A30" s="6" t="s">
        <v>62</v>
      </c>
      <c r="B30" s="6">
        <v>8600</v>
      </c>
      <c r="C30" s="6">
        <v>1</v>
      </c>
      <c r="D30" s="6" t="s">
        <v>177</v>
      </c>
      <c r="F30" s="6" t="s">
        <v>116</v>
      </c>
      <c r="G30" s="6" t="s">
        <v>110</v>
      </c>
      <c r="H30" s="6" t="s">
        <v>174</v>
      </c>
      <c r="I30" s="6" t="s">
        <v>174</v>
      </c>
      <c r="J30" s="6" t="s">
        <v>175</v>
      </c>
      <c r="K30" s="6" t="s">
        <v>176</v>
      </c>
      <c r="O30" s="11" t="str">
        <f t="shared" si="0"/>
        <v>박스</v>
      </c>
    </row>
    <row r="31" spans="1:15" ht="20.25" customHeight="1" x14ac:dyDescent="0.3">
      <c r="A31" s="6" t="s">
        <v>62</v>
      </c>
      <c r="D31" s="6" t="s">
        <v>178</v>
      </c>
      <c r="F31" s="6" t="s">
        <v>116</v>
      </c>
      <c r="G31" s="6" t="s">
        <v>110</v>
      </c>
      <c r="H31" s="6" t="s">
        <v>174</v>
      </c>
      <c r="I31" s="6" t="s">
        <v>174</v>
      </c>
      <c r="J31" s="6" t="s">
        <v>175</v>
      </c>
      <c r="K31" s="6" t="s">
        <v>176</v>
      </c>
      <c r="O31" s="11" t="str">
        <f t="shared" si="0"/>
        <v/>
      </c>
    </row>
    <row r="32" spans="1:15" ht="20.25" customHeight="1" x14ac:dyDescent="0.3">
      <c r="A32" s="6" t="s">
        <v>63</v>
      </c>
      <c r="B32" s="6">
        <v>10700</v>
      </c>
      <c r="C32" s="6">
        <v>1</v>
      </c>
      <c r="D32" s="6" t="s">
        <v>147</v>
      </c>
      <c r="G32" s="6" t="s">
        <v>110</v>
      </c>
      <c r="H32" s="6" t="s">
        <v>179</v>
      </c>
      <c r="I32" s="6" t="s">
        <v>180</v>
      </c>
      <c r="J32" s="6" t="s">
        <v>181</v>
      </c>
      <c r="K32" s="6" t="s">
        <v>182</v>
      </c>
      <c r="O32" s="11" t="str">
        <f t="shared" si="0"/>
        <v>10700</v>
      </c>
    </row>
    <row r="33" spans="1:15" ht="20.25" customHeight="1" x14ac:dyDescent="0.3">
      <c r="A33" s="6" t="s">
        <v>64</v>
      </c>
      <c r="B33" s="6">
        <v>10700</v>
      </c>
      <c r="C33" s="6">
        <v>1</v>
      </c>
      <c r="D33" s="6" t="s">
        <v>147</v>
      </c>
      <c r="G33" s="6" t="s">
        <v>110</v>
      </c>
      <c r="H33" s="6" t="s">
        <v>179</v>
      </c>
      <c r="I33" s="6" t="s">
        <v>180</v>
      </c>
      <c r="J33" s="6" t="s">
        <v>181</v>
      </c>
      <c r="K33" s="6" t="s">
        <v>182</v>
      </c>
      <c r="O33" s="11" t="str">
        <f t="shared" si="0"/>
        <v>10700</v>
      </c>
    </row>
    <row r="34" spans="1:15" ht="20.25" customHeight="1" x14ac:dyDescent="0.3">
      <c r="A34" s="6" t="s">
        <v>65</v>
      </c>
      <c r="B34" s="6">
        <v>10700</v>
      </c>
      <c r="C34" s="6">
        <v>1</v>
      </c>
      <c r="D34" s="6" t="s">
        <v>147</v>
      </c>
      <c r="G34" s="6" t="s">
        <v>110</v>
      </c>
      <c r="H34" s="6" t="s">
        <v>179</v>
      </c>
      <c r="I34" s="6" t="s">
        <v>180</v>
      </c>
      <c r="J34" s="6" t="s">
        <v>181</v>
      </c>
      <c r="K34" s="6" t="s">
        <v>182</v>
      </c>
      <c r="O34" s="11" t="str">
        <f t="shared" si="0"/>
        <v>10700</v>
      </c>
    </row>
    <row r="35" spans="1:15" ht="20.25" customHeight="1" x14ac:dyDescent="0.3">
      <c r="A35" s="6" t="s">
        <v>66</v>
      </c>
      <c r="B35" s="6">
        <v>10700</v>
      </c>
      <c r="C35" s="6">
        <v>1</v>
      </c>
      <c r="D35" s="6" t="s">
        <v>183</v>
      </c>
      <c r="E35" s="28" t="s">
        <v>115</v>
      </c>
      <c r="G35" s="6" t="s">
        <v>110</v>
      </c>
      <c r="H35" s="6" t="s">
        <v>184</v>
      </c>
      <c r="I35" s="6" t="s">
        <v>184</v>
      </c>
      <c r="J35" s="6" t="s">
        <v>185</v>
      </c>
      <c r="K35" s="6" t="s">
        <v>186</v>
      </c>
      <c r="O35" s="11" t="str">
        <f t="shared" si="0"/>
        <v>10700</v>
      </c>
    </row>
    <row r="36" spans="1:15" ht="20.25" customHeight="1" x14ac:dyDescent="0.3">
      <c r="A36" s="6" t="s">
        <v>67</v>
      </c>
      <c r="B36" s="6">
        <v>12700</v>
      </c>
      <c r="C36" s="6">
        <v>1</v>
      </c>
      <c r="D36" s="6" t="s">
        <v>173</v>
      </c>
      <c r="G36" s="6" t="s">
        <v>110</v>
      </c>
      <c r="H36" s="6" t="s">
        <v>187</v>
      </c>
      <c r="I36" s="6" t="s">
        <v>187</v>
      </c>
      <c r="J36" s="6" t="s">
        <v>188</v>
      </c>
      <c r="K36" s="6" t="s">
        <v>189</v>
      </c>
      <c r="O36" s="11" t="str">
        <f t="shared" si="0"/>
        <v>12700</v>
      </c>
    </row>
    <row r="37" spans="1:15" ht="20.25" customHeight="1" x14ac:dyDescent="0.3">
      <c r="A37" s="6" t="s">
        <v>68</v>
      </c>
      <c r="B37" s="6">
        <v>12700</v>
      </c>
      <c r="C37" s="6">
        <v>1</v>
      </c>
      <c r="D37" s="6" t="s">
        <v>173</v>
      </c>
      <c r="G37" s="6" t="s">
        <v>110</v>
      </c>
      <c r="H37" s="6" t="s">
        <v>187</v>
      </c>
      <c r="I37" s="6" t="s">
        <v>187</v>
      </c>
      <c r="J37" s="6" t="s">
        <v>188</v>
      </c>
      <c r="K37" s="6" t="s">
        <v>189</v>
      </c>
      <c r="O37" s="11" t="str">
        <f t="shared" si="0"/>
        <v>12700</v>
      </c>
    </row>
    <row r="38" spans="1:15" ht="20.25" customHeight="1" x14ac:dyDescent="0.3">
      <c r="A38" s="6" t="s">
        <v>69</v>
      </c>
      <c r="B38" s="6">
        <v>12700</v>
      </c>
      <c r="C38" s="6">
        <v>1</v>
      </c>
      <c r="D38" s="6" t="s">
        <v>173</v>
      </c>
      <c r="G38" s="6" t="s">
        <v>110</v>
      </c>
      <c r="H38" s="6" t="s">
        <v>187</v>
      </c>
      <c r="I38" s="6" t="s">
        <v>187</v>
      </c>
      <c r="J38" s="6" t="s">
        <v>188</v>
      </c>
      <c r="K38" s="6" t="s">
        <v>189</v>
      </c>
      <c r="O38" s="11" t="str">
        <f t="shared" si="0"/>
        <v>12700</v>
      </c>
    </row>
    <row r="39" spans="1:15" ht="20.25" customHeight="1" x14ac:dyDescent="0.3">
      <c r="A39" s="6" t="s">
        <v>70</v>
      </c>
      <c r="B39" s="6">
        <v>15400</v>
      </c>
      <c r="C39" s="6">
        <v>1</v>
      </c>
      <c r="D39" s="6" t="s">
        <v>190</v>
      </c>
      <c r="G39" s="6" t="s">
        <v>124</v>
      </c>
      <c r="H39" s="6" t="s">
        <v>191</v>
      </c>
      <c r="I39" s="6" t="s">
        <v>191</v>
      </c>
      <c r="J39" s="6" t="s">
        <v>192</v>
      </c>
      <c r="K39" s="7" t="s">
        <v>193</v>
      </c>
      <c r="O39" s="11" t="str">
        <f t="shared" si="0"/>
        <v>박스</v>
      </c>
    </row>
    <row r="40" spans="1:15" ht="20.25" customHeight="1" x14ac:dyDescent="0.3">
      <c r="A40" s="6" t="s">
        <v>71</v>
      </c>
      <c r="B40" s="6">
        <v>15400</v>
      </c>
      <c r="C40" s="6">
        <v>1</v>
      </c>
      <c r="D40" s="6" t="s">
        <v>194</v>
      </c>
      <c r="G40" s="6" t="s">
        <v>110</v>
      </c>
      <c r="H40" s="6" t="s">
        <v>191</v>
      </c>
      <c r="I40" s="6" t="s">
        <v>191</v>
      </c>
      <c r="J40" s="6" t="s">
        <v>192</v>
      </c>
      <c r="K40" s="7" t="s">
        <v>193</v>
      </c>
      <c r="O40" s="11" t="str">
        <f t="shared" si="0"/>
        <v>박스</v>
      </c>
    </row>
    <row r="41" spans="1:15" ht="20.25" customHeight="1" x14ac:dyDescent="0.3">
      <c r="A41" s="6" t="s">
        <v>72</v>
      </c>
      <c r="B41" s="6">
        <v>16700</v>
      </c>
      <c r="C41" s="6">
        <v>1</v>
      </c>
      <c r="D41" s="6" t="s">
        <v>195</v>
      </c>
      <c r="E41" s="28" t="s">
        <v>122</v>
      </c>
      <c r="H41" s="6" t="s">
        <v>191</v>
      </c>
      <c r="I41" s="6" t="s">
        <v>191</v>
      </c>
      <c r="J41" s="6" t="s">
        <v>192</v>
      </c>
      <c r="K41" s="7" t="s">
        <v>193</v>
      </c>
      <c r="O41" s="11" t="str">
        <f t="shared" si="0"/>
        <v>16700</v>
      </c>
    </row>
    <row r="42" spans="1:15" ht="20.25" customHeight="1" x14ac:dyDescent="0.3">
      <c r="A42" s="6" t="s">
        <v>73</v>
      </c>
      <c r="B42" s="6">
        <v>6900</v>
      </c>
      <c r="C42" s="6">
        <v>1</v>
      </c>
      <c r="D42" s="6" t="s">
        <v>196</v>
      </c>
      <c r="G42" s="6" t="s">
        <v>110</v>
      </c>
      <c r="H42" s="6" t="s">
        <v>197</v>
      </c>
      <c r="I42" s="6" t="s">
        <v>197</v>
      </c>
      <c r="J42" s="6" t="s">
        <v>198</v>
      </c>
      <c r="K42" s="7" t="s">
        <v>199</v>
      </c>
      <c r="O42" s="11" t="str">
        <f t="shared" si="0"/>
        <v>6900</v>
      </c>
    </row>
    <row r="43" spans="1:15" ht="20.25" customHeight="1" x14ac:dyDescent="0.3">
      <c r="A43" s="6" t="s">
        <v>74</v>
      </c>
      <c r="D43" s="6" t="s">
        <v>114</v>
      </c>
      <c r="E43" s="28" t="s">
        <v>200</v>
      </c>
      <c r="F43" s="6" t="s">
        <v>116</v>
      </c>
      <c r="G43" s="6" t="s">
        <v>110</v>
      </c>
      <c r="H43" s="6" t="s">
        <v>201</v>
      </c>
      <c r="I43" s="6" t="s">
        <v>201</v>
      </c>
      <c r="J43" s="6" t="s">
        <v>202</v>
      </c>
      <c r="K43" s="7" t="s">
        <v>203</v>
      </c>
      <c r="O43" s="11" t="str">
        <f t="shared" si="0"/>
        <v/>
      </c>
    </row>
    <row r="44" spans="1:15" ht="20.25" customHeight="1" x14ac:dyDescent="0.3">
      <c r="A44" s="6" t="s">
        <v>75</v>
      </c>
      <c r="B44" s="6">
        <v>13800</v>
      </c>
      <c r="C44" s="6">
        <v>1</v>
      </c>
      <c r="D44" s="6" t="s">
        <v>204</v>
      </c>
      <c r="E44" s="28" t="s">
        <v>200</v>
      </c>
      <c r="G44" s="6" t="s">
        <v>110</v>
      </c>
      <c r="H44" s="6" t="s">
        <v>201</v>
      </c>
      <c r="I44" s="6" t="s">
        <v>201</v>
      </c>
      <c r="J44" s="6" t="s">
        <v>202</v>
      </c>
      <c r="K44" s="7" t="s">
        <v>203</v>
      </c>
      <c r="O44" s="11" t="str">
        <f t="shared" si="0"/>
        <v>박스</v>
      </c>
    </row>
    <row r="45" spans="1:15" ht="20.25" customHeight="1" x14ac:dyDescent="0.3">
      <c r="A45" s="6" t="s">
        <v>74</v>
      </c>
      <c r="B45" s="6">
        <v>12100</v>
      </c>
      <c r="C45" s="6">
        <v>1</v>
      </c>
      <c r="D45" s="6" t="s">
        <v>205</v>
      </c>
      <c r="E45" s="28" t="s">
        <v>200</v>
      </c>
      <c r="F45" s="6" t="s">
        <v>116</v>
      </c>
      <c r="G45" s="6" t="s">
        <v>110</v>
      </c>
      <c r="H45" s="6" t="s">
        <v>201</v>
      </c>
      <c r="I45" s="6" t="s">
        <v>201</v>
      </c>
      <c r="J45" s="6" t="s">
        <v>202</v>
      </c>
      <c r="K45" s="7" t="s">
        <v>203</v>
      </c>
      <c r="O45" s="11" t="str">
        <f t="shared" si="0"/>
        <v>박스</v>
      </c>
    </row>
    <row r="46" spans="1:15" ht="20.25" customHeight="1" x14ac:dyDescent="0.3">
      <c r="A46" s="6" t="s">
        <v>76</v>
      </c>
      <c r="B46" s="6">
        <v>12700</v>
      </c>
      <c r="C46" s="6">
        <v>1</v>
      </c>
      <c r="D46" s="6" t="s">
        <v>206</v>
      </c>
      <c r="H46" s="6" t="s">
        <v>207</v>
      </c>
      <c r="I46" s="6" t="s">
        <v>207</v>
      </c>
      <c r="J46" s="6" t="s">
        <v>208</v>
      </c>
      <c r="K46" s="7" t="s">
        <v>209</v>
      </c>
      <c r="O46" s="11" t="str">
        <f t="shared" si="0"/>
        <v>12700</v>
      </c>
    </row>
    <row r="47" spans="1:15" ht="20.25" customHeight="1" x14ac:dyDescent="0.3">
      <c r="A47" s="6" t="s">
        <v>77</v>
      </c>
      <c r="B47" s="6">
        <v>12700</v>
      </c>
      <c r="C47" s="6">
        <v>1</v>
      </c>
      <c r="D47" s="6" t="s">
        <v>210</v>
      </c>
      <c r="F47" s="6" t="s">
        <v>116</v>
      </c>
      <c r="H47" s="6" t="s">
        <v>207</v>
      </c>
      <c r="I47" s="6" t="s">
        <v>207</v>
      </c>
      <c r="J47" s="6" t="s">
        <v>208</v>
      </c>
      <c r="K47" s="7" t="s">
        <v>209</v>
      </c>
      <c r="O47" s="11" t="str">
        <f t="shared" si="0"/>
        <v>12700</v>
      </c>
    </row>
    <row r="48" spans="1:15" ht="20.25" customHeight="1" x14ac:dyDescent="0.3">
      <c r="A48" s="6" t="s">
        <v>77</v>
      </c>
      <c r="D48" s="6" t="s">
        <v>211</v>
      </c>
      <c r="F48" s="6" t="s">
        <v>116</v>
      </c>
      <c r="H48" s="6" t="s">
        <v>207</v>
      </c>
      <c r="I48" s="6" t="s">
        <v>207</v>
      </c>
      <c r="J48" s="6" t="s">
        <v>208</v>
      </c>
      <c r="K48" s="7" t="s">
        <v>209</v>
      </c>
      <c r="O48" s="11" t="str">
        <f t="shared" si="0"/>
        <v/>
      </c>
    </row>
    <row r="49" spans="1:15" ht="20.25" customHeight="1" x14ac:dyDescent="0.3">
      <c r="A49" s="6" t="s">
        <v>78</v>
      </c>
      <c r="B49" s="6">
        <v>12700</v>
      </c>
      <c r="C49" s="6">
        <v>1</v>
      </c>
      <c r="D49" s="6" t="s">
        <v>212</v>
      </c>
      <c r="H49" s="6" t="s">
        <v>207</v>
      </c>
      <c r="I49" s="6" t="s">
        <v>207</v>
      </c>
      <c r="J49" s="6" t="s">
        <v>208</v>
      </c>
      <c r="K49" s="7" t="s">
        <v>209</v>
      </c>
      <c r="O49" s="11" t="str">
        <f t="shared" si="0"/>
        <v>12700</v>
      </c>
    </row>
    <row r="50" spans="1:15" ht="20.25" customHeight="1" x14ac:dyDescent="0.3">
      <c r="A50" s="6" t="s">
        <v>79</v>
      </c>
      <c r="B50" s="6">
        <v>12700</v>
      </c>
      <c r="C50" s="6">
        <v>1</v>
      </c>
      <c r="D50" s="6" t="s">
        <v>212</v>
      </c>
      <c r="H50" s="6" t="s">
        <v>207</v>
      </c>
      <c r="I50" s="6" t="s">
        <v>207</v>
      </c>
      <c r="J50" s="6" t="s">
        <v>208</v>
      </c>
      <c r="K50" s="7" t="s">
        <v>209</v>
      </c>
      <c r="O50" s="11" t="str">
        <f t="shared" si="0"/>
        <v>12700</v>
      </c>
    </row>
    <row r="51" spans="1:15" ht="20.25" customHeight="1" x14ac:dyDescent="0.3">
      <c r="A51" s="6" t="s">
        <v>80</v>
      </c>
      <c r="B51" s="6">
        <v>12700</v>
      </c>
      <c r="C51" s="6">
        <v>1</v>
      </c>
      <c r="D51" s="6" t="s">
        <v>212</v>
      </c>
      <c r="H51" s="6" t="s">
        <v>207</v>
      </c>
      <c r="I51" s="6" t="s">
        <v>207</v>
      </c>
      <c r="J51" s="6" t="s">
        <v>208</v>
      </c>
      <c r="K51" s="7" t="s">
        <v>209</v>
      </c>
      <c r="O51" s="11" t="str">
        <f t="shared" si="0"/>
        <v>12700</v>
      </c>
    </row>
    <row r="52" spans="1:15" ht="20.25" customHeight="1" x14ac:dyDescent="0.3">
      <c r="A52" s="6" t="s">
        <v>81</v>
      </c>
      <c r="B52" s="6">
        <v>13800</v>
      </c>
      <c r="C52" s="6">
        <v>1</v>
      </c>
      <c r="D52" s="6" t="s">
        <v>213</v>
      </c>
      <c r="H52" s="6" t="s">
        <v>214</v>
      </c>
      <c r="I52" s="6" t="s">
        <v>214</v>
      </c>
      <c r="J52" s="6" t="s">
        <v>215</v>
      </c>
      <c r="K52" s="7" t="s">
        <v>216</v>
      </c>
      <c r="O52" s="11" t="str">
        <f t="shared" si="0"/>
        <v>박스</v>
      </c>
    </row>
    <row r="53" spans="1:15" ht="20.25" customHeight="1" x14ac:dyDescent="0.3">
      <c r="A53" s="6" t="s">
        <v>82</v>
      </c>
      <c r="B53" s="6">
        <v>13800</v>
      </c>
      <c r="C53" s="6">
        <v>1</v>
      </c>
      <c r="D53" s="6" t="s">
        <v>213</v>
      </c>
      <c r="G53" s="6" t="s">
        <v>217</v>
      </c>
      <c r="H53" s="6" t="s">
        <v>214</v>
      </c>
      <c r="I53" s="6" t="s">
        <v>214</v>
      </c>
      <c r="J53" s="6" t="s">
        <v>215</v>
      </c>
      <c r="K53" s="7" t="s">
        <v>216</v>
      </c>
      <c r="O53" s="11" t="str">
        <f t="shared" si="0"/>
        <v>박스</v>
      </c>
    </row>
    <row r="54" spans="1:15" ht="20.25" customHeight="1" x14ac:dyDescent="0.3">
      <c r="A54" s="6" t="s">
        <v>83</v>
      </c>
      <c r="B54" s="6">
        <v>6900</v>
      </c>
      <c r="C54" s="6">
        <v>1</v>
      </c>
      <c r="D54" s="6" t="s">
        <v>218</v>
      </c>
      <c r="F54" s="6" t="s">
        <v>116</v>
      </c>
      <c r="G54" s="6" t="s">
        <v>110</v>
      </c>
      <c r="H54" s="6" t="s">
        <v>219</v>
      </c>
      <c r="I54" s="6" t="s">
        <v>219</v>
      </c>
      <c r="J54" s="6" t="s">
        <v>220</v>
      </c>
      <c r="K54" s="7" t="s">
        <v>221</v>
      </c>
      <c r="O54" s="11" t="str">
        <f t="shared" si="0"/>
        <v>6900</v>
      </c>
    </row>
    <row r="55" spans="1:15" ht="20.25" customHeight="1" x14ac:dyDescent="0.3">
      <c r="A55" s="6" t="s">
        <v>83</v>
      </c>
      <c r="D55" s="6" t="s">
        <v>222</v>
      </c>
      <c r="F55" s="6" t="s">
        <v>116</v>
      </c>
      <c r="G55" s="6" t="s">
        <v>110</v>
      </c>
      <c r="H55" s="6" t="s">
        <v>219</v>
      </c>
      <c r="I55" s="6" t="s">
        <v>219</v>
      </c>
      <c r="J55" s="6" t="s">
        <v>220</v>
      </c>
      <c r="K55" s="7" t="s">
        <v>221</v>
      </c>
      <c r="O55" s="11" t="str">
        <f t="shared" si="0"/>
        <v/>
      </c>
    </row>
    <row r="56" spans="1:15" ht="20.25" customHeight="1" x14ac:dyDescent="0.3">
      <c r="A56" s="6" t="s">
        <v>84</v>
      </c>
      <c r="B56" s="6">
        <v>18700</v>
      </c>
      <c r="C56" s="6">
        <v>1</v>
      </c>
      <c r="D56" s="6" t="s">
        <v>223</v>
      </c>
      <c r="E56" s="28" t="s">
        <v>122</v>
      </c>
      <c r="G56" s="6" t="s">
        <v>101</v>
      </c>
      <c r="H56" s="6" t="s">
        <v>224</v>
      </c>
      <c r="I56" s="6" t="s">
        <v>224</v>
      </c>
      <c r="J56" s="6" t="s">
        <v>225</v>
      </c>
      <c r="K56" s="7" t="s">
        <v>226</v>
      </c>
      <c r="O56" s="11" t="str">
        <f t="shared" si="0"/>
        <v>18700</v>
      </c>
    </row>
    <row r="57" spans="1:15" ht="20.25" customHeight="1" x14ac:dyDescent="0.3">
      <c r="A57" s="6" t="s">
        <v>85</v>
      </c>
      <c r="D57" s="6" t="s">
        <v>114</v>
      </c>
      <c r="F57" s="6" t="s">
        <v>116</v>
      </c>
      <c r="G57" s="6" t="s">
        <v>110</v>
      </c>
      <c r="H57" s="6" t="s">
        <v>227</v>
      </c>
      <c r="I57" s="6" t="s">
        <v>227</v>
      </c>
      <c r="J57" s="6" t="s">
        <v>228</v>
      </c>
      <c r="K57" s="7" t="s">
        <v>229</v>
      </c>
      <c r="O57" s="11" t="str">
        <f t="shared" si="0"/>
        <v/>
      </c>
    </row>
    <row r="58" spans="1:15" ht="20.25" customHeight="1" x14ac:dyDescent="0.3">
      <c r="A58" s="6" t="s">
        <v>85</v>
      </c>
      <c r="B58" s="6">
        <v>13800</v>
      </c>
      <c r="C58" s="6">
        <v>1</v>
      </c>
      <c r="D58" s="6" t="s">
        <v>230</v>
      </c>
      <c r="F58" s="6" t="s">
        <v>116</v>
      </c>
      <c r="G58" s="6" t="s">
        <v>217</v>
      </c>
      <c r="H58" s="6" t="s">
        <v>227</v>
      </c>
      <c r="I58" s="6" t="s">
        <v>227</v>
      </c>
      <c r="J58" s="6" t="s">
        <v>228</v>
      </c>
      <c r="K58" s="7" t="s">
        <v>229</v>
      </c>
      <c r="O58" s="11" t="str">
        <f t="shared" si="0"/>
        <v>박스</v>
      </c>
    </row>
    <row r="59" spans="1:15" ht="20.25" customHeight="1" x14ac:dyDescent="0.3">
      <c r="A59" s="6" t="s">
        <v>86</v>
      </c>
      <c r="B59" s="6">
        <v>13800</v>
      </c>
      <c r="C59" s="6">
        <v>1</v>
      </c>
      <c r="D59" s="6" t="s">
        <v>230</v>
      </c>
      <c r="H59" s="6" t="s">
        <v>227</v>
      </c>
      <c r="I59" s="6" t="s">
        <v>227</v>
      </c>
      <c r="J59" s="6" t="s">
        <v>228</v>
      </c>
      <c r="K59" s="7" t="s">
        <v>229</v>
      </c>
      <c r="O59" s="11" t="str">
        <f t="shared" si="0"/>
        <v>박스</v>
      </c>
    </row>
    <row r="60" spans="1:15" ht="20.25" customHeight="1" x14ac:dyDescent="0.3">
      <c r="A60" s="6" t="s">
        <v>87</v>
      </c>
      <c r="B60" s="6">
        <v>13800</v>
      </c>
      <c r="C60" s="6">
        <v>1</v>
      </c>
      <c r="D60" s="6" t="s">
        <v>230</v>
      </c>
      <c r="H60" s="6" t="s">
        <v>227</v>
      </c>
      <c r="I60" s="6" t="s">
        <v>227</v>
      </c>
      <c r="J60" s="6" t="s">
        <v>228</v>
      </c>
      <c r="K60" s="7" t="s">
        <v>229</v>
      </c>
      <c r="O60" s="11" t="str">
        <f t="shared" si="0"/>
        <v>박스</v>
      </c>
    </row>
    <row r="61" spans="1:15" ht="20.25" customHeight="1" x14ac:dyDescent="0.3">
      <c r="A61" s="6" t="s">
        <v>88</v>
      </c>
      <c r="B61" s="6">
        <v>10700</v>
      </c>
      <c r="C61" s="6">
        <v>1</v>
      </c>
      <c r="D61" s="6" t="s">
        <v>147</v>
      </c>
      <c r="G61" s="6" t="s">
        <v>110</v>
      </c>
      <c r="H61" s="6" t="s">
        <v>231</v>
      </c>
      <c r="I61" s="6" t="s">
        <v>231</v>
      </c>
      <c r="J61" s="6" t="s">
        <v>232</v>
      </c>
      <c r="K61" s="7" t="s">
        <v>233</v>
      </c>
      <c r="O61" s="11" t="str">
        <f t="shared" si="0"/>
        <v>10700</v>
      </c>
    </row>
    <row r="62" spans="1:15" ht="20.25" customHeight="1" x14ac:dyDescent="0.3">
      <c r="A62" s="6" t="s">
        <v>89</v>
      </c>
      <c r="B62" s="6">
        <v>14000</v>
      </c>
      <c r="C62" s="6">
        <v>1</v>
      </c>
      <c r="D62" s="6" t="s">
        <v>234</v>
      </c>
      <c r="G62" s="6" t="s">
        <v>110</v>
      </c>
      <c r="H62" s="6" t="s">
        <v>235</v>
      </c>
      <c r="I62" s="6" t="s">
        <v>236</v>
      </c>
      <c r="J62" s="6" t="s">
        <v>237</v>
      </c>
      <c r="K62" s="7" t="s">
        <v>238</v>
      </c>
      <c r="O62" s="11" t="str">
        <f t="shared" si="0"/>
        <v>14000</v>
      </c>
    </row>
    <row r="63" spans="1:15" ht="20.25" customHeight="1" x14ac:dyDescent="0.3">
      <c r="A63" s="6" t="s">
        <v>90</v>
      </c>
      <c r="B63" s="6">
        <v>14000</v>
      </c>
      <c r="C63" s="6">
        <v>1</v>
      </c>
      <c r="D63" s="6" t="s">
        <v>234</v>
      </c>
      <c r="G63" s="6" t="s">
        <v>110</v>
      </c>
      <c r="H63" s="6" t="s">
        <v>235</v>
      </c>
      <c r="I63" s="6" t="s">
        <v>236</v>
      </c>
      <c r="J63" s="6" t="s">
        <v>237</v>
      </c>
      <c r="K63" s="7" t="s">
        <v>238</v>
      </c>
      <c r="O63" s="11" t="str">
        <f t="shared" si="0"/>
        <v>14000</v>
      </c>
    </row>
    <row r="64" spans="1:15" ht="20.25" customHeight="1" x14ac:dyDescent="0.3">
      <c r="A64" s="6" t="s">
        <v>91</v>
      </c>
      <c r="B64" s="6">
        <v>14000</v>
      </c>
      <c r="C64" s="6">
        <v>1</v>
      </c>
      <c r="D64" s="6" t="s">
        <v>234</v>
      </c>
      <c r="G64" s="6" t="s">
        <v>110</v>
      </c>
      <c r="H64" s="6" t="s">
        <v>235</v>
      </c>
      <c r="I64" s="6" t="s">
        <v>236</v>
      </c>
      <c r="J64" s="6" t="s">
        <v>237</v>
      </c>
      <c r="K64" s="7" t="s">
        <v>238</v>
      </c>
      <c r="O64" s="11" t="str">
        <f t="shared" si="0"/>
        <v>14000</v>
      </c>
    </row>
    <row r="65" spans="1:15" ht="20.25" customHeight="1" x14ac:dyDescent="0.3">
      <c r="A65" s="6" t="s">
        <v>92</v>
      </c>
      <c r="B65" s="6">
        <v>14000</v>
      </c>
      <c r="C65" s="6">
        <v>1</v>
      </c>
      <c r="D65" s="6" t="s">
        <v>234</v>
      </c>
      <c r="G65" s="6" t="s">
        <v>110</v>
      </c>
      <c r="H65" s="6" t="s">
        <v>235</v>
      </c>
      <c r="I65" s="6" t="s">
        <v>236</v>
      </c>
      <c r="J65" s="6" t="s">
        <v>237</v>
      </c>
      <c r="K65" s="7" t="s">
        <v>238</v>
      </c>
      <c r="O65" s="11" t="str">
        <f t="shared" si="0"/>
        <v>14000</v>
      </c>
    </row>
    <row r="66" spans="1:15" ht="20.25" customHeight="1" x14ac:dyDescent="0.3">
      <c r="A66" s="6" t="s">
        <v>93</v>
      </c>
      <c r="B66" s="6">
        <v>10700</v>
      </c>
      <c r="C66" s="6">
        <v>1</v>
      </c>
      <c r="D66" s="6" t="s">
        <v>239</v>
      </c>
      <c r="F66" s="6" t="s">
        <v>116</v>
      </c>
      <c r="G66" s="6" t="s">
        <v>110</v>
      </c>
      <c r="H66" s="6" t="s">
        <v>235</v>
      </c>
      <c r="I66" s="6" t="s">
        <v>236</v>
      </c>
      <c r="J66" s="6" t="s">
        <v>237</v>
      </c>
      <c r="K66" s="7" t="s">
        <v>238</v>
      </c>
      <c r="O66" s="11" t="str">
        <f t="shared" si="0"/>
        <v>10700</v>
      </c>
    </row>
    <row r="67" spans="1:15" ht="20.25" customHeight="1" x14ac:dyDescent="0.3">
      <c r="A67" s="6" t="s">
        <v>93</v>
      </c>
      <c r="D67" s="6" t="s">
        <v>240</v>
      </c>
      <c r="F67" s="6" t="s">
        <v>116</v>
      </c>
      <c r="G67" s="6" t="s">
        <v>110</v>
      </c>
      <c r="H67" s="6" t="s">
        <v>235</v>
      </c>
      <c r="I67" s="6" t="s">
        <v>236</v>
      </c>
      <c r="J67" s="8" t="s">
        <v>237</v>
      </c>
      <c r="K67" s="7" t="s">
        <v>238</v>
      </c>
      <c r="O67" s="11" t="str">
        <f t="shared" ref="O67:O130" si="1">SUBSTITUTE(SUBSTITUTE(SUBSTITUTE(SUBSTITUTE(SUBSTITUTE(SUBSTITUTE(B67,"8100","박스"),"12100","박스"),"13800","박스"),"14700","박스"),"15400","박스"),"8600","박스")</f>
        <v/>
      </c>
    </row>
    <row r="68" spans="1:15" ht="20.25" customHeight="1" x14ac:dyDescent="0.3">
      <c r="A68" s="6" t="s">
        <v>94</v>
      </c>
      <c r="B68" s="6">
        <v>12100</v>
      </c>
      <c r="C68" s="6">
        <v>1</v>
      </c>
      <c r="D68" s="6" t="s">
        <v>241</v>
      </c>
      <c r="G68" s="6" t="s">
        <v>217</v>
      </c>
      <c r="H68" s="6" t="s">
        <v>242</v>
      </c>
      <c r="I68" s="6" t="s">
        <v>242</v>
      </c>
      <c r="J68" s="8" t="s">
        <v>243</v>
      </c>
      <c r="K68" s="7" t="s">
        <v>244</v>
      </c>
      <c r="O68" s="11" t="str">
        <f t="shared" si="1"/>
        <v>박스</v>
      </c>
    </row>
    <row r="69" spans="1:15" ht="20.25" customHeight="1" x14ac:dyDescent="0.3">
      <c r="A69" s="6" t="s">
        <v>95</v>
      </c>
      <c r="B69" s="6">
        <v>12100</v>
      </c>
      <c r="C69" s="6">
        <v>1</v>
      </c>
      <c r="D69" s="6" t="s">
        <v>241</v>
      </c>
      <c r="H69" s="6" t="s">
        <v>242</v>
      </c>
      <c r="I69" s="6" t="s">
        <v>242</v>
      </c>
      <c r="J69" s="8" t="s">
        <v>243</v>
      </c>
      <c r="K69" s="7" t="s">
        <v>244</v>
      </c>
      <c r="O69" s="11" t="str">
        <f t="shared" si="1"/>
        <v>박스</v>
      </c>
    </row>
    <row r="70" spans="1:15" ht="20.25" customHeight="1" x14ac:dyDescent="0.3">
      <c r="A70" s="6" t="s">
        <v>96</v>
      </c>
      <c r="D70" s="6" t="s">
        <v>114</v>
      </c>
      <c r="E70" s="28" t="s">
        <v>245</v>
      </c>
      <c r="F70" s="6" t="s">
        <v>116</v>
      </c>
      <c r="H70" s="6" t="s">
        <v>246</v>
      </c>
      <c r="I70" s="6" t="s">
        <v>246</v>
      </c>
      <c r="J70" s="8" t="s">
        <v>247</v>
      </c>
      <c r="K70" s="7" t="s">
        <v>248</v>
      </c>
      <c r="O70" s="11" t="str">
        <f t="shared" si="1"/>
        <v/>
      </c>
    </row>
    <row r="71" spans="1:15" ht="20.25" customHeight="1" x14ac:dyDescent="0.3">
      <c r="A71" s="6" t="s">
        <v>96</v>
      </c>
      <c r="B71" s="6">
        <v>15400</v>
      </c>
      <c r="C71" s="6">
        <v>1</v>
      </c>
      <c r="D71" s="6" t="s">
        <v>249</v>
      </c>
      <c r="E71" s="28" t="s">
        <v>245</v>
      </c>
      <c r="F71" s="6" t="s">
        <v>116</v>
      </c>
      <c r="G71" s="6" t="s">
        <v>101</v>
      </c>
      <c r="H71" s="6" t="s">
        <v>246</v>
      </c>
      <c r="I71" s="6" t="s">
        <v>246</v>
      </c>
      <c r="J71" s="8" t="s">
        <v>247</v>
      </c>
      <c r="K71" s="7" t="s">
        <v>248</v>
      </c>
      <c r="O71" s="11" t="str">
        <f t="shared" si="1"/>
        <v>박스</v>
      </c>
    </row>
    <row r="72" spans="1:15" ht="20.25" customHeight="1" x14ac:dyDescent="0.3">
      <c r="A72" s="6" t="s">
        <v>96</v>
      </c>
      <c r="D72" s="6" t="s">
        <v>250</v>
      </c>
      <c r="E72" s="28" t="s">
        <v>245</v>
      </c>
      <c r="F72" s="6" t="s">
        <v>116</v>
      </c>
      <c r="H72" s="6" t="s">
        <v>246</v>
      </c>
      <c r="I72" s="6" t="s">
        <v>246</v>
      </c>
      <c r="J72" s="8" t="s">
        <v>247</v>
      </c>
      <c r="K72" s="7" t="s">
        <v>248</v>
      </c>
      <c r="O72" s="11" t="str">
        <f t="shared" si="1"/>
        <v/>
      </c>
    </row>
    <row r="73" spans="1:15" ht="20.25" customHeight="1" x14ac:dyDescent="0.3">
      <c r="A73" s="6" t="s">
        <v>97</v>
      </c>
      <c r="B73" s="6">
        <v>12100</v>
      </c>
      <c r="C73" s="6">
        <v>1</v>
      </c>
      <c r="D73" s="6" t="s">
        <v>251</v>
      </c>
      <c r="E73" s="28" t="s">
        <v>252</v>
      </c>
      <c r="G73" s="6" t="s">
        <v>101</v>
      </c>
      <c r="H73" s="6" t="s">
        <v>253</v>
      </c>
      <c r="I73" s="6" t="s">
        <v>253</v>
      </c>
      <c r="J73" s="8" t="s">
        <v>254</v>
      </c>
      <c r="K73" s="7" t="s">
        <v>255</v>
      </c>
      <c r="O73" s="11" t="str">
        <f t="shared" si="1"/>
        <v>박스</v>
      </c>
    </row>
    <row r="74" spans="1:15" ht="20.25" customHeight="1" x14ac:dyDescent="0.3">
      <c r="A74" s="6" t="s">
        <v>98</v>
      </c>
      <c r="B74" s="6">
        <v>12700</v>
      </c>
      <c r="C74" s="6">
        <v>1</v>
      </c>
      <c r="D74" s="6" t="s">
        <v>256</v>
      </c>
      <c r="E74" s="28" t="s">
        <v>257</v>
      </c>
      <c r="F74" s="6" t="s">
        <v>116</v>
      </c>
      <c r="G74" s="6" t="s">
        <v>110</v>
      </c>
      <c r="H74" s="6" t="s">
        <v>258</v>
      </c>
      <c r="I74" s="6" t="s">
        <v>258</v>
      </c>
      <c r="J74" s="8" t="s">
        <v>259</v>
      </c>
      <c r="K74" s="7" t="s">
        <v>260</v>
      </c>
      <c r="O74" s="11" t="str">
        <f t="shared" si="1"/>
        <v>12700</v>
      </c>
    </row>
    <row r="75" spans="1:15" ht="20.25" customHeight="1" x14ac:dyDescent="0.3">
      <c r="A75" s="6" t="s">
        <v>98</v>
      </c>
      <c r="D75" s="6" t="s">
        <v>261</v>
      </c>
      <c r="E75" s="28" t="s">
        <v>257</v>
      </c>
      <c r="F75" s="6" t="s">
        <v>116</v>
      </c>
      <c r="G75" s="6" t="s">
        <v>110</v>
      </c>
      <c r="H75" s="6" t="s">
        <v>258</v>
      </c>
      <c r="I75" s="6" t="s">
        <v>258</v>
      </c>
      <c r="J75" s="8" t="s">
        <v>259</v>
      </c>
      <c r="K75" s="7" t="s">
        <v>260</v>
      </c>
      <c r="O75" s="11" t="str">
        <f t="shared" si="1"/>
        <v/>
      </c>
    </row>
    <row r="76" spans="1:15" ht="20.25" customHeight="1" x14ac:dyDescent="0.3">
      <c r="O76" s="11" t="str">
        <f t="shared" si="1"/>
        <v/>
      </c>
    </row>
    <row r="77" spans="1:15" ht="20.25" customHeight="1" x14ac:dyDescent="0.3">
      <c r="O77" s="11" t="str">
        <f t="shared" si="1"/>
        <v/>
      </c>
    </row>
    <row r="78" spans="1:15" ht="20.25" customHeight="1" x14ac:dyDescent="0.3">
      <c r="O78" s="11" t="str">
        <f t="shared" si="1"/>
        <v/>
      </c>
    </row>
    <row r="79" spans="1:15" ht="20.25" customHeight="1" x14ac:dyDescent="0.3">
      <c r="O79" s="11" t="str">
        <f t="shared" si="1"/>
        <v/>
      </c>
    </row>
    <row r="80" spans="1:15" ht="20.25" customHeight="1" x14ac:dyDescent="0.3">
      <c r="O80" s="11" t="str">
        <f t="shared" si="1"/>
        <v/>
      </c>
    </row>
    <row r="81" spans="15:15" ht="20.25" customHeight="1" x14ac:dyDescent="0.3">
      <c r="O81" s="11" t="str">
        <f t="shared" si="1"/>
        <v/>
      </c>
    </row>
    <row r="82" spans="15:15" ht="20.25" customHeight="1" x14ac:dyDescent="0.3">
      <c r="O82" s="11" t="str">
        <f t="shared" si="1"/>
        <v/>
      </c>
    </row>
    <row r="83" spans="15:15" ht="20.25" customHeight="1" x14ac:dyDescent="0.3">
      <c r="O83" s="11" t="str">
        <f t="shared" si="1"/>
        <v/>
      </c>
    </row>
    <row r="84" spans="15:15" ht="20.25" customHeight="1" x14ac:dyDescent="0.3">
      <c r="O84" s="11" t="str">
        <f t="shared" si="1"/>
        <v/>
      </c>
    </row>
    <row r="85" spans="15:15" ht="20.25" customHeight="1" x14ac:dyDescent="0.3">
      <c r="O85" s="11" t="str">
        <f t="shared" si="1"/>
        <v/>
      </c>
    </row>
    <row r="86" spans="15:15" ht="20.25" customHeight="1" x14ac:dyDescent="0.3">
      <c r="O86" s="11" t="str">
        <f t="shared" si="1"/>
        <v/>
      </c>
    </row>
    <row r="87" spans="15:15" ht="20.25" customHeight="1" x14ac:dyDescent="0.3">
      <c r="O87" s="11" t="str">
        <f t="shared" si="1"/>
        <v/>
      </c>
    </row>
    <row r="88" spans="15:15" ht="20.25" customHeight="1" x14ac:dyDescent="0.3">
      <c r="O88" s="11" t="str">
        <f t="shared" si="1"/>
        <v/>
      </c>
    </row>
    <row r="89" spans="15:15" ht="20.25" customHeight="1" x14ac:dyDescent="0.3">
      <c r="O89" s="11" t="str">
        <f t="shared" si="1"/>
        <v/>
      </c>
    </row>
    <row r="90" spans="15:15" ht="20.25" customHeight="1" x14ac:dyDescent="0.3">
      <c r="O90" s="11" t="str">
        <f t="shared" si="1"/>
        <v/>
      </c>
    </row>
    <row r="91" spans="15:15" ht="20.25" customHeight="1" x14ac:dyDescent="0.3">
      <c r="O91" s="11" t="str">
        <f t="shared" si="1"/>
        <v/>
      </c>
    </row>
    <row r="92" spans="15:15" ht="20.25" customHeight="1" x14ac:dyDescent="0.3">
      <c r="O92" s="11" t="str">
        <f t="shared" si="1"/>
        <v/>
      </c>
    </row>
    <row r="93" spans="15:15" ht="20.25" customHeight="1" x14ac:dyDescent="0.3">
      <c r="O93" s="11" t="str">
        <f t="shared" si="1"/>
        <v/>
      </c>
    </row>
    <row r="94" spans="15:15" ht="20.25" customHeight="1" x14ac:dyDescent="0.3">
      <c r="O94" s="11" t="str">
        <f t="shared" si="1"/>
        <v/>
      </c>
    </row>
    <row r="95" spans="15:15" ht="20.25" customHeight="1" x14ac:dyDescent="0.3">
      <c r="O95" s="11" t="str">
        <f t="shared" si="1"/>
        <v/>
      </c>
    </row>
    <row r="96" spans="15:15" ht="20.25" customHeight="1" x14ac:dyDescent="0.3">
      <c r="O96" s="11" t="str">
        <f t="shared" si="1"/>
        <v/>
      </c>
    </row>
    <row r="97" spans="15:15" ht="20.25" customHeight="1" x14ac:dyDescent="0.3">
      <c r="O97" s="11" t="str">
        <f t="shared" si="1"/>
        <v/>
      </c>
    </row>
    <row r="98" spans="15:15" ht="20.25" customHeight="1" x14ac:dyDescent="0.3">
      <c r="O98" s="11" t="str">
        <f t="shared" si="1"/>
        <v/>
      </c>
    </row>
    <row r="99" spans="15:15" ht="20.25" customHeight="1" x14ac:dyDescent="0.3">
      <c r="O99" s="11" t="str">
        <f t="shared" si="1"/>
        <v/>
      </c>
    </row>
    <row r="100" spans="15:15" ht="20.25" customHeight="1" x14ac:dyDescent="0.3">
      <c r="O100" s="11" t="str">
        <f t="shared" si="1"/>
        <v/>
      </c>
    </row>
    <row r="101" spans="15:15" ht="20.25" customHeight="1" x14ac:dyDescent="0.3">
      <c r="O101" s="11" t="str">
        <f t="shared" si="1"/>
        <v/>
      </c>
    </row>
    <row r="102" spans="15:15" ht="20.25" customHeight="1" x14ac:dyDescent="0.3">
      <c r="O102" s="11" t="str">
        <f t="shared" si="1"/>
        <v/>
      </c>
    </row>
    <row r="103" spans="15:15" ht="20.25" customHeight="1" x14ac:dyDescent="0.3">
      <c r="O103" s="11" t="str">
        <f t="shared" si="1"/>
        <v/>
      </c>
    </row>
    <row r="104" spans="15:15" ht="20.25" customHeight="1" x14ac:dyDescent="0.3">
      <c r="O104" s="11" t="str">
        <f t="shared" si="1"/>
        <v/>
      </c>
    </row>
    <row r="105" spans="15:15" ht="20.25" customHeight="1" x14ac:dyDescent="0.3">
      <c r="O105" s="11" t="str">
        <f t="shared" si="1"/>
        <v/>
      </c>
    </row>
    <row r="106" spans="15:15" ht="20.25" customHeight="1" x14ac:dyDescent="0.3">
      <c r="O106" s="11" t="str">
        <f t="shared" si="1"/>
        <v/>
      </c>
    </row>
    <row r="107" spans="15:15" ht="20.25" customHeight="1" x14ac:dyDescent="0.3">
      <c r="O107" s="11" t="str">
        <f t="shared" si="1"/>
        <v/>
      </c>
    </row>
    <row r="108" spans="15:15" ht="20.25" customHeight="1" x14ac:dyDescent="0.3">
      <c r="O108" s="11" t="str">
        <f t="shared" si="1"/>
        <v/>
      </c>
    </row>
    <row r="109" spans="15:15" ht="20.25" customHeight="1" x14ac:dyDescent="0.3">
      <c r="O109" s="11" t="str">
        <f t="shared" si="1"/>
        <v/>
      </c>
    </row>
    <row r="110" spans="15:15" ht="20.25" customHeight="1" x14ac:dyDescent="0.3">
      <c r="O110" s="11" t="str">
        <f t="shared" si="1"/>
        <v/>
      </c>
    </row>
    <row r="111" spans="15:15" ht="20.25" customHeight="1" x14ac:dyDescent="0.3">
      <c r="O111" s="11" t="str">
        <f t="shared" si="1"/>
        <v/>
      </c>
    </row>
    <row r="112" spans="15:15" ht="20.25" customHeight="1" x14ac:dyDescent="0.3">
      <c r="O112" s="11" t="str">
        <f t="shared" si="1"/>
        <v/>
      </c>
    </row>
    <row r="113" spans="15:15" ht="20.25" customHeight="1" x14ac:dyDescent="0.3">
      <c r="O113" s="11" t="str">
        <f t="shared" si="1"/>
        <v/>
      </c>
    </row>
    <row r="114" spans="15:15" ht="20.25" customHeight="1" x14ac:dyDescent="0.3">
      <c r="O114" s="11" t="str">
        <f t="shared" si="1"/>
        <v/>
      </c>
    </row>
    <row r="115" spans="15:15" ht="20.25" customHeight="1" x14ac:dyDescent="0.3">
      <c r="O115" s="11" t="str">
        <f t="shared" si="1"/>
        <v/>
      </c>
    </row>
    <row r="116" spans="15:15" ht="20.25" customHeight="1" x14ac:dyDescent="0.3">
      <c r="O116" s="11" t="str">
        <f t="shared" si="1"/>
        <v/>
      </c>
    </row>
    <row r="117" spans="15:15" ht="20.25" customHeight="1" x14ac:dyDescent="0.3">
      <c r="O117" s="11" t="str">
        <f t="shared" si="1"/>
        <v/>
      </c>
    </row>
    <row r="118" spans="15:15" ht="20.25" customHeight="1" x14ac:dyDescent="0.3">
      <c r="O118" s="11" t="str">
        <f t="shared" si="1"/>
        <v/>
      </c>
    </row>
    <row r="119" spans="15:15" ht="20.25" customHeight="1" x14ac:dyDescent="0.3">
      <c r="O119" s="11" t="str">
        <f t="shared" si="1"/>
        <v/>
      </c>
    </row>
    <row r="120" spans="15:15" ht="20.25" customHeight="1" x14ac:dyDescent="0.3">
      <c r="O120" s="11" t="str">
        <f t="shared" si="1"/>
        <v/>
      </c>
    </row>
    <row r="121" spans="15:15" ht="20.25" customHeight="1" x14ac:dyDescent="0.3">
      <c r="O121" s="11" t="str">
        <f t="shared" si="1"/>
        <v/>
      </c>
    </row>
    <row r="122" spans="15:15" ht="20.25" customHeight="1" x14ac:dyDescent="0.3">
      <c r="O122" s="11" t="str">
        <f t="shared" si="1"/>
        <v/>
      </c>
    </row>
    <row r="123" spans="15:15" ht="20.25" customHeight="1" x14ac:dyDescent="0.3">
      <c r="O123" s="11" t="str">
        <f t="shared" si="1"/>
        <v/>
      </c>
    </row>
    <row r="124" spans="15:15" ht="20.25" customHeight="1" x14ac:dyDescent="0.3">
      <c r="O124" s="11" t="str">
        <f t="shared" si="1"/>
        <v/>
      </c>
    </row>
    <row r="125" spans="15:15" ht="20.25" customHeight="1" x14ac:dyDescent="0.3">
      <c r="O125" s="11" t="str">
        <f t="shared" si="1"/>
        <v/>
      </c>
    </row>
    <row r="126" spans="15:15" ht="20.25" customHeight="1" x14ac:dyDescent="0.3">
      <c r="O126" s="11" t="str">
        <f t="shared" si="1"/>
        <v/>
      </c>
    </row>
    <row r="127" spans="15:15" ht="20.25" customHeight="1" x14ac:dyDescent="0.3">
      <c r="O127" s="11" t="str">
        <f t="shared" si="1"/>
        <v/>
      </c>
    </row>
    <row r="128" spans="15:15" ht="20.25" customHeight="1" x14ac:dyDescent="0.3">
      <c r="O128" s="11" t="str">
        <f t="shared" si="1"/>
        <v/>
      </c>
    </row>
    <row r="129" spans="10:15" ht="20.25" customHeight="1" x14ac:dyDescent="0.3">
      <c r="O129" s="11" t="str">
        <f t="shared" si="1"/>
        <v/>
      </c>
    </row>
    <row r="130" spans="10:15" ht="20.25" customHeight="1" x14ac:dyDescent="0.3">
      <c r="J130" s="6"/>
      <c r="O130" s="11" t="str">
        <f t="shared" si="1"/>
        <v/>
      </c>
    </row>
    <row r="131" spans="10:15" ht="20.25" customHeight="1" x14ac:dyDescent="0.3">
      <c r="J131" s="6"/>
      <c r="O131" s="11" t="str">
        <f t="shared" ref="O131:O194" si="2">SUBSTITUTE(SUBSTITUTE(SUBSTITUTE(SUBSTITUTE(SUBSTITUTE(SUBSTITUTE(B131,"8100","박스"),"12100","박스"),"13800","박스"),"14700","박스"),"15400","박스"),"8600","박스")</f>
        <v/>
      </c>
    </row>
    <row r="132" spans="10:15" ht="20.25" customHeight="1" x14ac:dyDescent="0.3">
      <c r="J132" s="6"/>
      <c r="O132" s="11" t="str">
        <f t="shared" si="2"/>
        <v/>
      </c>
    </row>
    <row r="133" spans="10:15" ht="20.25" customHeight="1" x14ac:dyDescent="0.3">
      <c r="J133" s="6"/>
      <c r="O133" s="11" t="str">
        <f t="shared" si="2"/>
        <v/>
      </c>
    </row>
    <row r="134" spans="10:15" ht="20.25" customHeight="1" x14ac:dyDescent="0.3">
      <c r="J134" s="6"/>
      <c r="O134" s="11" t="str">
        <f t="shared" si="2"/>
        <v/>
      </c>
    </row>
    <row r="135" spans="10:15" ht="20.25" customHeight="1" x14ac:dyDescent="0.3">
      <c r="J135" s="6"/>
      <c r="O135" s="11" t="str">
        <f t="shared" si="2"/>
        <v/>
      </c>
    </row>
    <row r="136" spans="10:15" ht="20.25" customHeight="1" x14ac:dyDescent="0.3">
      <c r="O136" s="11" t="str">
        <f t="shared" si="2"/>
        <v/>
      </c>
    </row>
    <row r="137" spans="10:15" ht="20.25" customHeight="1" x14ac:dyDescent="0.3">
      <c r="O137" s="11" t="str">
        <f t="shared" si="2"/>
        <v/>
      </c>
    </row>
    <row r="138" spans="10:15" ht="20.25" customHeight="1" x14ac:dyDescent="0.3">
      <c r="O138" s="11" t="str">
        <f t="shared" si="2"/>
        <v/>
      </c>
    </row>
    <row r="139" spans="10:15" ht="20.25" customHeight="1" x14ac:dyDescent="0.3">
      <c r="O139" s="11" t="str">
        <f t="shared" si="2"/>
        <v/>
      </c>
    </row>
    <row r="140" spans="10:15" ht="20.25" customHeight="1" x14ac:dyDescent="0.3">
      <c r="O140" s="11" t="str">
        <f t="shared" si="2"/>
        <v/>
      </c>
    </row>
    <row r="141" spans="10:15" ht="20.25" customHeight="1" x14ac:dyDescent="0.3">
      <c r="O141" s="11" t="str">
        <f t="shared" si="2"/>
        <v/>
      </c>
    </row>
    <row r="142" spans="10:15" ht="20.25" customHeight="1" x14ac:dyDescent="0.3">
      <c r="O142" s="11" t="str">
        <f t="shared" si="2"/>
        <v/>
      </c>
    </row>
    <row r="143" spans="10:15" ht="20.25" customHeight="1" x14ac:dyDescent="0.3">
      <c r="O143" s="11" t="str">
        <f t="shared" si="2"/>
        <v/>
      </c>
    </row>
    <row r="144" spans="10:15" ht="20.25" customHeight="1" x14ac:dyDescent="0.3">
      <c r="O144" s="11" t="str">
        <f t="shared" si="2"/>
        <v/>
      </c>
    </row>
    <row r="145" spans="15:15" ht="20.25" customHeight="1" x14ac:dyDescent="0.3">
      <c r="O145" s="11" t="str">
        <f t="shared" si="2"/>
        <v/>
      </c>
    </row>
    <row r="146" spans="15:15" ht="20.25" customHeight="1" x14ac:dyDescent="0.3">
      <c r="O146" s="11" t="str">
        <f t="shared" si="2"/>
        <v/>
      </c>
    </row>
    <row r="147" spans="15:15" ht="20.25" customHeight="1" x14ac:dyDescent="0.3">
      <c r="O147" s="11" t="str">
        <f t="shared" si="2"/>
        <v/>
      </c>
    </row>
    <row r="148" spans="15:15" ht="20.25" customHeight="1" x14ac:dyDescent="0.3">
      <c r="O148" s="11" t="str">
        <f t="shared" si="2"/>
        <v/>
      </c>
    </row>
    <row r="149" spans="15:15" ht="20.25" customHeight="1" x14ac:dyDescent="0.3">
      <c r="O149" s="11" t="str">
        <f t="shared" si="2"/>
        <v/>
      </c>
    </row>
    <row r="150" spans="15:15" ht="20.25" customHeight="1" x14ac:dyDescent="0.3">
      <c r="O150" s="11" t="str">
        <f t="shared" si="2"/>
        <v/>
      </c>
    </row>
    <row r="151" spans="15:15" ht="20.25" customHeight="1" x14ac:dyDescent="0.3">
      <c r="O151" s="11" t="str">
        <f t="shared" si="2"/>
        <v/>
      </c>
    </row>
    <row r="152" spans="15:15" ht="20.25" customHeight="1" x14ac:dyDescent="0.3">
      <c r="O152" s="11" t="str">
        <f t="shared" si="2"/>
        <v/>
      </c>
    </row>
    <row r="153" spans="15:15" ht="20.25" customHeight="1" x14ac:dyDescent="0.3">
      <c r="O153" s="11" t="str">
        <f t="shared" si="2"/>
        <v/>
      </c>
    </row>
    <row r="154" spans="15:15" ht="20.25" customHeight="1" x14ac:dyDescent="0.3">
      <c r="O154" s="11" t="str">
        <f t="shared" si="2"/>
        <v/>
      </c>
    </row>
    <row r="155" spans="15:15" ht="20.25" customHeight="1" x14ac:dyDescent="0.3">
      <c r="O155" s="11" t="str">
        <f t="shared" si="2"/>
        <v/>
      </c>
    </row>
    <row r="156" spans="15:15" ht="20.25" customHeight="1" x14ac:dyDescent="0.3">
      <c r="O156" s="11" t="str">
        <f t="shared" si="2"/>
        <v/>
      </c>
    </row>
    <row r="157" spans="15:15" ht="20.25" customHeight="1" x14ac:dyDescent="0.3">
      <c r="O157" s="11" t="str">
        <f t="shared" si="2"/>
        <v/>
      </c>
    </row>
    <row r="158" spans="15:15" ht="20.25" customHeight="1" x14ac:dyDescent="0.3">
      <c r="O158" s="11" t="str">
        <f t="shared" si="2"/>
        <v/>
      </c>
    </row>
    <row r="159" spans="15:15" ht="20.25" customHeight="1" x14ac:dyDescent="0.3">
      <c r="O159" s="11" t="str">
        <f t="shared" si="2"/>
        <v/>
      </c>
    </row>
    <row r="160" spans="15:15" ht="20.25" customHeight="1" x14ac:dyDescent="0.3">
      <c r="O160" s="11" t="str">
        <f t="shared" si="2"/>
        <v/>
      </c>
    </row>
    <row r="161" spans="15:15" ht="20.25" customHeight="1" x14ac:dyDescent="0.3">
      <c r="O161" s="11" t="str">
        <f t="shared" si="2"/>
        <v/>
      </c>
    </row>
    <row r="162" spans="15:15" ht="20.25" customHeight="1" x14ac:dyDescent="0.3">
      <c r="O162" s="11" t="str">
        <f t="shared" si="2"/>
        <v/>
      </c>
    </row>
    <row r="163" spans="15:15" ht="20.25" customHeight="1" x14ac:dyDescent="0.3">
      <c r="O163" s="11" t="str">
        <f t="shared" si="2"/>
        <v/>
      </c>
    </row>
    <row r="164" spans="15:15" ht="20.25" customHeight="1" x14ac:dyDescent="0.3">
      <c r="O164" s="11" t="str">
        <f t="shared" si="2"/>
        <v/>
      </c>
    </row>
    <row r="165" spans="15:15" ht="20.25" customHeight="1" x14ac:dyDescent="0.3">
      <c r="O165" s="11" t="str">
        <f t="shared" si="2"/>
        <v/>
      </c>
    </row>
    <row r="166" spans="15:15" ht="20.25" customHeight="1" x14ac:dyDescent="0.3">
      <c r="O166" s="11" t="str">
        <f t="shared" si="2"/>
        <v/>
      </c>
    </row>
    <row r="167" spans="15:15" ht="20.25" customHeight="1" x14ac:dyDescent="0.3">
      <c r="O167" s="11" t="str">
        <f t="shared" si="2"/>
        <v/>
      </c>
    </row>
    <row r="168" spans="15:15" ht="20.25" customHeight="1" x14ac:dyDescent="0.3">
      <c r="O168" s="11" t="str">
        <f t="shared" si="2"/>
        <v/>
      </c>
    </row>
    <row r="169" spans="15:15" ht="20.25" customHeight="1" x14ac:dyDescent="0.3">
      <c r="O169" s="11" t="str">
        <f t="shared" si="2"/>
        <v/>
      </c>
    </row>
    <row r="170" spans="15:15" ht="20.25" customHeight="1" x14ac:dyDescent="0.3">
      <c r="O170" s="11" t="str">
        <f t="shared" si="2"/>
        <v/>
      </c>
    </row>
    <row r="171" spans="15:15" ht="20.25" customHeight="1" x14ac:dyDescent="0.3">
      <c r="O171" s="11" t="str">
        <f t="shared" si="2"/>
        <v/>
      </c>
    </row>
    <row r="172" spans="15:15" ht="20.25" customHeight="1" x14ac:dyDescent="0.3">
      <c r="O172" s="11" t="str">
        <f t="shared" si="2"/>
        <v/>
      </c>
    </row>
    <row r="173" spans="15:15" ht="20.25" customHeight="1" x14ac:dyDescent="0.3">
      <c r="O173" s="11" t="str">
        <f t="shared" si="2"/>
        <v/>
      </c>
    </row>
    <row r="174" spans="15:15" ht="20.25" customHeight="1" x14ac:dyDescent="0.3">
      <c r="O174" s="11" t="str">
        <f t="shared" si="2"/>
        <v/>
      </c>
    </row>
    <row r="175" spans="15:15" ht="20.25" customHeight="1" x14ac:dyDescent="0.3">
      <c r="O175" s="11" t="str">
        <f t="shared" si="2"/>
        <v/>
      </c>
    </row>
    <row r="176" spans="15:15" ht="20.25" customHeight="1" x14ac:dyDescent="0.3">
      <c r="O176" s="11" t="str">
        <f t="shared" si="2"/>
        <v/>
      </c>
    </row>
    <row r="177" spans="15:15" ht="20.25" customHeight="1" x14ac:dyDescent="0.3">
      <c r="O177" s="11" t="str">
        <f t="shared" si="2"/>
        <v/>
      </c>
    </row>
    <row r="178" spans="15:15" ht="20.25" customHeight="1" x14ac:dyDescent="0.3">
      <c r="O178" s="11" t="str">
        <f t="shared" si="2"/>
        <v/>
      </c>
    </row>
    <row r="179" spans="15:15" ht="20.25" customHeight="1" x14ac:dyDescent="0.3">
      <c r="O179" s="11" t="str">
        <f t="shared" si="2"/>
        <v/>
      </c>
    </row>
    <row r="180" spans="15:15" ht="20.25" customHeight="1" x14ac:dyDescent="0.3">
      <c r="O180" s="11" t="str">
        <f t="shared" si="2"/>
        <v/>
      </c>
    </row>
    <row r="181" spans="15:15" ht="20.25" customHeight="1" x14ac:dyDescent="0.3">
      <c r="O181" s="11" t="str">
        <f t="shared" si="2"/>
        <v/>
      </c>
    </row>
    <row r="182" spans="15:15" ht="20.25" customHeight="1" x14ac:dyDescent="0.3">
      <c r="O182" s="11" t="str">
        <f t="shared" si="2"/>
        <v/>
      </c>
    </row>
    <row r="183" spans="15:15" ht="20.25" customHeight="1" x14ac:dyDescent="0.3">
      <c r="O183" s="11" t="str">
        <f t="shared" si="2"/>
        <v/>
      </c>
    </row>
    <row r="184" spans="15:15" ht="20.25" customHeight="1" x14ac:dyDescent="0.3">
      <c r="O184" s="11" t="str">
        <f t="shared" si="2"/>
        <v/>
      </c>
    </row>
    <row r="185" spans="15:15" ht="20.25" customHeight="1" x14ac:dyDescent="0.3">
      <c r="O185" s="11" t="str">
        <f t="shared" si="2"/>
        <v/>
      </c>
    </row>
    <row r="186" spans="15:15" ht="20.25" customHeight="1" x14ac:dyDescent="0.3">
      <c r="O186" s="11" t="str">
        <f t="shared" si="2"/>
        <v/>
      </c>
    </row>
    <row r="187" spans="15:15" ht="20.25" customHeight="1" x14ac:dyDescent="0.3">
      <c r="O187" s="11" t="str">
        <f t="shared" si="2"/>
        <v/>
      </c>
    </row>
    <row r="188" spans="15:15" ht="20.25" customHeight="1" x14ac:dyDescent="0.3">
      <c r="O188" s="11" t="str">
        <f t="shared" si="2"/>
        <v/>
      </c>
    </row>
    <row r="189" spans="15:15" ht="20.25" customHeight="1" x14ac:dyDescent="0.3">
      <c r="O189" s="11" t="str">
        <f t="shared" si="2"/>
        <v/>
      </c>
    </row>
    <row r="190" spans="15:15" ht="20.25" customHeight="1" x14ac:dyDescent="0.3">
      <c r="O190" s="11" t="str">
        <f t="shared" si="2"/>
        <v/>
      </c>
    </row>
    <row r="191" spans="15:15" ht="20.25" customHeight="1" x14ac:dyDescent="0.3">
      <c r="O191" s="11" t="str">
        <f t="shared" si="2"/>
        <v/>
      </c>
    </row>
    <row r="192" spans="15:15" ht="20.25" customHeight="1" x14ac:dyDescent="0.3">
      <c r="O192" s="11" t="str">
        <f t="shared" si="2"/>
        <v/>
      </c>
    </row>
    <row r="193" spans="15:15" ht="20.25" customHeight="1" x14ac:dyDescent="0.3">
      <c r="O193" s="11" t="str">
        <f t="shared" si="2"/>
        <v/>
      </c>
    </row>
    <row r="194" spans="15:15" ht="20.25" customHeight="1" x14ac:dyDescent="0.3">
      <c r="O194" s="11" t="str">
        <f t="shared" si="2"/>
        <v/>
      </c>
    </row>
    <row r="195" spans="15:15" ht="20.25" customHeight="1" x14ac:dyDescent="0.3">
      <c r="O195" s="11" t="str">
        <f t="shared" ref="O195:O258" si="3">SUBSTITUTE(SUBSTITUTE(SUBSTITUTE(SUBSTITUTE(SUBSTITUTE(SUBSTITUTE(B195,"8100","박스"),"12100","박스"),"13800","박스"),"14700","박스"),"15400","박스"),"8600","박스")</f>
        <v/>
      </c>
    </row>
    <row r="196" spans="15:15" ht="20.25" customHeight="1" x14ac:dyDescent="0.3">
      <c r="O196" s="11" t="str">
        <f t="shared" si="3"/>
        <v/>
      </c>
    </row>
    <row r="197" spans="15:15" ht="20.25" customHeight="1" x14ac:dyDescent="0.3">
      <c r="O197" s="11" t="str">
        <f t="shared" si="3"/>
        <v/>
      </c>
    </row>
    <row r="198" spans="15:15" ht="20.25" customHeight="1" x14ac:dyDescent="0.3">
      <c r="O198" s="11" t="str">
        <f t="shared" si="3"/>
        <v/>
      </c>
    </row>
    <row r="199" spans="15:15" ht="20.25" customHeight="1" x14ac:dyDescent="0.3">
      <c r="O199" s="11" t="str">
        <f t="shared" si="3"/>
        <v/>
      </c>
    </row>
    <row r="200" spans="15:15" ht="20.25" customHeight="1" x14ac:dyDescent="0.3">
      <c r="O200" s="11" t="str">
        <f t="shared" si="3"/>
        <v/>
      </c>
    </row>
    <row r="201" spans="15:15" ht="20.25" customHeight="1" x14ac:dyDescent="0.3">
      <c r="O201" s="11" t="str">
        <f t="shared" si="3"/>
        <v/>
      </c>
    </row>
    <row r="202" spans="15:15" ht="20.25" customHeight="1" x14ac:dyDescent="0.3">
      <c r="O202" s="11" t="str">
        <f t="shared" si="3"/>
        <v/>
      </c>
    </row>
    <row r="203" spans="15:15" ht="20.25" customHeight="1" x14ac:dyDescent="0.3">
      <c r="O203" s="11" t="str">
        <f t="shared" si="3"/>
        <v/>
      </c>
    </row>
    <row r="204" spans="15:15" ht="20.25" customHeight="1" x14ac:dyDescent="0.3">
      <c r="O204" s="11" t="str">
        <f t="shared" si="3"/>
        <v/>
      </c>
    </row>
    <row r="205" spans="15:15" ht="20.25" customHeight="1" x14ac:dyDescent="0.3">
      <c r="O205" s="11" t="str">
        <f t="shared" si="3"/>
        <v/>
      </c>
    </row>
    <row r="206" spans="15:15" ht="20.25" customHeight="1" x14ac:dyDescent="0.3">
      <c r="O206" s="11" t="str">
        <f t="shared" si="3"/>
        <v/>
      </c>
    </row>
    <row r="207" spans="15:15" ht="20.25" customHeight="1" x14ac:dyDescent="0.3">
      <c r="O207" s="11" t="str">
        <f t="shared" si="3"/>
        <v/>
      </c>
    </row>
    <row r="208" spans="15:15" ht="20.25" customHeight="1" x14ac:dyDescent="0.3">
      <c r="O208" s="11" t="str">
        <f t="shared" si="3"/>
        <v/>
      </c>
    </row>
    <row r="209" spans="15:15" ht="20.25" customHeight="1" x14ac:dyDescent="0.3">
      <c r="O209" s="11" t="str">
        <f t="shared" si="3"/>
        <v/>
      </c>
    </row>
    <row r="210" spans="15:15" ht="20.25" customHeight="1" x14ac:dyDescent="0.3">
      <c r="O210" s="11" t="str">
        <f t="shared" si="3"/>
        <v/>
      </c>
    </row>
    <row r="211" spans="15:15" ht="20.25" customHeight="1" x14ac:dyDescent="0.3">
      <c r="O211" s="11" t="str">
        <f t="shared" si="3"/>
        <v/>
      </c>
    </row>
    <row r="212" spans="15:15" ht="20.25" customHeight="1" x14ac:dyDescent="0.3">
      <c r="O212" s="11" t="str">
        <f t="shared" si="3"/>
        <v/>
      </c>
    </row>
    <row r="213" spans="15:15" ht="20.25" customHeight="1" x14ac:dyDescent="0.3">
      <c r="O213" s="11" t="str">
        <f t="shared" si="3"/>
        <v/>
      </c>
    </row>
    <row r="214" spans="15:15" ht="20.25" customHeight="1" x14ac:dyDescent="0.3">
      <c r="O214" s="11" t="str">
        <f t="shared" si="3"/>
        <v/>
      </c>
    </row>
    <row r="215" spans="15:15" ht="20.25" customHeight="1" x14ac:dyDescent="0.3">
      <c r="O215" s="11" t="str">
        <f t="shared" si="3"/>
        <v/>
      </c>
    </row>
    <row r="216" spans="15:15" ht="20.25" customHeight="1" x14ac:dyDescent="0.3">
      <c r="O216" s="11" t="str">
        <f t="shared" si="3"/>
        <v/>
      </c>
    </row>
    <row r="217" spans="15:15" ht="20.25" customHeight="1" x14ac:dyDescent="0.3">
      <c r="O217" s="11" t="str">
        <f t="shared" si="3"/>
        <v/>
      </c>
    </row>
    <row r="218" spans="15:15" ht="20.25" customHeight="1" x14ac:dyDescent="0.3">
      <c r="O218" s="11" t="str">
        <f t="shared" si="3"/>
        <v/>
      </c>
    </row>
    <row r="219" spans="15:15" ht="20.25" customHeight="1" x14ac:dyDescent="0.3">
      <c r="O219" s="11" t="str">
        <f t="shared" si="3"/>
        <v/>
      </c>
    </row>
    <row r="220" spans="15:15" ht="20.25" customHeight="1" x14ac:dyDescent="0.3">
      <c r="O220" s="11" t="str">
        <f t="shared" si="3"/>
        <v/>
      </c>
    </row>
    <row r="221" spans="15:15" ht="20.25" customHeight="1" x14ac:dyDescent="0.3">
      <c r="O221" s="11" t="str">
        <f t="shared" si="3"/>
        <v/>
      </c>
    </row>
    <row r="222" spans="15:15" ht="20.25" customHeight="1" x14ac:dyDescent="0.3">
      <c r="O222" s="11" t="str">
        <f t="shared" si="3"/>
        <v/>
      </c>
    </row>
    <row r="223" spans="15:15" ht="20.25" customHeight="1" x14ac:dyDescent="0.3">
      <c r="O223" s="11" t="str">
        <f t="shared" si="3"/>
        <v/>
      </c>
    </row>
    <row r="224" spans="15:15" ht="20.25" customHeight="1" x14ac:dyDescent="0.3">
      <c r="O224" s="11" t="str">
        <f t="shared" si="3"/>
        <v/>
      </c>
    </row>
    <row r="225" spans="15:15" ht="20.25" customHeight="1" x14ac:dyDescent="0.3">
      <c r="O225" s="11" t="str">
        <f t="shared" si="3"/>
        <v/>
      </c>
    </row>
    <row r="226" spans="15:15" ht="20.25" customHeight="1" x14ac:dyDescent="0.3">
      <c r="O226" s="11" t="str">
        <f t="shared" si="3"/>
        <v/>
      </c>
    </row>
    <row r="227" spans="15:15" ht="20.25" customHeight="1" x14ac:dyDescent="0.3">
      <c r="O227" s="11" t="str">
        <f t="shared" si="3"/>
        <v/>
      </c>
    </row>
    <row r="228" spans="15:15" ht="20.25" customHeight="1" x14ac:dyDescent="0.3">
      <c r="O228" s="11" t="str">
        <f t="shared" si="3"/>
        <v/>
      </c>
    </row>
    <row r="229" spans="15:15" ht="20.25" customHeight="1" x14ac:dyDescent="0.3">
      <c r="O229" s="11" t="str">
        <f t="shared" si="3"/>
        <v/>
      </c>
    </row>
    <row r="230" spans="15:15" ht="20.25" customHeight="1" x14ac:dyDescent="0.3">
      <c r="O230" s="11" t="str">
        <f t="shared" si="3"/>
        <v/>
      </c>
    </row>
    <row r="231" spans="15:15" ht="20.25" customHeight="1" x14ac:dyDescent="0.3">
      <c r="O231" s="11" t="str">
        <f t="shared" si="3"/>
        <v/>
      </c>
    </row>
    <row r="232" spans="15:15" ht="20.25" customHeight="1" x14ac:dyDescent="0.3">
      <c r="O232" s="11" t="str">
        <f t="shared" si="3"/>
        <v/>
      </c>
    </row>
    <row r="233" spans="15:15" ht="20.25" customHeight="1" x14ac:dyDescent="0.3">
      <c r="O233" s="11" t="str">
        <f t="shared" si="3"/>
        <v/>
      </c>
    </row>
    <row r="234" spans="15:15" ht="20.25" customHeight="1" x14ac:dyDescent="0.3">
      <c r="O234" s="11" t="str">
        <f t="shared" si="3"/>
        <v/>
      </c>
    </row>
    <row r="235" spans="15:15" ht="20.25" customHeight="1" x14ac:dyDescent="0.3">
      <c r="O235" s="11" t="str">
        <f t="shared" si="3"/>
        <v/>
      </c>
    </row>
    <row r="236" spans="15:15" ht="20.25" customHeight="1" x14ac:dyDescent="0.3">
      <c r="O236" s="11" t="str">
        <f t="shared" si="3"/>
        <v/>
      </c>
    </row>
    <row r="237" spans="15:15" ht="20.25" customHeight="1" x14ac:dyDescent="0.3">
      <c r="O237" s="11" t="str">
        <f t="shared" si="3"/>
        <v/>
      </c>
    </row>
    <row r="238" spans="15:15" ht="20.25" customHeight="1" x14ac:dyDescent="0.3">
      <c r="O238" s="11" t="str">
        <f t="shared" si="3"/>
        <v/>
      </c>
    </row>
    <row r="239" spans="15:15" ht="20.25" customHeight="1" x14ac:dyDescent="0.3">
      <c r="O239" s="11" t="str">
        <f t="shared" si="3"/>
        <v/>
      </c>
    </row>
    <row r="240" spans="15:15" ht="20.25" customHeight="1" x14ac:dyDescent="0.3">
      <c r="O240" s="11" t="str">
        <f t="shared" si="3"/>
        <v/>
      </c>
    </row>
    <row r="241" spans="15:15" ht="20.25" customHeight="1" x14ac:dyDescent="0.3">
      <c r="O241" s="11" t="str">
        <f t="shared" si="3"/>
        <v/>
      </c>
    </row>
    <row r="242" spans="15:15" ht="20.25" customHeight="1" x14ac:dyDescent="0.3">
      <c r="O242" s="11" t="str">
        <f t="shared" si="3"/>
        <v/>
      </c>
    </row>
    <row r="243" spans="15:15" ht="20.25" customHeight="1" x14ac:dyDescent="0.3">
      <c r="O243" s="11" t="str">
        <f t="shared" si="3"/>
        <v/>
      </c>
    </row>
    <row r="244" spans="15:15" ht="20.25" customHeight="1" x14ac:dyDescent="0.3">
      <c r="O244" s="11" t="str">
        <f t="shared" si="3"/>
        <v/>
      </c>
    </row>
    <row r="245" spans="15:15" ht="20.25" customHeight="1" x14ac:dyDescent="0.3">
      <c r="O245" s="11" t="str">
        <f t="shared" si="3"/>
        <v/>
      </c>
    </row>
    <row r="246" spans="15:15" ht="20.25" customHeight="1" x14ac:dyDescent="0.3">
      <c r="O246" s="11" t="str">
        <f t="shared" si="3"/>
        <v/>
      </c>
    </row>
    <row r="247" spans="15:15" ht="20.25" customHeight="1" x14ac:dyDescent="0.3">
      <c r="O247" s="11" t="str">
        <f t="shared" si="3"/>
        <v/>
      </c>
    </row>
    <row r="248" spans="15:15" ht="20.25" customHeight="1" x14ac:dyDescent="0.3">
      <c r="O248" s="11" t="str">
        <f t="shared" si="3"/>
        <v/>
      </c>
    </row>
    <row r="249" spans="15:15" ht="20.25" customHeight="1" x14ac:dyDescent="0.3">
      <c r="O249" s="11" t="str">
        <f t="shared" si="3"/>
        <v/>
      </c>
    </row>
    <row r="250" spans="15:15" ht="20.25" customHeight="1" x14ac:dyDescent="0.3">
      <c r="O250" s="11" t="str">
        <f t="shared" si="3"/>
        <v/>
      </c>
    </row>
    <row r="251" spans="15:15" ht="20.25" customHeight="1" x14ac:dyDescent="0.3">
      <c r="O251" s="11" t="str">
        <f t="shared" si="3"/>
        <v/>
      </c>
    </row>
    <row r="252" spans="15:15" ht="20.25" customHeight="1" x14ac:dyDescent="0.3">
      <c r="O252" s="11" t="str">
        <f t="shared" si="3"/>
        <v/>
      </c>
    </row>
    <row r="253" spans="15:15" ht="20.25" customHeight="1" x14ac:dyDescent="0.3">
      <c r="O253" s="11" t="str">
        <f t="shared" si="3"/>
        <v/>
      </c>
    </row>
    <row r="254" spans="15:15" ht="20.25" customHeight="1" x14ac:dyDescent="0.3">
      <c r="O254" s="11" t="str">
        <f t="shared" si="3"/>
        <v/>
      </c>
    </row>
    <row r="255" spans="15:15" ht="20.25" customHeight="1" x14ac:dyDescent="0.3">
      <c r="O255" s="11" t="str">
        <f t="shared" si="3"/>
        <v/>
      </c>
    </row>
    <row r="256" spans="15:15" ht="20.25" customHeight="1" x14ac:dyDescent="0.3">
      <c r="O256" s="11" t="str">
        <f t="shared" si="3"/>
        <v/>
      </c>
    </row>
    <row r="257" spans="15:15" ht="20.25" customHeight="1" x14ac:dyDescent="0.3">
      <c r="O257" s="11" t="str">
        <f t="shared" si="3"/>
        <v/>
      </c>
    </row>
    <row r="258" spans="15:15" ht="20.25" customHeight="1" x14ac:dyDescent="0.3">
      <c r="O258" s="11" t="str">
        <f t="shared" si="3"/>
        <v/>
      </c>
    </row>
    <row r="259" spans="15:15" ht="20.25" customHeight="1" x14ac:dyDescent="0.3">
      <c r="O259" s="11" t="str">
        <f t="shared" ref="O259:O322" si="4">SUBSTITUTE(SUBSTITUTE(SUBSTITUTE(SUBSTITUTE(SUBSTITUTE(SUBSTITUTE(B259,"8100","박스"),"12100","박스"),"13800","박스"),"14700","박스"),"15400","박스"),"8600","박스")</f>
        <v/>
      </c>
    </row>
    <row r="260" spans="15:15" ht="20.25" customHeight="1" x14ac:dyDescent="0.3">
      <c r="O260" s="11" t="str">
        <f t="shared" si="4"/>
        <v/>
      </c>
    </row>
    <row r="261" spans="15:15" ht="20.25" customHeight="1" x14ac:dyDescent="0.3">
      <c r="O261" s="11" t="str">
        <f t="shared" si="4"/>
        <v/>
      </c>
    </row>
    <row r="262" spans="15:15" ht="20.25" customHeight="1" x14ac:dyDescent="0.3">
      <c r="O262" s="11" t="str">
        <f t="shared" si="4"/>
        <v/>
      </c>
    </row>
    <row r="263" spans="15:15" ht="20.25" customHeight="1" x14ac:dyDescent="0.3">
      <c r="O263" s="11" t="str">
        <f t="shared" si="4"/>
        <v/>
      </c>
    </row>
    <row r="264" spans="15:15" ht="20.25" customHeight="1" x14ac:dyDescent="0.3">
      <c r="O264" s="11" t="str">
        <f t="shared" si="4"/>
        <v/>
      </c>
    </row>
    <row r="265" spans="15:15" ht="20.25" customHeight="1" x14ac:dyDescent="0.3">
      <c r="O265" s="11" t="str">
        <f t="shared" si="4"/>
        <v/>
      </c>
    </row>
    <row r="266" spans="15:15" ht="20.25" customHeight="1" x14ac:dyDescent="0.3">
      <c r="O266" s="11" t="str">
        <f t="shared" si="4"/>
        <v/>
      </c>
    </row>
    <row r="267" spans="15:15" ht="20.25" customHeight="1" x14ac:dyDescent="0.3">
      <c r="O267" s="11" t="str">
        <f t="shared" si="4"/>
        <v/>
      </c>
    </row>
    <row r="268" spans="15:15" ht="20.25" customHeight="1" x14ac:dyDescent="0.3">
      <c r="O268" s="11" t="str">
        <f t="shared" si="4"/>
        <v/>
      </c>
    </row>
    <row r="269" spans="15:15" ht="20.25" customHeight="1" x14ac:dyDescent="0.3">
      <c r="O269" s="11" t="str">
        <f t="shared" si="4"/>
        <v/>
      </c>
    </row>
    <row r="270" spans="15:15" ht="20.25" customHeight="1" x14ac:dyDescent="0.3">
      <c r="O270" s="11" t="str">
        <f t="shared" si="4"/>
        <v/>
      </c>
    </row>
    <row r="271" spans="15:15" ht="20.25" customHeight="1" x14ac:dyDescent="0.3">
      <c r="O271" s="11" t="str">
        <f t="shared" si="4"/>
        <v/>
      </c>
    </row>
    <row r="272" spans="15:15" ht="20.25" customHeight="1" x14ac:dyDescent="0.3">
      <c r="O272" s="11" t="str">
        <f t="shared" si="4"/>
        <v/>
      </c>
    </row>
    <row r="273" spans="15:15" ht="20.25" customHeight="1" x14ac:dyDescent="0.3">
      <c r="O273" s="11" t="str">
        <f t="shared" si="4"/>
        <v/>
      </c>
    </row>
    <row r="274" spans="15:15" ht="20.25" customHeight="1" x14ac:dyDescent="0.3">
      <c r="O274" s="11" t="str">
        <f t="shared" si="4"/>
        <v/>
      </c>
    </row>
    <row r="275" spans="15:15" ht="20.25" customHeight="1" x14ac:dyDescent="0.3">
      <c r="O275" s="11" t="str">
        <f t="shared" si="4"/>
        <v/>
      </c>
    </row>
    <row r="276" spans="15:15" ht="20.25" customHeight="1" x14ac:dyDescent="0.3">
      <c r="O276" s="11" t="str">
        <f t="shared" si="4"/>
        <v/>
      </c>
    </row>
    <row r="277" spans="15:15" ht="20.25" customHeight="1" x14ac:dyDescent="0.3">
      <c r="O277" s="11" t="str">
        <f t="shared" si="4"/>
        <v/>
      </c>
    </row>
    <row r="278" spans="15:15" ht="20.25" customHeight="1" x14ac:dyDescent="0.3">
      <c r="O278" s="11" t="str">
        <f t="shared" si="4"/>
        <v/>
      </c>
    </row>
    <row r="279" spans="15:15" ht="20.25" customHeight="1" x14ac:dyDescent="0.3">
      <c r="O279" s="11" t="str">
        <f t="shared" si="4"/>
        <v/>
      </c>
    </row>
    <row r="280" spans="15:15" ht="20.25" customHeight="1" x14ac:dyDescent="0.3">
      <c r="O280" s="11" t="str">
        <f t="shared" si="4"/>
        <v/>
      </c>
    </row>
    <row r="281" spans="15:15" ht="20.25" customHeight="1" x14ac:dyDescent="0.3">
      <c r="O281" s="11" t="str">
        <f t="shared" si="4"/>
        <v/>
      </c>
    </row>
    <row r="282" spans="15:15" ht="20.25" customHeight="1" x14ac:dyDescent="0.3">
      <c r="O282" s="11" t="str">
        <f t="shared" si="4"/>
        <v/>
      </c>
    </row>
    <row r="283" spans="15:15" ht="20.25" customHeight="1" x14ac:dyDescent="0.3">
      <c r="O283" s="11" t="str">
        <f t="shared" si="4"/>
        <v/>
      </c>
    </row>
    <row r="284" spans="15:15" ht="20.25" customHeight="1" x14ac:dyDescent="0.3">
      <c r="O284" s="11" t="str">
        <f t="shared" si="4"/>
        <v/>
      </c>
    </row>
    <row r="285" spans="15:15" ht="20.25" customHeight="1" x14ac:dyDescent="0.3">
      <c r="O285" s="11" t="str">
        <f t="shared" si="4"/>
        <v/>
      </c>
    </row>
    <row r="286" spans="15:15" ht="20.25" customHeight="1" x14ac:dyDescent="0.3">
      <c r="O286" s="11" t="str">
        <f t="shared" si="4"/>
        <v/>
      </c>
    </row>
    <row r="287" spans="15:15" ht="20.25" customHeight="1" x14ac:dyDescent="0.3">
      <c r="O287" s="11" t="str">
        <f t="shared" si="4"/>
        <v/>
      </c>
    </row>
    <row r="288" spans="15:15" ht="20.25" customHeight="1" x14ac:dyDescent="0.3">
      <c r="O288" s="11" t="str">
        <f t="shared" si="4"/>
        <v/>
      </c>
    </row>
    <row r="289" spans="15:15" ht="20.25" customHeight="1" x14ac:dyDescent="0.3">
      <c r="O289" s="11" t="str">
        <f t="shared" si="4"/>
        <v/>
      </c>
    </row>
    <row r="290" spans="15:15" ht="20.25" customHeight="1" x14ac:dyDescent="0.3">
      <c r="O290" s="11" t="str">
        <f t="shared" si="4"/>
        <v/>
      </c>
    </row>
    <row r="291" spans="15:15" ht="20.25" customHeight="1" x14ac:dyDescent="0.3">
      <c r="O291" s="11" t="str">
        <f t="shared" si="4"/>
        <v/>
      </c>
    </row>
    <row r="292" spans="15:15" ht="20.25" customHeight="1" x14ac:dyDescent="0.3">
      <c r="O292" s="11" t="str">
        <f t="shared" si="4"/>
        <v/>
      </c>
    </row>
    <row r="293" spans="15:15" ht="20.25" customHeight="1" x14ac:dyDescent="0.3">
      <c r="O293" s="11" t="str">
        <f t="shared" si="4"/>
        <v/>
      </c>
    </row>
    <row r="294" spans="15:15" ht="20.25" customHeight="1" x14ac:dyDescent="0.3">
      <c r="O294" s="11" t="str">
        <f t="shared" si="4"/>
        <v/>
      </c>
    </row>
    <row r="295" spans="15:15" ht="20.25" customHeight="1" x14ac:dyDescent="0.3">
      <c r="O295" s="11" t="str">
        <f t="shared" si="4"/>
        <v/>
      </c>
    </row>
    <row r="296" spans="15:15" ht="20.25" customHeight="1" x14ac:dyDescent="0.3">
      <c r="O296" s="11" t="str">
        <f t="shared" si="4"/>
        <v/>
      </c>
    </row>
    <row r="297" spans="15:15" ht="20.25" customHeight="1" x14ac:dyDescent="0.3">
      <c r="O297" s="11" t="str">
        <f t="shared" si="4"/>
        <v/>
      </c>
    </row>
    <row r="298" spans="15:15" ht="20.25" customHeight="1" x14ac:dyDescent="0.3">
      <c r="O298" s="11" t="str">
        <f t="shared" si="4"/>
        <v/>
      </c>
    </row>
    <row r="299" spans="15:15" ht="20.25" customHeight="1" x14ac:dyDescent="0.3">
      <c r="O299" s="11" t="str">
        <f t="shared" si="4"/>
        <v/>
      </c>
    </row>
    <row r="300" spans="15:15" ht="20.25" customHeight="1" x14ac:dyDescent="0.3">
      <c r="O300" s="11" t="str">
        <f t="shared" si="4"/>
        <v/>
      </c>
    </row>
    <row r="301" spans="15:15" ht="20.25" customHeight="1" x14ac:dyDescent="0.3">
      <c r="O301" s="11" t="str">
        <f t="shared" si="4"/>
        <v/>
      </c>
    </row>
    <row r="302" spans="15:15" ht="20.25" customHeight="1" x14ac:dyDescent="0.3">
      <c r="O302" s="11" t="str">
        <f t="shared" si="4"/>
        <v/>
      </c>
    </row>
    <row r="303" spans="15:15" ht="20.25" customHeight="1" x14ac:dyDescent="0.3">
      <c r="O303" s="11" t="str">
        <f t="shared" si="4"/>
        <v/>
      </c>
    </row>
    <row r="304" spans="15:15" ht="20.25" customHeight="1" x14ac:dyDescent="0.3">
      <c r="O304" s="11" t="str">
        <f t="shared" si="4"/>
        <v/>
      </c>
    </row>
    <row r="305" spans="15:15" ht="20.25" customHeight="1" x14ac:dyDescent="0.3">
      <c r="O305" s="11" t="str">
        <f t="shared" si="4"/>
        <v/>
      </c>
    </row>
    <row r="306" spans="15:15" ht="20.25" customHeight="1" x14ac:dyDescent="0.3">
      <c r="O306" s="11" t="str">
        <f t="shared" si="4"/>
        <v/>
      </c>
    </row>
    <row r="307" spans="15:15" ht="20.25" customHeight="1" x14ac:dyDescent="0.3">
      <c r="O307" s="11" t="str">
        <f t="shared" si="4"/>
        <v/>
      </c>
    </row>
    <row r="308" spans="15:15" ht="20.25" customHeight="1" x14ac:dyDescent="0.3">
      <c r="O308" s="11" t="str">
        <f t="shared" si="4"/>
        <v/>
      </c>
    </row>
    <row r="309" spans="15:15" ht="20.25" customHeight="1" x14ac:dyDescent="0.3">
      <c r="O309" s="11" t="str">
        <f t="shared" si="4"/>
        <v/>
      </c>
    </row>
    <row r="310" spans="15:15" ht="20.25" customHeight="1" x14ac:dyDescent="0.3">
      <c r="O310" s="11" t="str">
        <f t="shared" si="4"/>
        <v/>
      </c>
    </row>
    <row r="311" spans="15:15" ht="20.25" customHeight="1" x14ac:dyDescent="0.3">
      <c r="O311" s="11" t="str">
        <f t="shared" si="4"/>
        <v/>
      </c>
    </row>
    <row r="312" spans="15:15" ht="20.25" customHeight="1" x14ac:dyDescent="0.3">
      <c r="O312" s="11" t="str">
        <f t="shared" si="4"/>
        <v/>
      </c>
    </row>
    <row r="313" spans="15:15" ht="20.25" customHeight="1" x14ac:dyDescent="0.3">
      <c r="O313" s="11" t="str">
        <f t="shared" si="4"/>
        <v/>
      </c>
    </row>
    <row r="314" spans="15:15" ht="20.25" customHeight="1" x14ac:dyDescent="0.3">
      <c r="O314" s="11" t="str">
        <f t="shared" si="4"/>
        <v/>
      </c>
    </row>
    <row r="315" spans="15:15" ht="20.25" customHeight="1" x14ac:dyDescent="0.3">
      <c r="O315" s="11" t="str">
        <f t="shared" si="4"/>
        <v/>
      </c>
    </row>
    <row r="316" spans="15:15" ht="20.25" customHeight="1" x14ac:dyDescent="0.3">
      <c r="O316" s="11" t="str">
        <f t="shared" si="4"/>
        <v/>
      </c>
    </row>
    <row r="317" spans="15:15" ht="20.25" customHeight="1" x14ac:dyDescent="0.3">
      <c r="O317" s="11" t="str">
        <f t="shared" si="4"/>
        <v/>
      </c>
    </row>
    <row r="318" spans="15:15" ht="20.25" customHeight="1" x14ac:dyDescent="0.3">
      <c r="O318" s="11" t="str">
        <f t="shared" si="4"/>
        <v/>
      </c>
    </row>
    <row r="319" spans="15:15" ht="20.25" customHeight="1" x14ac:dyDescent="0.3">
      <c r="O319" s="11" t="str">
        <f t="shared" si="4"/>
        <v/>
      </c>
    </row>
    <row r="320" spans="15:15" ht="20.25" customHeight="1" x14ac:dyDescent="0.3">
      <c r="O320" s="11" t="str">
        <f t="shared" si="4"/>
        <v/>
      </c>
    </row>
    <row r="321" spans="15:15" ht="20.25" customHeight="1" x14ac:dyDescent="0.3">
      <c r="O321" s="11" t="str">
        <f t="shared" si="4"/>
        <v/>
      </c>
    </row>
    <row r="322" spans="15:15" ht="20.25" customHeight="1" x14ac:dyDescent="0.3">
      <c r="O322" s="11" t="str">
        <f t="shared" si="4"/>
        <v/>
      </c>
    </row>
    <row r="323" spans="15:15" ht="20.25" customHeight="1" x14ac:dyDescent="0.3">
      <c r="O323" s="11" t="str">
        <f t="shared" ref="O323:O370" si="5">SUBSTITUTE(SUBSTITUTE(SUBSTITUTE(SUBSTITUTE(SUBSTITUTE(SUBSTITUTE(B323,"8100","박스"),"12100","박스"),"13800","박스"),"14700","박스"),"15400","박스"),"8600","박스")</f>
        <v/>
      </c>
    </row>
    <row r="324" spans="15:15" ht="20.25" customHeight="1" x14ac:dyDescent="0.3">
      <c r="O324" s="11" t="str">
        <f t="shared" si="5"/>
        <v/>
      </c>
    </row>
    <row r="325" spans="15:15" ht="20.25" customHeight="1" x14ac:dyDescent="0.3">
      <c r="O325" s="11" t="str">
        <f t="shared" si="5"/>
        <v/>
      </c>
    </row>
    <row r="326" spans="15:15" ht="20.25" customHeight="1" x14ac:dyDescent="0.3">
      <c r="O326" s="11" t="str">
        <f t="shared" si="5"/>
        <v/>
      </c>
    </row>
    <row r="327" spans="15:15" ht="20.25" customHeight="1" x14ac:dyDescent="0.3">
      <c r="O327" s="11" t="str">
        <f t="shared" si="5"/>
        <v/>
      </c>
    </row>
    <row r="328" spans="15:15" ht="20.25" customHeight="1" x14ac:dyDescent="0.3">
      <c r="O328" s="11" t="str">
        <f t="shared" si="5"/>
        <v/>
      </c>
    </row>
    <row r="329" spans="15:15" ht="20.25" customHeight="1" x14ac:dyDescent="0.3">
      <c r="O329" s="11" t="str">
        <f t="shared" si="5"/>
        <v/>
      </c>
    </row>
    <row r="330" spans="15:15" ht="20.25" customHeight="1" x14ac:dyDescent="0.3">
      <c r="O330" s="11" t="str">
        <f t="shared" si="5"/>
        <v/>
      </c>
    </row>
    <row r="331" spans="15:15" ht="20.25" customHeight="1" x14ac:dyDescent="0.3">
      <c r="O331" s="11" t="str">
        <f t="shared" si="5"/>
        <v/>
      </c>
    </row>
    <row r="332" spans="15:15" ht="20.25" customHeight="1" x14ac:dyDescent="0.3">
      <c r="O332" s="11" t="str">
        <f t="shared" si="5"/>
        <v/>
      </c>
    </row>
    <row r="333" spans="15:15" ht="20.25" customHeight="1" x14ac:dyDescent="0.3">
      <c r="O333" s="11" t="str">
        <f t="shared" si="5"/>
        <v/>
      </c>
    </row>
    <row r="334" spans="15:15" ht="20.25" customHeight="1" x14ac:dyDescent="0.3">
      <c r="O334" s="11" t="str">
        <f t="shared" si="5"/>
        <v/>
      </c>
    </row>
    <row r="335" spans="15:15" ht="20.25" customHeight="1" x14ac:dyDescent="0.3">
      <c r="O335" s="11" t="str">
        <f t="shared" si="5"/>
        <v/>
      </c>
    </row>
    <row r="336" spans="15:15" ht="20.25" customHeight="1" x14ac:dyDescent="0.3">
      <c r="O336" s="11" t="str">
        <f t="shared" si="5"/>
        <v/>
      </c>
    </row>
    <row r="337" spans="15:15" ht="20.25" customHeight="1" x14ac:dyDescent="0.3">
      <c r="O337" s="11" t="str">
        <f t="shared" si="5"/>
        <v/>
      </c>
    </row>
    <row r="338" spans="15:15" ht="20.25" customHeight="1" x14ac:dyDescent="0.3">
      <c r="O338" s="11" t="str">
        <f t="shared" si="5"/>
        <v/>
      </c>
    </row>
    <row r="339" spans="15:15" ht="20.25" customHeight="1" x14ac:dyDescent="0.3">
      <c r="O339" s="11" t="str">
        <f t="shared" si="5"/>
        <v/>
      </c>
    </row>
    <row r="340" spans="15:15" ht="20.25" customHeight="1" x14ac:dyDescent="0.3">
      <c r="O340" s="11" t="str">
        <f t="shared" si="5"/>
        <v/>
      </c>
    </row>
    <row r="341" spans="15:15" ht="20.25" customHeight="1" x14ac:dyDescent="0.3">
      <c r="O341" s="11" t="str">
        <f t="shared" si="5"/>
        <v/>
      </c>
    </row>
    <row r="342" spans="15:15" ht="20.25" customHeight="1" x14ac:dyDescent="0.3">
      <c r="O342" s="11" t="str">
        <f t="shared" si="5"/>
        <v/>
      </c>
    </row>
    <row r="343" spans="15:15" ht="20.25" customHeight="1" x14ac:dyDescent="0.3">
      <c r="O343" s="11" t="str">
        <f t="shared" si="5"/>
        <v/>
      </c>
    </row>
    <row r="344" spans="15:15" ht="20.25" customHeight="1" x14ac:dyDescent="0.3">
      <c r="O344" s="11" t="str">
        <f t="shared" si="5"/>
        <v/>
      </c>
    </row>
    <row r="345" spans="15:15" ht="20.25" customHeight="1" x14ac:dyDescent="0.3">
      <c r="O345" s="11" t="str">
        <f t="shared" si="5"/>
        <v/>
      </c>
    </row>
    <row r="346" spans="15:15" ht="20.25" customHeight="1" x14ac:dyDescent="0.3">
      <c r="O346" s="11" t="str">
        <f t="shared" si="5"/>
        <v/>
      </c>
    </row>
    <row r="347" spans="15:15" ht="20.25" customHeight="1" x14ac:dyDescent="0.3">
      <c r="O347" s="11" t="str">
        <f t="shared" si="5"/>
        <v/>
      </c>
    </row>
    <row r="348" spans="15:15" ht="20.25" customHeight="1" x14ac:dyDescent="0.3">
      <c r="O348" s="11" t="str">
        <f t="shared" si="5"/>
        <v/>
      </c>
    </row>
    <row r="349" spans="15:15" ht="20.25" customHeight="1" x14ac:dyDescent="0.3">
      <c r="O349" s="11" t="str">
        <f t="shared" si="5"/>
        <v/>
      </c>
    </row>
    <row r="350" spans="15:15" ht="20.25" customHeight="1" x14ac:dyDescent="0.3">
      <c r="O350" s="11" t="str">
        <f t="shared" si="5"/>
        <v/>
      </c>
    </row>
    <row r="351" spans="15:15" ht="20.25" customHeight="1" x14ac:dyDescent="0.3">
      <c r="O351" s="11" t="str">
        <f t="shared" si="5"/>
        <v/>
      </c>
    </row>
    <row r="352" spans="15:15" ht="20.25" customHeight="1" x14ac:dyDescent="0.3">
      <c r="O352" s="11" t="str">
        <f t="shared" si="5"/>
        <v/>
      </c>
    </row>
    <row r="353" spans="15:15" ht="20.25" customHeight="1" x14ac:dyDescent="0.3">
      <c r="O353" s="11" t="str">
        <f t="shared" si="5"/>
        <v/>
      </c>
    </row>
    <row r="354" spans="15:15" ht="20.25" customHeight="1" x14ac:dyDescent="0.3">
      <c r="O354" s="11" t="str">
        <f t="shared" si="5"/>
        <v/>
      </c>
    </row>
    <row r="355" spans="15:15" ht="20.25" customHeight="1" x14ac:dyDescent="0.3">
      <c r="O355" s="11" t="str">
        <f t="shared" si="5"/>
        <v/>
      </c>
    </row>
    <row r="356" spans="15:15" ht="20.25" customHeight="1" x14ac:dyDescent="0.3">
      <c r="O356" s="11" t="str">
        <f t="shared" si="5"/>
        <v/>
      </c>
    </row>
    <row r="357" spans="15:15" ht="20.25" customHeight="1" x14ac:dyDescent="0.3">
      <c r="O357" s="11" t="str">
        <f t="shared" si="5"/>
        <v/>
      </c>
    </row>
    <row r="358" spans="15:15" ht="20.25" customHeight="1" x14ac:dyDescent="0.3">
      <c r="O358" s="11" t="str">
        <f t="shared" si="5"/>
        <v/>
      </c>
    </row>
    <row r="359" spans="15:15" ht="20.25" customHeight="1" x14ac:dyDescent="0.3">
      <c r="O359" s="11" t="str">
        <f t="shared" si="5"/>
        <v/>
      </c>
    </row>
    <row r="360" spans="15:15" ht="20.25" customHeight="1" x14ac:dyDescent="0.3">
      <c r="O360" s="11" t="str">
        <f t="shared" si="5"/>
        <v/>
      </c>
    </row>
    <row r="361" spans="15:15" ht="20.25" customHeight="1" x14ac:dyDescent="0.3">
      <c r="O361" s="11" t="str">
        <f t="shared" si="5"/>
        <v/>
      </c>
    </row>
    <row r="362" spans="15:15" ht="20.25" customHeight="1" x14ac:dyDescent="0.3">
      <c r="O362" s="11" t="str">
        <f t="shared" si="5"/>
        <v/>
      </c>
    </row>
    <row r="363" spans="15:15" ht="20.25" customHeight="1" x14ac:dyDescent="0.3">
      <c r="O363" s="11" t="str">
        <f t="shared" si="5"/>
        <v/>
      </c>
    </row>
    <row r="364" spans="15:15" ht="20.25" customHeight="1" x14ac:dyDescent="0.3">
      <c r="O364" s="11" t="str">
        <f t="shared" si="5"/>
        <v/>
      </c>
    </row>
    <row r="365" spans="15:15" ht="20.25" customHeight="1" x14ac:dyDescent="0.3">
      <c r="O365" s="11" t="str">
        <f t="shared" si="5"/>
        <v/>
      </c>
    </row>
    <row r="366" spans="15:15" ht="20.25" customHeight="1" x14ac:dyDescent="0.3">
      <c r="O366" s="11" t="str">
        <f t="shared" si="5"/>
        <v/>
      </c>
    </row>
    <row r="367" spans="15:15" ht="20.25" customHeight="1" x14ac:dyDescent="0.3">
      <c r="O367" s="11" t="str">
        <f t="shared" si="5"/>
        <v/>
      </c>
    </row>
    <row r="368" spans="15:15" ht="20.25" customHeight="1" x14ac:dyDescent="0.3">
      <c r="O368" s="11" t="str">
        <f t="shared" si="5"/>
        <v/>
      </c>
    </row>
    <row r="369" spans="15:15" ht="20.25" customHeight="1" x14ac:dyDescent="0.3">
      <c r="O369" s="11" t="str">
        <f t="shared" si="5"/>
        <v/>
      </c>
    </row>
    <row r="370" spans="15:15" ht="20.25" customHeight="1" x14ac:dyDescent="0.3">
      <c r="O370" s="11" t="str">
        <f t="shared" si="5"/>
        <v/>
      </c>
    </row>
  </sheetData>
  <sheetProtection formatCells="0" formatColumns="0" formatRows="0" insertColumns="0" insertRows="0" deleteRows="0"/>
  <protectedRanges>
    <protectedRange sqref="O1:O1048576" name="포장상태"/>
  </protectedRanges>
  <phoneticPr fontId="3" type="noConversion"/>
  <conditionalFormatting sqref="H1 A1 A67:A1048576 H67:H1048576">
    <cfRule type="duplicateValues" dxfId="13" priority="15"/>
    <cfRule type="duplicateValues" dxfId="12" priority="16"/>
    <cfRule type="duplicateValues" dxfId="11" priority="17"/>
  </conditionalFormatting>
  <conditionalFormatting sqref="H39:H66 A39:A66">
    <cfRule type="duplicateValues" dxfId="10" priority="27"/>
    <cfRule type="duplicateValues" dxfId="9" priority="28"/>
    <cfRule type="duplicateValues" dxfId="8" priority="29"/>
  </conditionalFormatting>
  <conditionalFormatting sqref="H67:H1048576 A67:A1048576">
    <cfRule type="duplicateValues" dxfId="7" priority="33"/>
  </conditionalFormatting>
  <conditionalFormatting sqref="I1 I67:I1048576">
    <cfRule type="duplicateValues" dxfId="6" priority="5"/>
    <cfRule type="duplicateValues" dxfId="5" priority="6"/>
    <cfRule type="duplicateValues" dxfId="4" priority="7"/>
  </conditionalFormatting>
  <conditionalFormatting sqref="I39:I66">
    <cfRule type="duplicateValues" dxfId="3" priority="2"/>
    <cfRule type="duplicateValues" dxfId="2" priority="3"/>
    <cfRule type="duplicateValues" dxfId="1" priority="4"/>
  </conditionalFormatting>
  <conditionalFormatting sqref="I67:I1048576">
    <cfRule type="duplicateValues" dxfId="0" priority="1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경동샘플 양식3</vt:lpstr>
      <vt:lpstr>경동발주서 양식2</vt:lpstr>
      <vt:lpstr>경동전체1</vt:lpstr>
      <vt:lpstr>삭제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withcom</dc:creator>
  <cp:lastModifiedBy>USER</cp:lastModifiedBy>
  <dcterms:created xsi:type="dcterms:W3CDTF">2024-12-20T02:14:22Z</dcterms:created>
  <dcterms:modified xsi:type="dcterms:W3CDTF">2025-12-16T00:01:24Z</dcterms:modified>
</cp:coreProperties>
</file>